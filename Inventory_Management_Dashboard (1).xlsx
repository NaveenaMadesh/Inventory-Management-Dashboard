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vee\Data_Science_Classes\"/>
    </mc:Choice>
  </mc:AlternateContent>
  <xr:revisionPtr revIDLastSave="0" documentId="13_ncr:1_{75E1DC14-DEDD-410E-92C2-90FCCBAD57C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Item Master" sheetId="2" r:id="rId2"/>
    <sheet name="Stock Inflow" sheetId="3" r:id="rId3"/>
    <sheet name="Stock Outflow" sheetId="4" r:id="rId4"/>
    <sheet name="Sales" sheetId="5" r:id="rId5"/>
    <sheet name="Calculations" sheetId="6" r:id="rId6"/>
    <sheet name="Product Summary" sheetId="7" r:id="rId7"/>
    <sheet name="Lis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1" l="1" a="1"/>
  <c r="H15" i="1" s="1"/>
  <c r="O51" i="7"/>
  <c r="N51" i="7"/>
  <c r="K51" i="7"/>
  <c r="I51" i="7"/>
  <c r="H51" i="7"/>
  <c r="J51" i="7" s="1"/>
  <c r="G51" i="7"/>
  <c r="L51" i="7" s="1"/>
  <c r="D51" i="7"/>
  <c r="F51" i="7" s="1"/>
  <c r="M51" i="7" s="1"/>
  <c r="O50" i="7"/>
  <c r="N50" i="7"/>
  <c r="P50" i="7" s="1"/>
  <c r="K50" i="7"/>
  <c r="I50" i="7"/>
  <c r="J50" i="7" s="1"/>
  <c r="H50" i="7"/>
  <c r="G50" i="7"/>
  <c r="L50" i="7" s="1"/>
  <c r="F50" i="7"/>
  <c r="E50" i="7"/>
  <c r="Y50" i="7" s="1"/>
  <c r="D50" i="7"/>
  <c r="O49" i="7"/>
  <c r="N49" i="7"/>
  <c r="P49" i="7" s="1"/>
  <c r="K49" i="7"/>
  <c r="I49" i="7"/>
  <c r="J49" i="7" s="1"/>
  <c r="H49" i="7"/>
  <c r="L49" i="7" s="1"/>
  <c r="G49" i="7"/>
  <c r="F49" i="7"/>
  <c r="M49" i="7" s="1"/>
  <c r="D49" i="7"/>
  <c r="E49" i="7" s="1"/>
  <c r="O48" i="7"/>
  <c r="N48" i="7"/>
  <c r="L48" i="7"/>
  <c r="K48" i="7"/>
  <c r="I48" i="7"/>
  <c r="J48" i="7" s="1"/>
  <c r="H48" i="7"/>
  <c r="G48" i="7"/>
  <c r="D48" i="7"/>
  <c r="F48" i="7" s="1"/>
  <c r="M48" i="7" s="1"/>
  <c r="P564" i="6" s="1"/>
  <c r="O47" i="7"/>
  <c r="N47" i="7"/>
  <c r="K47" i="7"/>
  <c r="I47" i="7"/>
  <c r="J47" i="7" s="1"/>
  <c r="H47" i="7"/>
  <c r="G47" i="7"/>
  <c r="L47" i="7" s="1"/>
  <c r="D47" i="7"/>
  <c r="O46" i="7"/>
  <c r="N46" i="7"/>
  <c r="K46" i="7"/>
  <c r="J46" i="7"/>
  <c r="I46" i="7"/>
  <c r="H46" i="7"/>
  <c r="G46" i="7"/>
  <c r="L46" i="7" s="1"/>
  <c r="D46" i="7"/>
  <c r="E46" i="7" s="1"/>
  <c r="O45" i="7"/>
  <c r="N45" i="7"/>
  <c r="K45" i="7"/>
  <c r="J45" i="7"/>
  <c r="I45" i="7"/>
  <c r="H45" i="7"/>
  <c r="G45" i="7"/>
  <c r="L45" i="7" s="1"/>
  <c r="E45" i="7"/>
  <c r="D45" i="7"/>
  <c r="P45" i="7" s="1"/>
  <c r="P44" i="7"/>
  <c r="R44" i="7" s="1"/>
  <c r="O44" i="7"/>
  <c r="N44" i="7"/>
  <c r="K44" i="7"/>
  <c r="I44" i="7"/>
  <c r="H44" i="7"/>
  <c r="J44" i="7" s="1"/>
  <c r="G44" i="7"/>
  <c r="L44" i="7" s="1"/>
  <c r="E44" i="7"/>
  <c r="Y44" i="7" s="1"/>
  <c r="D44" i="7"/>
  <c r="F44" i="7" s="1"/>
  <c r="M44" i="7" s="1"/>
  <c r="P43" i="7"/>
  <c r="R43" i="7" s="1"/>
  <c r="O43" i="7"/>
  <c r="N43" i="7"/>
  <c r="K43" i="7"/>
  <c r="I43" i="7"/>
  <c r="H43" i="7"/>
  <c r="L43" i="7" s="1"/>
  <c r="G43" i="7"/>
  <c r="E43" i="7"/>
  <c r="Y43" i="7" s="1"/>
  <c r="D43" i="7"/>
  <c r="F43" i="7" s="1"/>
  <c r="O42" i="7"/>
  <c r="N42" i="7"/>
  <c r="P42" i="7" s="1"/>
  <c r="K42" i="7"/>
  <c r="I42" i="7"/>
  <c r="J42" i="7" s="1"/>
  <c r="H42" i="7"/>
  <c r="G42" i="7"/>
  <c r="L42" i="7" s="1"/>
  <c r="F42" i="7"/>
  <c r="E42" i="7"/>
  <c r="Y42" i="7" s="1"/>
  <c r="D42" i="7"/>
  <c r="O41" i="7"/>
  <c r="N41" i="7"/>
  <c r="P41" i="7" s="1"/>
  <c r="R41" i="7" s="1"/>
  <c r="K41" i="7"/>
  <c r="I41" i="7"/>
  <c r="J41" i="7" s="1"/>
  <c r="H41" i="7"/>
  <c r="L41" i="7" s="1"/>
  <c r="G41" i="7"/>
  <c r="F41" i="7"/>
  <c r="D41" i="7"/>
  <c r="E41" i="7" s="1"/>
  <c r="O40" i="7"/>
  <c r="N40" i="7"/>
  <c r="L40" i="7"/>
  <c r="K40" i="7"/>
  <c r="I40" i="7"/>
  <c r="J40" i="7" s="1"/>
  <c r="H40" i="7"/>
  <c r="G40" i="7"/>
  <c r="D40" i="7"/>
  <c r="O39" i="7"/>
  <c r="N39" i="7"/>
  <c r="K39" i="7"/>
  <c r="I39" i="7"/>
  <c r="J39" i="7" s="1"/>
  <c r="H39" i="7"/>
  <c r="G39" i="7"/>
  <c r="L39" i="7" s="1"/>
  <c r="D39" i="7"/>
  <c r="O38" i="7"/>
  <c r="N38" i="7"/>
  <c r="K38" i="7"/>
  <c r="J38" i="7"/>
  <c r="I38" i="7"/>
  <c r="H38" i="7"/>
  <c r="G38" i="7"/>
  <c r="L38" i="7" s="1"/>
  <c r="D38" i="7"/>
  <c r="E38" i="7" s="1"/>
  <c r="Y38" i="7" s="1"/>
  <c r="O37" i="7"/>
  <c r="N37" i="7"/>
  <c r="K37" i="7"/>
  <c r="J37" i="7"/>
  <c r="I37" i="7"/>
  <c r="H37" i="7"/>
  <c r="G37" i="7"/>
  <c r="L37" i="7" s="1"/>
  <c r="E37" i="7"/>
  <c r="D37" i="7"/>
  <c r="P37" i="7" s="1"/>
  <c r="P36" i="7"/>
  <c r="O36" i="7"/>
  <c r="N36" i="7"/>
  <c r="K36" i="7"/>
  <c r="I36" i="7"/>
  <c r="H36" i="7"/>
  <c r="J36" i="7" s="1"/>
  <c r="G36" i="7"/>
  <c r="L36" i="7" s="1"/>
  <c r="M36" i="7" s="1"/>
  <c r="E36" i="7"/>
  <c r="D36" i="7"/>
  <c r="F36" i="7" s="1"/>
  <c r="P35" i="7"/>
  <c r="O35" i="7"/>
  <c r="N35" i="7"/>
  <c r="K35" i="7"/>
  <c r="I35" i="7"/>
  <c r="H35" i="7"/>
  <c r="G35" i="7"/>
  <c r="E35" i="7"/>
  <c r="Y35" i="7" s="1"/>
  <c r="D35" i="7"/>
  <c r="F35" i="7" s="1"/>
  <c r="O34" i="7"/>
  <c r="N34" i="7"/>
  <c r="P34" i="7" s="1"/>
  <c r="K34" i="7"/>
  <c r="I34" i="7"/>
  <c r="J34" i="7" s="1"/>
  <c r="H34" i="7"/>
  <c r="G34" i="7"/>
  <c r="F34" i="7"/>
  <c r="E34" i="7"/>
  <c r="Y34" i="7" s="1"/>
  <c r="D34" i="7"/>
  <c r="Y33" i="7"/>
  <c r="Q33" i="7"/>
  <c r="O33" i="7"/>
  <c r="N33" i="7"/>
  <c r="P33" i="7" s="1"/>
  <c r="R33" i="7" s="1"/>
  <c r="K33" i="7"/>
  <c r="I33" i="7"/>
  <c r="J33" i="7" s="1"/>
  <c r="H33" i="7"/>
  <c r="L33" i="7" s="1"/>
  <c r="G33" i="7"/>
  <c r="F33" i="7"/>
  <c r="D33" i="7"/>
  <c r="E33" i="7" s="1"/>
  <c r="O32" i="7"/>
  <c r="N32" i="7"/>
  <c r="L32" i="7"/>
  <c r="K32" i="7"/>
  <c r="I32" i="7"/>
  <c r="J32" i="7" s="1"/>
  <c r="H32" i="7"/>
  <c r="G32" i="7"/>
  <c r="D32" i="7"/>
  <c r="O31" i="7"/>
  <c r="N31" i="7"/>
  <c r="K31" i="7"/>
  <c r="I31" i="7"/>
  <c r="J31" i="7" s="1"/>
  <c r="H31" i="7"/>
  <c r="G31" i="7"/>
  <c r="L31" i="7" s="1"/>
  <c r="D31" i="7"/>
  <c r="O30" i="7"/>
  <c r="N30" i="7"/>
  <c r="K30" i="7"/>
  <c r="I30" i="7"/>
  <c r="J30" i="7" s="1"/>
  <c r="H30" i="7"/>
  <c r="G30" i="7"/>
  <c r="L30" i="7" s="1"/>
  <c r="D30" i="7"/>
  <c r="O29" i="7"/>
  <c r="N29" i="7"/>
  <c r="K29" i="7"/>
  <c r="J29" i="7"/>
  <c r="I29" i="7"/>
  <c r="H29" i="7"/>
  <c r="G29" i="7"/>
  <c r="L29" i="7" s="1"/>
  <c r="D29" i="7"/>
  <c r="O28" i="7"/>
  <c r="P28" i="7" s="1"/>
  <c r="N28" i="7"/>
  <c r="K28" i="7"/>
  <c r="I28" i="7"/>
  <c r="H28" i="7"/>
  <c r="J28" i="7" s="1"/>
  <c r="G28" i="7"/>
  <c r="E28" i="7"/>
  <c r="Y28" i="7" s="1"/>
  <c r="D28" i="7"/>
  <c r="F28" i="7" s="1"/>
  <c r="O27" i="7"/>
  <c r="N27" i="7"/>
  <c r="K27" i="7"/>
  <c r="L27" i="7" s="1"/>
  <c r="J27" i="7"/>
  <c r="I27" i="7"/>
  <c r="H27" i="7"/>
  <c r="G27" i="7"/>
  <c r="E27" i="7"/>
  <c r="D27" i="7"/>
  <c r="F27" i="7" s="1"/>
  <c r="M27" i="7" s="1"/>
  <c r="O26" i="7"/>
  <c r="P26" i="7" s="1"/>
  <c r="Q26" i="7" s="1"/>
  <c r="N26" i="7"/>
  <c r="K26" i="7"/>
  <c r="I26" i="7"/>
  <c r="H26" i="7"/>
  <c r="G26" i="7"/>
  <c r="F26" i="7"/>
  <c r="E26" i="7"/>
  <c r="Y26" i="7" s="1"/>
  <c r="D26" i="7"/>
  <c r="Y25" i="7"/>
  <c r="O25" i="7"/>
  <c r="N25" i="7"/>
  <c r="P25" i="7" s="1"/>
  <c r="K25" i="7"/>
  <c r="I25" i="7"/>
  <c r="J25" i="7" s="1"/>
  <c r="H25" i="7"/>
  <c r="G25" i="7"/>
  <c r="F25" i="7"/>
  <c r="D25" i="7"/>
  <c r="E25" i="7" s="1"/>
  <c r="O24" i="7"/>
  <c r="N24" i="7"/>
  <c r="K24" i="7"/>
  <c r="I24" i="7"/>
  <c r="J24" i="7" s="1"/>
  <c r="H24" i="7"/>
  <c r="G24" i="7"/>
  <c r="L24" i="7" s="1"/>
  <c r="F24" i="7"/>
  <c r="D24" i="7"/>
  <c r="Y23" i="7"/>
  <c r="P23" i="7"/>
  <c r="Q23" i="7" s="1"/>
  <c r="O23" i="7"/>
  <c r="N23" i="7"/>
  <c r="K23" i="7"/>
  <c r="I23" i="7"/>
  <c r="H23" i="7"/>
  <c r="J23" i="7" s="1"/>
  <c r="G23" i="7"/>
  <c r="L23" i="7" s="1"/>
  <c r="F23" i="7"/>
  <c r="D23" i="7"/>
  <c r="E23" i="7" s="1"/>
  <c r="O22" i="7"/>
  <c r="N22" i="7"/>
  <c r="L22" i="7"/>
  <c r="K22" i="7"/>
  <c r="J22" i="7"/>
  <c r="I22" i="7"/>
  <c r="H22" i="7"/>
  <c r="G22" i="7"/>
  <c r="D22" i="7"/>
  <c r="P21" i="7"/>
  <c r="O21" i="7"/>
  <c r="N21" i="7"/>
  <c r="K21" i="7"/>
  <c r="I21" i="7"/>
  <c r="H21" i="7"/>
  <c r="J21" i="7" s="1"/>
  <c r="G21" i="7"/>
  <c r="D21" i="7"/>
  <c r="R21" i="7" s="1"/>
  <c r="O20" i="7"/>
  <c r="P20" i="7" s="1"/>
  <c r="Q20" i="7" s="1"/>
  <c r="N20" i="7"/>
  <c r="K20" i="7"/>
  <c r="I20" i="7"/>
  <c r="J20" i="7" s="1"/>
  <c r="H20" i="7"/>
  <c r="G20" i="7"/>
  <c r="E20" i="7"/>
  <c r="Y20" i="7" s="1"/>
  <c r="D20" i="7"/>
  <c r="F20" i="7" s="1"/>
  <c r="P19" i="7"/>
  <c r="O19" i="7"/>
  <c r="N19" i="7"/>
  <c r="K19" i="7"/>
  <c r="I19" i="7"/>
  <c r="H19" i="7"/>
  <c r="G19" i="7"/>
  <c r="F19" i="7"/>
  <c r="E19" i="7"/>
  <c r="D19" i="7"/>
  <c r="Y18" i="7"/>
  <c r="O18" i="7"/>
  <c r="N18" i="7"/>
  <c r="K18" i="7"/>
  <c r="I18" i="7"/>
  <c r="J18" i="7" s="1"/>
  <c r="H18" i="7"/>
  <c r="G18" i="7"/>
  <c r="F18" i="7"/>
  <c r="E18" i="7"/>
  <c r="D18" i="7"/>
  <c r="Q17" i="7"/>
  <c r="O17" i="7"/>
  <c r="N17" i="7"/>
  <c r="P17" i="7" s="1"/>
  <c r="R17" i="7" s="1"/>
  <c r="K17" i="7"/>
  <c r="I17" i="7"/>
  <c r="J17" i="7" s="1"/>
  <c r="H17" i="7"/>
  <c r="G17" i="7"/>
  <c r="L17" i="7" s="1"/>
  <c r="F17" i="7"/>
  <c r="D17" i="7"/>
  <c r="E17" i="7" s="1"/>
  <c r="O16" i="7"/>
  <c r="N16" i="7"/>
  <c r="L16" i="7"/>
  <c r="K16" i="7"/>
  <c r="I16" i="7"/>
  <c r="J16" i="7" s="1"/>
  <c r="H16" i="7"/>
  <c r="G16" i="7"/>
  <c r="D16" i="7"/>
  <c r="O15" i="7"/>
  <c r="N15" i="7"/>
  <c r="K15" i="7"/>
  <c r="I15" i="7"/>
  <c r="H15" i="7"/>
  <c r="J15" i="7" s="1"/>
  <c r="G15" i="7"/>
  <c r="L15" i="7" s="1"/>
  <c r="D15" i="7"/>
  <c r="F15" i="7" s="1"/>
  <c r="M15" i="7" s="1"/>
  <c r="Y14" i="7"/>
  <c r="O14" i="7"/>
  <c r="P14" i="7" s="1"/>
  <c r="Q14" i="7" s="1"/>
  <c r="N14" i="7"/>
  <c r="K14" i="7"/>
  <c r="M14" i="7" s="1"/>
  <c r="J14" i="7"/>
  <c r="I14" i="7"/>
  <c r="H14" i="7"/>
  <c r="G14" i="7"/>
  <c r="L14" i="7" s="1"/>
  <c r="F14" i="7"/>
  <c r="E14" i="7"/>
  <c r="D14" i="7"/>
  <c r="O13" i="7"/>
  <c r="N13" i="7"/>
  <c r="L13" i="7"/>
  <c r="K13" i="7"/>
  <c r="J13" i="7"/>
  <c r="I13" i="7"/>
  <c r="H13" i="7"/>
  <c r="G13" i="7"/>
  <c r="E13" i="7"/>
  <c r="D13" i="7"/>
  <c r="P13" i="7" s="1"/>
  <c r="P12" i="7"/>
  <c r="Q12" i="7" s="1"/>
  <c r="O12" i="7"/>
  <c r="N12" i="7"/>
  <c r="K12" i="7"/>
  <c r="I12" i="7"/>
  <c r="H12" i="7"/>
  <c r="G12" i="7"/>
  <c r="F12" i="7"/>
  <c r="E12" i="7"/>
  <c r="D12" i="7"/>
  <c r="P11" i="7"/>
  <c r="R11" i="7" s="1"/>
  <c r="O11" i="7"/>
  <c r="N11" i="7"/>
  <c r="K11" i="7"/>
  <c r="I11" i="7"/>
  <c r="H11" i="7"/>
  <c r="J11" i="7" s="1"/>
  <c r="G11" i="7"/>
  <c r="D11" i="7"/>
  <c r="F11" i="7" s="1"/>
  <c r="O10" i="7"/>
  <c r="N10" i="7"/>
  <c r="K10" i="7"/>
  <c r="I10" i="7"/>
  <c r="J10" i="7" s="1"/>
  <c r="H10" i="7"/>
  <c r="G10" i="7"/>
  <c r="L10" i="7" s="1"/>
  <c r="F10" i="7"/>
  <c r="M10" i="7" s="1"/>
  <c r="E10" i="7"/>
  <c r="Y10" i="7" s="1"/>
  <c r="D10" i="7"/>
  <c r="Y9" i="7"/>
  <c r="O9" i="7"/>
  <c r="N9" i="7"/>
  <c r="P9" i="7" s="1"/>
  <c r="R9" i="7" s="1"/>
  <c r="K9" i="7"/>
  <c r="I9" i="7"/>
  <c r="J9" i="7" s="1"/>
  <c r="H9" i="7"/>
  <c r="G9" i="7"/>
  <c r="L9" i="7" s="1"/>
  <c r="F9" i="7"/>
  <c r="M9" i="7" s="1"/>
  <c r="D9" i="7"/>
  <c r="E9" i="7" s="1"/>
  <c r="O8" i="7"/>
  <c r="N8" i="7"/>
  <c r="L8" i="7"/>
  <c r="K8" i="7"/>
  <c r="I8" i="7"/>
  <c r="J8" i="7" s="1"/>
  <c r="H8" i="7"/>
  <c r="G8" i="7"/>
  <c r="D8" i="7"/>
  <c r="O7" i="7"/>
  <c r="N7" i="7"/>
  <c r="K7" i="7"/>
  <c r="I7" i="7"/>
  <c r="H7" i="7"/>
  <c r="J7" i="7" s="1"/>
  <c r="G7" i="7"/>
  <c r="L7" i="7" s="1"/>
  <c r="D7" i="7"/>
  <c r="F7" i="7" s="1"/>
  <c r="M7" i="7" s="1"/>
  <c r="Y6" i="7"/>
  <c r="R6" i="7"/>
  <c r="O6" i="7"/>
  <c r="P6" i="7" s="1"/>
  <c r="Q6" i="7" s="1"/>
  <c r="N6" i="7"/>
  <c r="K6" i="7"/>
  <c r="J6" i="7"/>
  <c r="I6" i="7"/>
  <c r="H6" i="7"/>
  <c r="G6" i="7"/>
  <c r="L6" i="7" s="1"/>
  <c r="F6" i="7"/>
  <c r="E6" i="7"/>
  <c r="D6" i="7"/>
  <c r="O5" i="7"/>
  <c r="N5" i="7"/>
  <c r="L5" i="7"/>
  <c r="K5" i="7"/>
  <c r="J5" i="7"/>
  <c r="I5" i="7"/>
  <c r="H5" i="7"/>
  <c r="G5" i="7"/>
  <c r="E5" i="7"/>
  <c r="D5" i="7"/>
  <c r="P5" i="7" s="1"/>
  <c r="P4" i="7"/>
  <c r="Q4" i="7" s="1"/>
  <c r="O4" i="7"/>
  <c r="N4" i="7"/>
  <c r="K4" i="7"/>
  <c r="I4" i="7"/>
  <c r="J4" i="7" s="1"/>
  <c r="H4" i="7"/>
  <c r="G4" i="7"/>
  <c r="L4" i="7" s="1"/>
  <c r="M4" i="7" s="1"/>
  <c r="F4" i="7"/>
  <c r="E4" i="7"/>
  <c r="D4" i="7"/>
  <c r="R4" i="7" s="1"/>
  <c r="P3" i="7"/>
  <c r="R3" i="7" s="1"/>
  <c r="O3" i="7"/>
  <c r="N3" i="7"/>
  <c r="K3" i="7"/>
  <c r="I3" i="7"/>
  <c r="H3" i="7"/>
  <c r="J3" i="7" s="1"/>
  <c r="G3" i="7"/>
  <c r="D3" i="7"/>
  <c r="F3" i="7" s="1"/>
  <c r="O2" i="7"/>
  <c r="N2" i="7"/>
  <c r="K2" i="7"/>
  <c r="I2" i="7"/>
  <c r="J2" i="7" s="1"/>
  <c r="H2" i="7"/>
  <c r="G2" i="7"/>
  <c r="L2" i="7" s="1"/>
  <c r="F2" i="7"/>
  <c r="M2" i="7" s="1"/>
  <c r="E2" i="7"/>
  <c r="Y2" i="7" s="1"/>
  <c r="D2" i="7"/>
  <c r="P601" i="6"/>
  <c r="O601" i="6"/>
  <c r="N601" i="6"/>
  <c r="K601" i="6"/>
  <c r="I601" i="6"/>
  <c r="H601" i="6"/>
  <c r="M601" i="6" s="1"/>
  <c r="G601" i="6"/>
  <c r="F601" i="6"/>
  <c r="E601" i="6"/>
  <c r="J601" i="6" s="1"/>
  <c r="P600" i="6"/>
  <c r="O600" i="6"/>
  <c r="N600" i="6"/>
  <c r="M600" i="6"/>
  <c r="K600" i="6"/>
  <c r="I600" i="6"/>
  <c r="H600" i="6"/>
  <c r="L600" i="6" s="1"/>
  <c r="G600" i="6"/>
  <c r="F600" i="6"/>
  <c r="E600" i="6"/>
  <c r="J600" i="6" s="1"/>
  <c r="P599" i="6"/>
  <c r="O599" i="6"/>
  <c r="N599" i="6"/>
  <c r="M599" i="6"/>
  <c r="L599" i="6"/>
  <c r="K599" i="6"/>
  <c r="I599" i="6"/>
  <c r="H599" i="6"/>
  <c r="G599" i="6"/>
  <c r="F599" i="6"/>
  <c r="E599" i="6"/>
  <c r="J599" i="6" s="1"/>
  <c r="P598" i="6"/>
  <c r="O598" i="6"/>
  <c r="N598" i="6"/>
  <c r="M598" i="6"/>
  <c r="K598" i="6"/>
  <c r="L598" i="6" s="1"/>
  <c r="I598" i="6"/>
  <c r="H598" i="6"/>
  <c r="G598" i="6"/>
  <c r="F598" i="6"/>
  <c r="E598" i="6"/>
  <c r="J598" i="6" s="1"/>
  <c r="P597" i="6"/>
  <c r="O597" i="6"/>
  <c r="N597" i="6"/>
  <c r="M597" i="6"/>
  <c r="L597" i="6"/>
  <c r="K597" i="6"/>
  <c r="J597" i="6"/>
  <c r="I597" i="6"/>
  <c r="H597" i="6"/>
  <c r="G597" i="6"/>
  <c r="F597" i="6"/>
  <c r="E597" i="6"/>
  <c r="P596" i="6"/>
  <c r="O596" i="6"/>
  <c r="N596" i="6"/>
  <c r="M596" i="6"/>
  <c r="K596" i="6"/>
  <c r="L596" i="6" s="1"/>
  <c r="I596" i="6"/>
  <c r="H596" i="6"/>
  <c r="G596" i="6"/>
  <c r="F596" i="6"/>
  <c r="E596" i="6"/>
  <c r="P595" i="6"/>
  <c r="O595" i="6"/>
  <c r="N595" i="6"/>
  <c r="K595" i="6"/>
  <c r="J595" i="6"/>
  <c r="I595" i="6"/>
  <c r="H595" i="6"/>
  <c r="L595" i="6" s="1"/>
  <c r="G595" i="6"/>
  <c r="F595" i="6"/>
  <c r="E595" i="6"/>
  <c r="P594" i="6"/>
  <c r="O594" i="6"/>
  <c r="N594" i="6"/>
  <c r="L594" i="6"/>
  <c r="K594" i="6"/>
  <c r="I594" i="6"/>
  <c r="H594" i="6"/>
  <c r="M594" i="6" s="1"/>
  <c r="G594" i="6"/>
  <c r="F594" i="6"/>
  <c r="E594" i="6"/>
  <c r="P593" i="6"/>
  <c r="O593" i="6"/>
  <c r="N593" i="6"/>
  <c r="K593" i="6"/>
  <c r="I593" i="6"/>
  <c r="H593" i="6"/>
  <c r="G593" i="6"/>
  <c r="F593" i="6"/>
  <c r="E593" i="6"/>
  <c r="J593" i="6" s="1"/>
  <c r="P592" i="6"/>
  <c r="O592" i="6"/>
  <c r="N592" i="6"/>
  <c r="M592" i="6"/>
  <c r="K592" i="6"/>
  <c r="I592" i="6"/>
  <c r="H592" i="6"/>
  <c r="L592" i="6" s="1"/>
  <c r="G592" i="6"/>
  <c r="F592" i="6"/>
  <c r="E592" i="6"/>
  <c r="J592" i="6" s="1"/>
  <c r="P591" i="6"/>
  <c r="O591" i="6"/>
  <c r="N591" i="6"/>
  <c r="K591" i="6"/>
  <c r="I591" i="6"/>
  <c r="H591" i="6"/>
  <c r="M591" i="6" s="1"/>
  <c r="G591" i="6"/>
  <c r="F591" i="6"/>
  <c r="E591" i="6"/>
  <c r="P590" i="6"/>
  <c r="O590" i="6"/>
  <c r="N590" i="6"/>
  <c r="M590" i="6"/>
  <c r="K590" i="6"/>
  <c r="I590" i="6"/>
  <c r="H590" i="6"/>
  <c r="G590" i="6"/>
  <c r="F590" i="6"/>
  <c r="E590" i="6"/>
  <c r="O589" i="6"/>
  <c r="N589" i="6"/>
  <c r="M589" i="6"/>
  <c r="L589" i="6"/>
  <c r="K589" i="6"/>
  <c r="I589" i="6"/>
  <c r="H589" i="6"/>
  <c r="G589" i="6"/>
  <c r="F589" i="6"/>
  <c r="E589" i="6"/>
  <c r="J589" i="6" s="1"/>
  <c r="O588" i="6"/>
  <c r="N588" i="6"/>
  <c r="M588" i="6"/>
  <c r="L588" i="6"/>
  <c r="K588" i="6"/>
  <c r="I588" i="6"/>
  <c r="H588" i="6"/>
  <c r="G588" i="6"/>
  <c r="F588" i="6"/>
  <c r="E588" i="6"/>
  <c r="O587" i="6"/>
  <c r="N587" i="6"/>
  <c r="K587" i="6"/>
  <c r="I587" i="6"/>
  <c r="H587" i="6"/>
  <c r="M587" i="6" s="1"/>
  <c r="G587" i="6"/>
  <c r="F587" i="6"/>
  <c r="E587" i="6"/>
  <c r="O586" i="6"/>
  <c r="N586" i="6"/>
  <c r="K586" i="6"/>
  <c r="I586" i="6"/>
  <c r="H586" i="6"/>
  <c r="M586" i="6" s="1"/>
  <c r="G586" i="6"/>
  <c r="F586" i="6"/>
  <c r="E586" i="6"/>
  <c r="J586" i="6" s="1"/>
  <c r="O585" i="6"/>
  <c r="N585" i="6"/>
  <c r="K585" i="6"/>
  <c r="I585" i="6"/>
  <c r="H585" i="6"/>
  <c r="M585" i="6" s="1"/>
  <c r="G585" i="6"/>
  <c r="F585" i="6"/>
  <c r="J585" i="6" s="1"/>
  <c r="E585" i="6"/>
  <c r="O584" i="6"/>
  <c r="N584" i="6"/>
  <c r="M584" i="6"/>
  <c r="K584" i="6"/>
  <c r="I584" i="6"/>
  <c r="H584" i="6"/>
  <c r="L584" i="6" s="1"/>
  <c r="G584" i="6"/>
  <c r="F584" i="6"/>
  <c r="E584" i="6"/>
  <c r="J584" i="6" s="1"/>
  <c r="O583" i="6"/>
  <c r="N583" i="6"/>
  <c r="M583" i="6"/>
  <c r="L583" i="6"/>
  <c r="K583" i="6"/>
  <c r="I583" i="6"/>
  <c r="H583" i="6"/>
  <c r="G583" i="6"/>
  <c r="F583" i="6"/>
  <c r="E583" i="6"/>
  <c r="J583" i="6" s="1"/>
  <c r="O582" i="6"/>
  <c r="N582" i="6"/>
  <c r="M582" i="6"/>
  <c r="K582" i="6"/>
  <c r="L582" i="6" s="1"/>
  <c r="I582" i="6"/>
  <c r="H582" i="6"/>
  <c r="G582" i="6"/>
  <c r="F582" i="6"/>
  <c r="E582" i="6"/>
  <c r="J582" i="6" s="1"/>
  <c r="O581" i="6"/>
  <c r="N581" i="6"/>
  <c r="M581" i="6"/>
  <c r="Q581" i="6" s="1"/>
  <c r="L581" i="6"/>
  <c r="K581" i="6"/>
  <c r="J581" i="6"/>
  <c r="I581" i="6"/>
  <c r="H581" i="6"/>
  <c r="G581" i="6"/>
  <c r="F581" i="6"/>
  <c r="E581" i="6"/>
  <c r="O580" i="6"/>
  <c r="N580" i="6"/>
  <c r="M580" i="6"/>
  <c r="K580" i="6"/>
  <c r="L580" i="6" s="1"/>
  <c r="I580" i="6"/>
  <c r="J580" i="6" s="1"/>
  <c r="H580" i="6"/>
  <c r="G580" i="6"/>
  <c r="F580" i="6"/>
  <c r="E580" i="6"/>
  <c r="O579" i="6"/>
  <c r="N579" i="6"/>
  <c r="K579" i="6"/>
  <c r="I579" i="6"/>
  <c r="H579" i="6"/>
  <c r="M579" i="6" s="1"/>
  <c r="G579" i="6"/>
  <c r="F579" i="6"/>
  <c r="E579" i="6"/>
  <c r="O578" i="6"/>
  <c r="N578" i="6"/>
  <c r="K578" i="6"/>
  <c r="I578" i="6"/>
  <c r="H578" i="6"/>
  <c r="M578" i="6" s="1"/>
  <c r="G578" i="6"/>
  <c r="F578" i="6"/>
  <c r="E578" i="6"/>
  <c r="S50" i="7" s="1"/>
  <c r="P577" i="6"/>
  <c r="O577" i="6"/>
  <c r="N577" i="6"/>
  <c r="K577" i="6"/>
  <c r="I577" i="6"/>
  <c r="H577" i="6"/>
  <c r="M577" i="6" s="1"/>
  <c r="G577" i="6"/>
  <c r="F577" i="6"/>
  <c r="J577" i="6" s="1"/>
  <c r="E577" i="6"/>
  <c r="P576" i="6"/>
  <c r="O576" i="6"/>
  <c r="N576" i="6"/>
  <c r="M576" i="6"/>
  <c r="R576" i="6" s="1"/>
  <c r="K576" i="6"/>
  <c r="I576" i="6"/>
  <c r="H576" i="6"/>
  <c r="L576" i="6" s="1"/>
  <c r="G576" i="6"/>
  <c r="F576" i="6"/>
  <c r="E576" i="6"/>
  <c r="J576" i="6" s="1"/>
  <c r="P575" i="6"/>
  <c r="O575" i="6"/>
  <c r="N575" i="6"/>
  <c r="M575" i="6"/>
  <c r="R575" i="6" s="1"/>
  <c r="L575" i="6"/>
  <c r="K575" i="6"/>
  <c r="I575" i="6"/>
  <c r="H575" i="6"/>
  <c r="G575" i="6"/>
  <c r="F575" i="6"/>
  <c r="E575" i="6"/>
  <c r="J575" i="6" s="1"/>
  <c r="P574" i="6"/>
  <c r="O574" i="6"/>
  <c r="N574" i="6"/>
  <c r="M574" i="6"/>
  <c r="K574" i="6"/>
  <c r="L574" i="6" s="1"/>
  <c r="I574" i="6"/>
  <c r="H574" i="6"/>
  <c r="G574" i="6"/>
  <c r="F574" i="6"/>
  <c r="E574" i="6"/>
  <c r="J574" i="6" s="1"/>
  <c r="P573" i="6"/>
  <c r="O573" i="6"/>
  <c r="N573" i="6"/>
  <c r="M573" i="6"/>
  <c r="Q573" i="6" s="1"/>
  <c r="L573" i="6"/>
  <c r="K573" i="6"/>
  <c r="J573" i="6"/>
  <c r="I573" i="6"/>
  <c r="H573" i="6"/>
  <c r="G573" i="6"/>
  <c r="F573" i="6"/>
  <c r="E573" i="6"/>
  <c r="P572" i="6"/>
  <c r="O572" i="6"/>
  <c r="N572" i="6"/>
  <c r="M572" i="6"/>
  <c r="L572" i="6"/>
  <c r="K572" i="6"/>
  <c r="I572" i="6"/>
  <c r="H572" i="6"/>
  <c r="G572" i="6"/>
  <c r="F572" i="6"/>
  <c r="E572" i="6"/>
  <c r="J572" i="6" s="1"/>
  <c r="P571" i="6"/>
  <c r="O571" i="6"/>
  <c r="N571" i="6"/>
  <c r="K571" i="6"/>
  <c r="I571" i="6"/>
  <c r="H571" i="6"/>
  <c r="M571" i="6" s="1"/>
  <c r="G571" i="6"/>
  <c r="F571" i="6"/>
  <c r="J571" i="6" s="1"/>
  <c r="E571" i="6"/>
  <c r="P570" i="6"/>
  <c r="O570" i="6"/>
  <c r="N570" i="6"/>
  <c r="K570" i="6"/>
  <c r="I570" i="6"/>
  <c r="H570" i="6"/>
  <c r="M570" i="6" s="1"/>
  <c r="G570" i="6"/>
  <c r="F570" i="6"/>
  <c r="E570" i="6"/>
  <c r="J570" i="6" s="1"/>
  <c r="P569" i="6"/>
  <c r="O569" i="6"/>
  <c r="N569" i="6"/>
  <c r="K569" i="6"/>
  <c r="I569" i="6"/>
  <c r="H569" i="6"/>
  <c r="M569" i="6" s="1"/>
  <c r="G569" i="6"/>
  <c r="F569" i="6"/>
  <c r="E569" i="6"/>
  <c r="J569" i="6" s="1"/>
  <c r="P568" i="6"/>
  <c r="O568" i="6"/>
  <c r="N568" i="6"/>
  <c r="M568" i="6"/>
  <c r="K568" i="6"/>
  <c r="I568" i="6"/>
  <c r="H568" i="6"/>
  <c r="L568" i="6" s="1"/>
  <c r="G568" i="6"/>
  <c r="F568" i="6"/>
  <c r="E568" i="6"/>
  <c r="J568" i="6" s="1"/>
  <c r="P567" i="6"/>
  <c r="O567" i="6"/>
  <c r="N567" i="6"/>
  <c r="M567" i="6"/>
  <c r="L567" i="6"/>
  <c r="K567" i="6"/>
  <c r="I567" i="6"/>
  <c r="H567" i="6"/>
  <c r="G567" i="6"/>
  <c r="F567" i="6"/>
  <c r="E567" i="6"/>
  <c r="J567" i="6" s="1"/>
  <c r="P566" i="6"/>
  <c r="O566" i="6"/>
  <c r="N566" i="6"/>
  <c r="M566" i="6"/>
  <c r="K566" i="6"/>
  <c r="L566" i="6" s="1"/>
  <c r="I566" i="6"/>
  <c r="H566" i="6"/>
  <c r="G566" i="6"/>
  <c r="F566" i="6"/>
  <c r="E566" i="6"/>
  <c r="S49" i="7" s="1"/>
  <c r="O565" i="6"/>
  <c r="N565" i="6"/>
  <c r="M565" i="6"/>
  <c r="Q565" i="6" s="1"/>
  <c r="K565" i="6"/>
  <c r="L565" i="6" s="1"/>
  <c r="J565" i="6"/>
  <c r="T48" i="7" s="1"/>
  <c r="AC48" i="7" s="1"/>
  <c r="AD48" i="7" s="1"/>
  <c r="I565" i="6"/>
  <c r="H565" i="6"/>
  <c r="G565" i="6"/>
  <c r="F565" i="6"/>
  <c r="E565" i="6"/>
  <c r="O564" i="6"/>
  <c r="N564" i="6"/>
  <c r="M564" i="6"/>
  <c r="L564" i="6"/>
  <c r="K564" i="6"/>
  <c r="I564" i="6"/>
  <c r="J564" i="6" s="1"/>
  <c r="H564" i="6"/>
  <c r="G564" i="6"/>
  <c r="F564" i="6"/>
  <c r="E564" i="6"/>
  <c r="P563" i="6"/>
  <c r="O563" i="6"/>
  <c r="N563" i="6"/>
  <c r="K563" i="6"/>
  <c r="I563" i="6"/>
  <c r="H563" i="6"/>
  <c r="G563" i="6"/>
  <c r="F563" i="6"/>
  <c r="J563" i="6" s="1"/>
  <c r="E563" i="6"/>
  <c r="O562" i="6"/>
  <c r="N562" i="6"/>
  <c r="K562" i="6"/>
  <c r="I562" i="6"/>
  <c r="H562" i="6"/>
  <c r="M562" i="6" s="1"/>
  <c r="G562" i="6"/>
  <c r="F562" i="6"/>
  <c r="E562" i="6"/>
  <c r="O561" i="6"/>
  <c r="N561" i="6"/>
  <c r="K561" i="6"/>
  <c r="I561" i="6"/>
  <c r="H561" i="6"/>
  <c r="M561" i="6" s="1"/>
  <c r="G561" i="6"/>
  <c r="F561" i="6"/>
  <c r="E561" i="6"/>
  <c r="O560" i="6"/>
  <c r="N560" i="6"/>
  <c r="M560" i="6"/>
  <c r="K560" i="6"/>
  <c r="I560" i="6"/>
  <c r="H560" i="6"/>
  <c r="L560" i="6" s="1"/>
  <c r="G560" i="6"/>
  <c r="F560" i="6"/>
  <c r="E560" i="6"/>
  <c r="J560" i="6" s="1"/>
  <c r="O559" i="6"/>
  <c r="N559" i="6"/>
  <c r="M559" i="6"/>
  <c r="L559" i="6"/>
  <c r="K559" i="6"/>
  <c r="I559" i="6"/>
  <c r="H559" i="6"/>
  <c r="G559" i="6"/>
  <c r="F559" i="6"/>
  <c r="E559" i="6"/>
  <c r="J559" i="6" s="1"/>
  <c r="O558" i="6"/>
  <c r="N558" i="6"/>
  <c r="M558" i="6"/>
  <c r="K558" i="6"/>
  <c r="L558" i="6" s="1"/>
  <c r="I558" i="6"/>
  <c r="H558" i="6"/>
  <c r="G558" i="6"/>
  <c r="F558" i="6"/>
  <c r="E558" i="6"/>
  <c r="J558" i="6" s="1"/>
  <c r="O557" i="6"/>
  <c r="N557" i="6"/>
  <c r="M557" i="6"/>
  <c r="Q557" i="6" s="1"/>
  <c r="L557" i="6"/>
  <c r="K557" i="6"/>
  <c r="J557" i="6"/>
  <c r="I557" i="6"/>
  <c r="H557" i="6"/>
  <c r="G557" i="6"/>
  <c r="F557" i="6"/>
  <c r="E557" i="6"/>
  <c r="O556" i="6"/>
  <c r="N556" i="6"/>
  <c r="M556" i="6"/>
  <c r="L556" i="6"/>
  <c r="K556" i="6"/>
  <c r="I556" i="6"/>
  <c r="J556" i="6" s="1"/>
  <c r="Q556" i="6" s="1"/>
  <c r="H556" i="6"/>
  <c r="G556" i="6"/>
  <c r="F556" i="6"/>
  <c r="E556" i="6"/>
  <c r="P555" i="6"/>
  <c r="O555" i="6"/>
  <c r="N555" i="6"/>
  <c r="K555" i="6"/>
  <c r="I555" i="6"/>
  <c r="H555" i="6"/>
  <c r="G555" i="6"/>
  <c r="F555" i="6"/>
  <c r="E555" i="6"/>
  <c r="O554" i="6"/>
  <c r="N554" i="6"/>
  <c r="K554" i="6"/>
  <c r="I554" i="6"/>
  <c r="H554" i="6"/>
  <c r="M554" i="6" s="1"/>
  <c r="G554" i="6"/>
  <c r="F554" i="6"/>
  <c r="E554" i="6"/>
  <c r="S48" i="7" s="1"/>
  <c r="O553" i="6"/>
  <c r="N553" i="6"/>
  <c r="K553" i="6"/>
  <c r="I553" i="6"/>
  <c r="H553" i="6"/>
  <c r="M553" i="6" s="1"/>
  <c r="G553" i="6"/>
  <c r="F553" i="6"/>
  <c r="E553" i="6"/>
  <c r="O552" i="6"/>
  <c r="N552" i="6"/>
  <c r="M552" i="6"/>
  <c r="K552" i="6"/>
  <c r="I552" i="6"/>
  <c r="H552" i="6"/>
  <c r="L552" i="6" s="1"/>
  <c r="G552" i="6"/>
  <c r="F552" i="6"/>
  <c r="E552" i="6"/>
  <c r="J552" i="6" s="1"/>
  <c r="O551" i="6"/>
  <c r="N551" i="6"/>
  <c r="M551" i="6"/>
  <c r="L551" i="6"/>
  <c r="K551" i="6"/>
  <c r="I551" i="6"/>
  <c r="H551" i="6"/>
  <c r="G551" i="6"/>
  <c r="F551" i="6"/>
  <c r="E551" i="6"/>
  <c r="J551" i="6" s="1"/>
  <c r="O550" i="6"/>
  <c r="N550" i="6"/>
  <c r="M550" i="6"/>
  <c r="K550" i="6"/>
  <c r="L550" i="6" s="1"/>
  <c r="I550" i="6"/>
  <c r="H550" i="6"/>
  <c r="G550" i="6"/>
  <c r="F550" i="6"/>
  <c r="E550" i="6"/>
  <c r="J550" i="6" s="1"/>
  <c r="O549" i="6"/>
  <c r="N549" i="6"/>
  <c r="M549" i="6"/>
  <c r="Q549" i="6" s="1"/>
  <c r="L549" i="6"/>
  <c r="K549" i="6"/>
  <c r="J549" i="6"/>
  <c r="I549" i="6"/>
  <c r="H549" i="6"/>
  <c r="G549" i="6"/>
  <c r="F549" i="6"/>
  <c r="E549" i="6"/>
  <c r="Q548" i="6"/>
  <c r="O548" i="6"/>
  <c r="N548" i="6"/>
  <c r="M548" i="6"/>
  <c r="K548" i="6"/>
  <c r="L548" i="6" s="1"/>
  <c r="I548" i="6"/>
  <c r="J548" i="6" s="1"/>
  <c r="H548" i="6"/>
  <c r="G548" i="6"/>
  <c r="F548" i="6"/>
  <c r="E548" i="6"/>
  <c r="O547" i="6"/>
  <c r="N547" i="6"/>
  <c r="K547" i="6"/>
  <c r="I547" i="6"/>
  <c r="H547" i="6"/>
  <c r="G547" i="6"/>
  <c r="F547" i="6"/>
  <c r="E547" i="6"/>
  <c r="O546" i="6"/>
  <c r="N546" i="6"/>
  <c r="K546" i="6"/>
  <c r="I546" i="6"/>
  <c r="H546" i="6"/>
  <c r="M546" i="6" s="1"/>
  <c r="G546" i="6"/>
  <c r="F546" i="6"/>
  <c r="E546" i="6"/>
  <c r="O545" i="6"/>
  <c r="N545" i="6"/>
  <c r="K545" i="6"/>
  <c r="I545" i="6"/>
  <c r="H545" i="6"/>
  <c r="M545" i="6" s="1"/>
  <c r="G545" i="6"/>
  <c r="F545" i="6"/>
  <c r="E545" i="6"/>
  <c r="O544" i="6"/>
  <c r="N544" i="6"/>
  <c r="M544" i="6"/>
  <c r="K544" i="6"/>
  <c r="I544" i="6"/>
  <c r="H544" i="6"/>
  <c r="L544" i="6" s="1"/>
  <c r="G544" i="6"/>
  <c r="F544" i="6"/>
  <c r="E544" i="6"/>
  <c r="J544" i="6" s="1"/>
  <c r="O543" i="6"/>
  <c r="N543" i="6"/>
  <c r="M543" i="6"/>
  <c r="L543" i="6"/>
  <c r="K543" i="6"/>
  <c r="I543" i="6"/>
  <c r="H543" i="6"/>
  <c r="G543" i="6"/>
  <c r="F543" i="6"/>
  <c r="E543" i="6"/>
  <c r="J543" i="6" s="1"/>
  <c r="O542" i="6"/>
  <c r="N542" i="6"/>
  <c r="M542" i="6"/>
  <c r="K542" i="6"/>
  <c r="L542" i="6" s="1"/>
  <c r="I542" i="6"/>
  <c r="H542" i="6"/>
  <c r="G542" i="6"/>
  <c r="F542" i="6"/>
  <c r="E542" i="6"/>
  <c r="S47" i="7" s="1"/>
  <c r="O541" i="6"/>
  <c r="N541" i="6"/>
  <c r="M541" i="6"/>
  <c r="Q541" i="6" s="1"/>
  <c r="L541" i="6"/>
  <c r="K541" i="6"/>
  <c r="J541" i="6"/>
  <c r="I541" i="6"/>
  <c r="H541" i="6"/>
  <c r="G541" i="6"/>
  <c r="F541" i="6"/>
  <c r="E541" i="6"/>
  <c r="O540" i="6"/>
  <c r="N540" i="6"/>
  <c r="M540" i="6"/>
  <c r="K540" i="6"/>
  <c r="L540" i="6" s="1"/>
  <c r="I540" i="6"/>
  <c r="H540" i="6"/>
  <c r="G540" i="6"/>
  <c r="F540" i="6"/>
  <c r="E540" i="6"/>
  <c r="O539" i="6"/>
  <c r="N539" i="6"/>
  <c r="M539" i="6"/>
  <c r="K539" i="6"/>
  <c r="I539" i="6"/>
  <c r="H539" i="6"/>
  <c r="L539" i="6" s="1"/>
  <c r="G539" i="6"/>
  <c r="F539" i="6"/>
  <c r="E539" i="6"/>
  <c r="J539" i="6" s="1"/>
  <c r="O538" i="6"/>
  <c r="N538" i="6"/>
  <c r="L538" i="6"/>
  <c r="K538" i="6"/>
  <c r="I538" i="6"/>
  <c r="H538" i="6"/>
  <c r="M538" i="6" s="1"/>
  <c r="G538" i="6"/>
  <c r="F538" i="6"/>
  <c r="E538" i="6"/>
  <c r="J538" i="6" s="1"/>
  <c r="O537" i="6"/>
  <c r="N537" i="6"/>
  <c r="K537" i="6"/>
  <c r="I537" i="6"/>
  <c r="H537" i="6"/>
  <c r="M537" i="6" s="1"/>
  <c r="G537" i="6"/>
  <c r="F537" i="6"/>
  <c r="E537" i="6"/>
  <c r="O536" i="6"/>
  <c r="N536" i="6"/>
  <c r="M536" i="6"/>
  <c r="K536" i="6"/>
  <c r="J536" i="6"/>
  <c r="I536" i="6"/>
  <c r="H536" i="6"/>
  <c r="L536" i="6" s="1"/>
  <c r="G536" i="6"/>
  <c r="F536" i="6"/>
  <c r="E536" i="6"/>
  <c r="O535" i="6"/>
  <c r="N535" i="6"/>
  <c r="M535" i="6"/>
  <c r="L535" i="6"/>
  <c r="K535" i="6"/>
  <c r="I535" i="6"/>
  <c r="H535" i="6"/>
  <c r="G535" i="6"/>
  <c r="F535" i="6"/>
  <c r="E535" i="6"/>
  <c r="J535" i="6" s="1"/>
  <c r="Q535" i="6" s="1"/>
  <c r="O534" i="6"/>
  <c r="N534" i="6"/>
  <c r="K534" i="6"/>
  <c r="I534" i="6"/>
  <c r="H534" i="6"/>
  <c r="G534" i="6"/>
  <c r="F534" i="6"/>
  <c r="E534" i="6"/>
  <c r="J534" i="6" s="1"/>
  <c r="O533" i="6"/>
  <c r="N533" i="6"/>
  <c r="M533" i="6"/>
  <c r="L533" i="6"/>
  <c r="K533" i="6"/>
  <c r="J533" i="6"/>
  <c r="I533" i="6"/>
  <c r="H533" i="6"/>
  <c r="G533" i="6"/>
  <c r="F533" i="6"/>
  <c r="E533" i="6"/>
  <c r="O532" i="6"/>
  <c r="N532" i="6"/>
  <c r="M532" i="6"/>
  <c r="K532" i="6"/>
  <c r="L532" i="6" s="1"/>
  <c r="I532" i="6"/>
  <c r="H532" i="6"/>
  <c r="G532" i="6"/>
  <c r="F532" i="6"/>
  <c r="E532" i="6"/>
  <c r="O531" i="6"/>
  <c r="N531" i="6"/>
  <c r="K531" i="6"/>
  <c r="I531" i="6"/>
  <c r="H531" i="6"/>
  <c r="L531" i="6" s="1"/>
  <c r="G531" i="6"/>
  <c r="F531" i="6"/>
  <c r="E531" i="6"/>
  <c r="O530" i="6"/>
  <c r="N530" i="6"/>
  <c r="L530" i="6"/>
  <c r="K530" i="6"/>
  <c r="I530" i="6"/>
  <c r="H530" i="6"/>
  <c r="M530" i="6" s="1"/>
  <c r="G530" i="6"/>
  <c r="F530" i="6"/>
  <c r="E530" i="6"/>
  <c r="S46" i="7" s="1"/>
  <c r="O529" i="6"/>
  <c r="N529" i="6"/>
  <c r="K529" i="6"/>
  <c r="I529" i="6"/>
  <c r="H529" i="6"/>
  <c r="M529" i="6" s="1"/>
  <c r="G529" i="6"/>
  <c r="F529" i="6"/>
  <c r="E529" i="6"/>
  <c r="J529" i="6" s="1"/>
  <c r="T45" i="7" s="1"/>
  <c r="AC45" i="7" s="1"/>
  <c r="O528" i="6"/>
  <c r="N528" i="6"/>
  <c r="M528" i="6"/>
  <c r="K528" i="6"/>
  <c r="I528" i="6"/>
  <c r="H528" i="6"/>
  <c r="L528" i="6" s="1"/>
  <c r="G528" i="6"/>
  <c r="F528" i="6"/>
  <c r="E528" i="6"/>
  <c r="J528" i="6" s="1"/>
  <c r="Q527" i="6"/>
  <c r="O527" i="6"/>
  <c r="N527" i="6"/>
  <c r="M527" i="6"/>
  <c r="L527" i="6"/>
  <c r="K527" i="6"/>
  <c r="I527" i="6"/>
  <c r="H527" i="6"/>
  <c r="G527" i="6"/>
  <c r="F527" i="6"/>
  <c r="E527" i="6"/>
  <c r="J527" i="6" s="1"/>
  <c r="O526" i="6"/>
  <c r="N526" i="6"/>
  <c r="K526" i="6"/>
  <c r="I526" i="6"/>
  <c r="H526" i="6"/>
  <c r="G526" i="6"/>
  <c r="F526" i="6"/>
  <c r="E526" i="6"/>
  <c r="O525" i="6"/>
  <c r="N525" i="6"/>
  <c r="M525" i="6"/>
  <c r="L525" i="6"/>
  <c r="K525" i="6"/>
  <c r="I525" i="6"/>
  <c r="H525" i="6"/>
  <c r="G525" i="6"/>
  <c r="J525" i="6" s="1"/>
  <c r="F525" i="6"/>
  <c r="E525" i="6"/>
  <c r="O524" i="6"/>
  <c r="N524" i="6"/>
  <c r="M524" i="6"/>
  <c r="K524" i="6"/>
  <c r="L524" i="6" s="1"/>
  <c r="I524" i="6"/>
  <c r="H524" i="6"/>
  <c r="G524" i="6"/>
  <c r="F524" i="6"/>
  <c r="J524" i="6" s="1"/>
  <c r="E524" i="6"/>
  <c r="O523" i="6"/>
  <c r="N523" i="6"/>
  <c r="K523" i="6"/>
  <c r="I523" i="6"/>
  <c r="H523" i="6"/>
  <c r="L523" i="6" s="1"/>
  <c r="G523" i="6"/>
  <c r="F523" i="6"/>
  <c r="E523" i="6"/>
  <c r="O522" i="6"/>
  <c r="N522" i="6"/>
  <c r="L522" i="6"/>
  <c r="K522" i="6"/>
  <c r="I522" i="6"/>
  <c r="H522" i="6"/>
  <c r="M522" i="6" s="1"/>
  <c r="G522" i="6"/>
  <c r="F522" i="6"/>
  <c r="E522" i="6"/>
  <c r="O521" i="6"/>
  <c r="N521" i="6"/>
  <c r="K521" i="6"/>
  <c r="I521" i="6"/>
  <c r="H521" i="6"/>
  <c r="M521" i="6" s="1"/>
  <c r="G521" i="6"/>
  <c r="F521" i="6"/>
  <c r="E521" i="6"/>
  <c r="J521" i="6" s="1"/>
  <c r="O520" i="6"/>
  <c r="N520" i="6"/>
  <c r="M520" i="6"/>
  <c r="K520" i="6"/>
  <c r="I520" i="6"/>
  <c r="H520" i="6"/>
  <c r="L520" i="6" s="1"/>
  <c r="G520" i="6"/>
  <c r="F520" i="6"/>
  <c r="E520" i="6"/>
  <c r="J520" i="6" s="1"/>
  <c r="O519" i="6"/>
  <c r="N519" i="6"/>
  <c r="M519" i="6"/>
  <c r="L519" i="6"/>
  <c r="K519" i="6"/>
  <c r="I519" i="6"/>
  <c r="H519" i="6"/>
  <c r="G519" i="6"/>
  <c r="F519" i="6"/>
  <c r="E519" i="6"/>
  <c r="O518" i="6"/>
  <c r="N518" i="6"/>
  <c r="K518" i="6"/>
  <c r="I518" i="6"/>
  <c r="H518" i="6"/>
  <c r="G518" i="6"/>
  <c r="F518" i="6"/>
  <c r="E518" i="6"/>
  <c r="S45" i="7" s="1"/>
  <c r="P517" i="6"/>
  <c r="O517" i="6"/>
  <c r="N517" i="6"/>
  <c r="M517" i="6"/>
  <c r="L517" i="6"/>
  <c r="K517" i="6"/>
  <c r="I517" i="6"/>
  <c r="H517" i="6"/>
  <c r="G517" i="6"/>
  <c r="J517" i="6" s="1"/>
  <c r="F517" i="6"/>
  <c r="E517" i="6"/>
  <c r="Q516" i="6"/>
  <c r="P516" i="6"/>
  <c r="O516" i="6"/>
  <c r="N516" i="6"/>
  <c r="M516" i="6"/>
  <c r="K516" i="6"/>
  <c r="L516" i="6" s="1"/>
  <c r="I516" i="6"/>
  <c r="H516" i="6"/>
  <c r="G516" i="6"/>
  <c r="F516" i="6"/>
  <c r="J516" i="6" s="1"/>
  <c r="E516" i="6"/>
  <c r="P515" i="6"/>
  <c r="O515" i="6"/>
  <c r="N515" i="6"/>
  <c r="K515" i="6"/>
  <c r="I515" i="6"/>
  <c r="H515" i="6"/>
  <c r="L515" i="6" s="1"/>
  <c r="G515" i="6"/>
  <c r="F515" i="6"/>
  <c r="E515" i="6"/>
  <c r="J515" i="6" s="1"/>
  <c r="P514" i="6"/>
  <c r="O514" i="6"/>
  <c r="N514" i="6"/>
  <c r="L514" i="6"/>
  <c r="K514" i="6"/>
  <c r="I514" i="6"/>
  <c r="H514" i="6"/>
  <c r="M514" i="6" s="1"/>
  <c r="G514" i="6"/>
  <c r="F514" i="6"/>
  <c r="E514" i="6"/>
  <c r="P513" i="6"/>
  <c r="O513" i="6"/>
  <c r="N513" i="6"/>
  <c r="K513" i="6"/>
  <c r="I513" i="6"/>
  <c r="H513" i="6"/>
  <c r="M513" i="6" s="1"/>
  <c r="G513" i="6"/>
  <c r="F513" i="6"/>
  <c r="E513" i="6"/>
  <c r="J513" i="6" s="1"/>
  <c r="P512" i="6"/>
  <c r="O512" i="6"/>
  <c r="N512" i="6"/>
  <c r="M512" i="6"/>
  <c r="K512" i="6"/>
  <c r="I512" i="6"/>
  <c r="H512" i="6"/>
  <c r="L512" i="6" s="1"/>
  <c r="G512" i="6"/>
  <c r="F512" i="6"/>
  <c r="E512" i="6"/>
  <c r="J512" i="6" s="1"/>
  <c r="P511" i="6"/>
  <c r="O511" i="6"/>
  <c r="N511" i="6"/>
  <c r="M511" i="6"/>
  <c r="L511" i="6"/>
  <c r="K511" i="6"/>
  <c r="I511" i="6"/>
  <c r="H511" i="6"/>
  <c r="G511" i="6"/>
  <c r="F511" i="6"/>
  <c r="E511" i="6"/>
  <c r="P510" i="6"/>
  <c r="O510" i="6"/>
  <c r="N510" i="6"/>
  <c r="K510" i="6"/>
  <c r="I510" i="6"/>
  <c r="H510" i="6"/>
  <c r="G510" i="6"/>
  <c r="F510" i="6"/>
  <c r="E510" i="6"/>
  <c r="P509" i="6"/>
  <c r="O509" i="6"/>
  <c r="N509" i="6"/>
  <c r="L509" i="6"/>
  <c r="K509" i="6"/>
  <c r="I509" i="6"/>
  <c r="H509" i="6"/>
  <c r="M509" i="6" s="1"/>
  <c r="G509" i="6"/>
  <c r="J509" i="6" s="1"/>
  <c r="F509" i="6"/>
  <c r="E509" i="6"/>
  <c r="P508" i="6"/>
  <c r="O508" i="6"/>
  <c r="N508" i="6"/>
  <c r="M508" i="6"/>
  <c r="K508" i="6"/>
  <c r="L508" i="6" s="1"/>
  <c r="I508" i="6"/>
  <c r="H508" i="6"/>
  <c r="G508" i="6"/>
  <c r="F508" i="6"/>
  <c r="J508" i="6" s="1"/>
  <c r="R508" i="6" s="1"/>
  <c r="E508" i="6"/>
  <c r="P507" i="6"/>
  <c r="O507" i="6"/>
  <c r="N507" i="6"/>
  <c r="K507" i="6"/>
  <c r="J507" i="6"/>
  <c r="I507" i="6"/>
  <c r="H507" i="6"/>
  <c r="L507" i="6" s="1"/>
  <c r="G507" i="6"/>
  <c r="F507" i="6"/>
  <c r="E507" i="6"/>
  <c r="P506" i="6"/>
  <c r="O506" i="6"/>
  <c r="N506" i="6"/>
  <c r="M506" i="6"/>
  <c r="L506" i="6"/>
  <c r="K506" i="6"/>
  <c r="I506" i="6"/>
  <c r="H506" i="6"/>
  <c r="G506" i="6"/>
  <c r="F506" i="6"/>
  <c r="E506" i="6"/>
  <c r="O505" i="6"/>
  <c r="N505" i="6"/>
  <c r="K505" i="6"/>
  <c r="I505" i="6"/>
  <c r="H505" i="6"/>
  <c r="M505" i="6" s="1"/>
  <c r="G505" i="6"/>
  <c r="F505" i="6"/>
  <c r="E505" i="6"/>
  <c r="O504" i="6"/>
  <c r="N504" i="6"/>
  <c r="M504" i="6"/>
  <c r="K504" i="6"/>
  <c r="J504" i="6"/>
  <c r="I504" i="6"/>
  <c r="H504" i="6"/>
  <c r="G504" i="6"/>
  <c r="F504" i="6"/>
  <c r="E504" i="6"/>
  <c r="O503" i="6"/>
  <c r="N503" i="6"/>
  <c r="M503" i="6"/>
  <c r="L503" i="6"/>
  <c r="K503" i="6"/>
  <c r="I503" i="6"/>
  <c r="H503" i="6"/>
  <c r="G503" i="6"/>
  <c r="F503" i="6"/>
  <c r="E503" i="6"/>
  <c r="J503" i="6" s="1"/>
  <c r="O502" i="6"/>
  <c r="N502" i="6"/>
  <c r="M502" i="6"/>
  <c r="K502" i="6"/>
  <c r="I502" i="6"/>
  <c r="H502" i="6"/>
  <c r="L502" i="6" s="1"/>
  <c r="G502" i="6"/>
  <c r="F502" i="6"/>
  <c r="E502" i="6"/>
  <c r="J502" i="6" s="1"/>
  <c r="O501" i="6"/>
  <c r="N501" i="6"/>
  <c r="M501" i="6"/>
  <c r="L501" i="6"/>
  <c r="K501" i="6"/>
  <c r="I501" i="6"/>
  <c r="H501" i="6"/>
  <c r="G501" i="6"/>
  <c r="F501" i="6"/>
  <c r="E501" i="6"/>
  <c r="J501" i="6" s="1"/>
  <c r="O500" i="6"/>
  <c r="N500" i="6"/>
  <c r="M500" i="6"/>
  <c r="L500" i="6"/>
  <c r="K500" i="6"/>
  <c r="I500" i="6"/>
  <c r="H500" i="6"/>
  <c r="G500" i="6"/>
  <c r="F500" i="6"/>
  <c r="E500" i="6"/>
  <c r="J500" i="6" s="1"/>
  <c r="O499" i="6"/>
  <c r="N499" i="6"/>
  <c r="M499" i="6"/>
  <c r="Q499" i="6" s="1"/>
  <c r="K499" i="6"/>
  <c r="L499" i="6" s="1"/>
  <c r="J499" i="6"/>
  <c r="I499" i="6"/>
  <c r="H499" i="6"/>
  <c r="G499" i="6"/>
  <c r="F499" i="6"/>
  <c r="E499" i="6"/>
  <c r="O498" i="6"/>
  <c r="N498" i="6"/>
  <c r="M498" i="6"/>
  <c r="K498" i="6"/>
  <c r="L498" i="6" s="1"/>
  <c r="J498" i="6"/>
  <c r="I498" i="6"/>
  <c r="H498" i="6"/>
  <c r="G498" i="6"/>
  <c r="F498" i="6"/>
  <c r="E498" i="6"/>
  <c r="O497" i="6"/>
  <c r="N497" i="6"/>
  <c r="K497" i="6"/>
  <c r="I497" i="6"/>
  <c r="H497" i="6"/>
  <c r="M497" i="6" s="1"/>
  <c r="G497" i="6"/>
  <c r="F497" i="6"/>
  <c r="E497" i="6"/>
  <c r="J497" i="6" s="1"/>
  <c r="O496" i="6"/>
  <c r="N496" i="6"/>
  <c r="K496" i="6"/>
  <c r="I496" i="6"/>
  <c r="H496" i="6"/>
  <c r="M496" i="6" s="1"/>
  <c r="G496" i="6"/>
  <c r="F496" i="6"/>
  <c r="E496" i="6"/>
  <c r="J496" i="6" s="1"/>
  <c r="O495" i="6"/>
  <c r="N495" i="6"/>
  <c r="K495" i="6"/>
  <c r="I495" i="6"/>
  <c r="H495" i="6"/>
  <c r="M495" i="6" s="1"/>
  <c r="G495" i="6"/>
  <c r="F495" i="6"/>
  <c r="J495" i="6" s="1"/>
  <c r="E495" i="6"/>
  <c r="O494" i="6"/>
  <c r="N494" i="6"/>
  <c r="M494" i="6"/>
  <c r="K494" i="6"/>
  <c r="I494" i="6"/>
  <c r="H494" i="6"/>
  <c r="L494" i="6" s="1"/>
  <c r="G494" i="6"/>
  <c r="F494" i="6"/>
  <c r="E494" i="6"/>
  <c r="S43" i="7" s="1"/>
  <c r="O493" i="6"/>
  <c r="N493" i="6"/>
  <c r="M493" i="6"/>
  <c r="L493" i="6"/>
  <c r="K493" i="6"/>
  <c r="I493" i="6"/>
  <c r="H493" i="6"/>
  <c r="G493" i="6"/>
  <c r="F493" i="6"/>
  <c r="E493" i="6"/>
  <c r="J493" i="6" s="1"/>
  <c r="O492" i="6"/>
  <c r="N492" i="6"/>
  <c r="M492" i="6"/>
  <c r="L492" i="6"/>
  <c r="K492" i="6"/>
  <c r="I492" i="6"/>
  <c r="H492" i="6"/>
  <c r="G492" i="6"/>
  <c r="F492" i="6"/>
  <c r="E492" i="6"/>
  <c r="J492" i="6" s="1"/>
  <c r="O491" i="6"/>
  <c r="N491" i="6"/>
  <c r="M491" i="6"/>
  <c r="Q491" i="6" s="1"/>
  <c r="K491" i="6"/>
  <c r="L491" i="6" s="1"/>
  <c r="J491" i="6"/>
  <c r="I491" i="6"/>
  <c r="H491" i="6"/>
  <c r="G491" i="6"/>
  <c r="F491" i="6"/>
  <c r="E491" i="6"/>
  <c r="O490" i="6"/>
  <c r="N490" i="6"/>
  <c r="M490" i="6"/>
  <c r="K490" i="6"/>
  <c r="L490" i="6" s="1"/>
  <c r="J490" i="6"/>
  <c r="I490" i="6"/>
  <c r="H490" i="6"/>
  <c r="G490" i="6"/>
  <c r="F490" i="6"/>
  <c r="E490" i="6"/>
  <c r="O489" i="6"/>
  <c r="N489" i="6"/>
  <c r="K489" i="6"/>
  <c r="I489" i="6"/>
  <c r="H489" i="6"/>
  <c r="M489" i="6" s="1"/>
  <c r="G489" i="6"/>
  <c r="F489" i="6"/>
  <c r="E489" i="6"/>
  <c r="J489" i="6" s="1"/>
  <c r="O488" i="6"/>
  <c r="N488" i="6"/>
  <c r="K488" i="6"/>
  <c r="I488" i="6"/>
  <c r="H488" i="6"/>
  <c r="M488" i="6" s="1"/>
  <c r="G488" i="6"/>
  <c r="F488" i="6"/>
  <c r="E488" i="6"/>
  <c r="J488" i="6" s="1"/>
  <c r="O487" i="6"/>
  <c r="N487" i="6"/>
  <c r="K487" i="6"/>
  <c r="I487" i="6"/>
  <c r="H487" i="6"/>
  <c r="M487" i="6" s="1"/>
  <c r="G487" i="6"/>
  <c r="F487" i="6"/>
  <c r="J487" i="6" s="1"/>
  <c r="E487" i="6"/>
  <c r="O486" i="6"/>
  <c r="N486" i="6"/>
  <c r="M486" i="6"/>
  <c r="K486" i="6"/>
  <c r="I486" i="6"/>
  <c r="H486" i="6"/>
  <c r="L486" i="6" s="1"/>
  <c r="G486" i="6"/>
  <c r="F486" i="6"/>
  <c r="E486" i="6"/>
  <c r="J486" i="6" s="1"/>
  <c r="O485" i="6"/>
  <c r="N485" i="6"/>
  <c r="M485" i="6"/>
  <c r="L485" i="6"/>
  <c r="K485" i="6"/>
  <c r="I485" i="6"/>
  <c r="H485" i="6"/>
  <c r="G485" i="6"/>
  <c r="F485" i="6"/>
  <c r="E485" i="6"/>
  <c r="J485" i="6" s="1"/>
  <c r="O484" i="6"/>
  <c r="N484" i="6"/>
  <c r="M484" i="6"/>
  <c r="L484" i="6"/>
  <c r="K484" i="6"/>
  <c r="I484" i="6"/>
  <c r="H484" i="6"/>
  <c r="G484" i="6"/>
  <c r="F484" i="6"/>
  <c r="E484" i="6"/>
  <c r="J484" i="6" s="1"/>
  <c r="O483" i="6"/>
  <c r="N483" i="6"/>
  <c r="M483" i="6"/>
  <c r="Q483" i="6" s="1"/>
  <c r="K483" i="6"/>
  <c r="L483" i="6" s="1"/>
  <c r="J483" i="6"/>
  <c r="I483" i="6"/>
  <c r="H483" i="6"/>
  <c r="G483" i="6"/>
  <c r="F483" i="6"/>
  <c r="E483" i="6"/>
  <c r="O482" i="6"/>
  <c r="N482" i="6"/>
  <c r="M482" i="6"/>
  <c r="K482" i="6"/>
  <c r="L482" i="6" s="1"/>
  <c r="J482" i="6"/>
  <c r="I482" i="6"/>
  <c r="H482" i="6"/>
  <c r="G482" i="6"/>
  <c r="F482" i="6"/>
  <c r="E482" i="6"/>
  <c r="S42" i="7" s="1"/>
  <c r="O481" i="6"/>
  <c r="N481" i="6"/>
  <c r="K481" i="6"/>
  <c r="I481" i="6"/>
  <c r="H481" i="6"/>
  <c r="M481" i="6" s="1"/>
  <c r="G481" i="6"/>
  <c r="F481" i="6"/>
  <c r="E481" i="6"/>
  <c r="O480" i="6"/>
  <c r="N480" i="6"/>
  <c r="K480" i="6"/>
  <c r="I480" i="6"/>
  <c r="H480" i="6"/>
  <c r="M480" i="6" s="1"/>
  <c r="G480" i="6"/>
  <c r="F480" i="6"/>
  <c r="E480" i="6"/>
  <c r="J480" i="6" s="1"/>
  <c r="O479" i="6"/>
  <c r="N479" i="6"/>
  <c r="K479" i="6"/>
  <c r="I479" i="6"/>
  <c r="H479" i="6"/>
  <c r="M479" i="6" s="1"/>
  <c r="G479" i="6"/>
  <c r="F479" i="6"/>
  <c r="J479" i="6" s="1"/>
  <c r="E479" i="6"/>
  <c r="O478" i="6"/>
  <c r="N478" i="6"/>
  <c r="M478" i="6"/>
  <c r="K478" i="6"/>
  <c r="I478" i="6"/>
  <c r="H478" i="6"/>
  <c r="L478" i="6" s="1"/>
  <c r="G478" i="6"/>
  <c r="F478" i="6"/>
  <c r="E478" i="6"/>
  <c r="J478" i="6" s="1"/>
  <c r="O477" i="6"/>
  <c r="N477" i="6"/>
  <c r="M477" i="6"/>
  <c r="L477" i="6"/>
  <c r="K477" i="6"/>
  <c r="I477" i="6"/>
  <c r="H477" i="6"/>
  <c r="G477" i="6"/>
  <c r="F477" i="6"/>
  <c r="E477" i="6"/>
  <c r="J477" i="6" s="1"/>
  <c r="O476" i="6"/>
  <c r="N476" i="6"/>
  <c r="M476" i="6"/>
  <c r="L476" i="6"/>
  <c r="K476" i="6"/>
  <c r="I476" i="6"/>
  <c r="H476" i="6"/>
  <c r="G476" i="6"/>
  <c r="F476" i="6"/>
  <c r="E476" i="6"/>
  <c r="J476" i="6" s="1"/>
  <c r="O475" i="6"/>
  <c r="N475" i="6"/>
  <c r="M475" i="6"/>
  <c r="Q475" i="6" s="1"/>
  <c r="K475" i="6"/>
  <c r="L475" i="6" s="1"/>
  <c r="J475" i="6"/>
  <c r="I475" i="6"/>
  <c r="H475" i="6"/>
  <c r="G475" i="6"/>
  <c r="F475" i="6"/>
  <c r="E475" i="6"/>
  <c r="O474" i="6"/>
  <c r="N474" i="6"/>
  <c r="M474" i="6"/>
  <c r="K474" i="6"/>
  <c r="L474" i="6" s="1"/>
  <c r="J474" i="6"/>
  <c r="I474" i="6"/>
  <c r="H474" i="6"/>
  <c r="G474" i="6"/>
  <c r="F474" i="6"/>
  <c r="E474" i="6"/>
  <c r="O473" i="6"/>
  <c r="N473" i="6"/>
  <c r="K473" i="6"/>
  <c r="I473" i="6"/>
  <c r="H473" i="6"/>
  <c r="M473" i="6" s="1"/>
  <c r="G473" i="6"/>
  <c r="F473" i="6"/>
  <c r="E473" i="6"/>
  <c r="O472" i="6"/>
  <c r="N472" i="6"/>
  <c r="K472" i="6"/>
  <c r="I472" i="6"/>
  <c r="H472" i="6"/>
  <c r="M472" i="6" s="1"/>
  <c r="G472" i="6"/>
  <c r="F472" i="6"/>
  <c r="E472" i="6"/>
  <c r="J472" i="6" s="1"/>
  <c r="O471" i="6"/>
  <c r="N471" i="6"/>
  <c r="K471" i="6"/>
  <c r="I471" i="6"/>
  <c r="H471" i="6"/>
  <c r="M471" i="6" s="1"/>
  <c r="G471" i="6"/>
  <c r="F471" i="6"/>
  <c r="J471" i="6" s="1"/>
  <c r="E471" i="6"/>
  <c r="O470" i="6"/>
  <c r="N470" i="6"/>
  <c r="M470" i="6"/>
  <c r="K470" i="6"/>
  <c r="I470" i="6"/>
  <c r="H470" i="6"/>
  <c r="L470" i="6" s="1"/>
  <c r="G470" i="6"/>
  <c r="F470" i="6"/>
  <c r="E470" i="6"/>
  <c r="S41" i="7" s="1"/>
  <c r="O469" i="6"/>
  <c r="N469" i="6"/>
  <c r="M469" i="6"/>
  <c r="L469" i="6"/>
  <c r="K469" i="6"/>
  <c r="I469" i="6"/>
  <c r="H469" i="6"/>
  <c r="G469" i="6"/>
  <c r="F469" i="6"/>
  <c r="E469" i="6"/>
  <c r="J469" i="6" s="1"/>
  <c r="O468" i="6"/>
  <c r="N468" i="6"/>
  <c r="M468" i="6"/>
  <c r="L468" i="6"/>
  <c r="K468" i="6"/>
  <c r="I468" i="6"/>
  <c r="H468" i="6"/>
  <c r="G468" i="6"/>
  <c r="F468" i="6"/>
  <c r="E468" i="6"/>
  <c r="J468" i="6" s="1"/>
  <c r="O467" i="6"/>
  <c r="N467" i="6"/>
  <c r="M467" i="6"/>
  <c r="Q467" i="6" s="1"/>
  <c r="K467" i="6"/>
  <c r="L467" i="6" s="1"/>
  <c r="J467" i="6"/>
  <c r="I467" i="6"/>
  <c r="H467" i="6"/>
  <c r="G467" i="6"/>
  <c r="F467" i="6"/>
  <c r="E467" i="6"/>
  <c r="O466" i="6"/>
  <c r="N466" i="6"/>
  <c r="M466" i="6"/>
  <c r="K466" i="6"/>
  <c r="L466" i="6" s="1"/>
  <c r="J466" i="6"/>
  <c r="I466" i="6"/>
  <c r="H466" i="6"/>
  <c r="G466" i="6"/>
  <c r="F466" i="6"/>
  <c r="E466" i="6"/>
  <c r="O465" i="6"/>
  <c r="N465" i="6"/>
  <c r="K465" i="6"/>
  <c r="I465" i="6"/>
  <c r="H465" i="6"/>
  <c r="M465" i="6" s="1"/>
  <c r="G465" i="6"/>
  <c r="F465" i="6"/>
  <c r="E465" i="6"/>
  <c r="O464" i="6"/>
  <c r="N464" i="6"/>
  <c r="K464" i="6"/>
  <c r="I464" i="6"/>
  <c r="H464" i="6"/>
  <c r="M464" i="6" s="1"/>
  <c r="G464" i="6"/>
  <c r="F464" i="6"/>
  <c r="E464" i="6"/>
  <c r="J464" i="6" s="1"/>
  <c r="O463" i="6"/>
  <c r="N463" i="6"/>
  <c r="K463" i="6"/>
  <c r="I463" i="6"/>
  <c r="H463" i="6"/>
  <c r="M463" i="6" s="1"/>
  <c r="G463" i="6"/>
  <c r="F463" i="6"/>
  <c r="J463" i="6" s="1"/>
  <c r="E463" i="6"/>
  <c r="O462" i="6"/>
  <c r="N462" i="6"/>
  <c r="M462" i="6"/>
  <c r="K462" i="6"/>
  <c r="I462" i="6"/>
  <c r="H462" i="6"/>
  <c r="L462" i="6" s="1"/>
  <c r="G462" i="6"/>
  <c r="F462" i="6"/>
  <c r="E462" i="6"/>
  <c r="J462" i="6" s="1"/>
  <c r="O461" i="6"/>
  <c r="N461" i="6"/>
  <c r="M461" i="6"/>
  <c r="L461" i="6"/>
  <c r="K461" i="6"/>
  <c r="I461" i="6"/>
  <c r="H461" i="6"/>
  <c r="G461" i="6"/>
  <c r="F461" i="6"/>
  <c r="E461" i="6"/>
  <c r="J461" i="6" s="1"/>
  <c r="O460" i="6"/>
  <c r="N460" i="6"/>
  <c r="M460" i="6"/>
  <c r="L460" i="6"/>
  <c r="K460" i="6"/>
  <c r="I460" i="6"/>
  <c r="H460" i="6"/>
  <c r="G460" i="6"/>
  <c r="F460" i="6"/>
  <c r="E460" i="6"/>
  <c r="J460" i="6" s="1"/>
  <c r="O459" i="6"/>
  <c r="N459" i="6"/>
  <c r="M459" i="6"/>
  <c r="Q459" i="6" s="1"/>
  <c r="K459" i="6"/>
  <c r="L459" i="6" s="1"/>
  <c r="J459" i="6"/>
  <c r="I459" i="6"/>
  <c r="H459" i="6"/>
  <c r="G459" i="6"/>
  <c r="F459" i="6"/>
  <c r="E459" i="6"/>
  <c r="O458" i="6"/>
  <c r="N458" i="6"/>
  <c r="M458" i="6"/>
  <c r="K458" i="6"/>
  <c r="L458" i="6" s="1"/>
  <c r="J458" i="6"/>
  <c r="I458" i="6"/>
  <c r="H458" i="6"/>
  <c r="G458" i="6"/>
  <c r="F458" i="6"/>
  <c r="E458" i="6"/>
  <c r="S40" i="7" s="1"/>
  <c r="O457" i="6"/>
  <c r="N457" i="6"/>
  <c r="K457" i="6"/>
  <c r="I457" i="6"/>
  <c r="H457" i="6"/>
  <c r="M457" i="6" s="1"/>
  <c r="G457" i="6"/>
  <c r="F457" i="6"/>
  <c r="E457" i="6"/>
  <c r="O456" i="6"/>
  <c r="N456" i="6"/>
  <c r="K456" i="6"/>
  <c r="I456" i="6"/>
  <c r="H456" i="6"/>
  <c r="M456" i="6" s="1"/>
  <c r="G456" i="6"/>
  <c r="F456" i="6"/>
  <c r="E456" i="6"/>
  <c r="J456" i="6" s="1"/>
  <c r="O455" i="6"/>
  <c r="N455" i="6"/>
  <c r="K455" i="6"/>
  <c r="I455" i="6"/>
  <c r="H455" i="6"/>
  <c r="M455" i="6" s="1"/>
  <c r="G455" i="6"/>
  <c r="F455" i="6"/>
  <c r="J455" i="6" s="1"/>
  <c r="E455" i="6"/>
  <c r="O454" i="6"/>
  <c r="N454" i="6"/>
  <c r="M454" i="6"/>
  <c r="K454" i="6"/>
  <c r="I454" i="6"/>
  <c r="H454" i="6"/>
  <c r="L454" i="6" s="1"/>
  <c r="G454" i="6"/>
  <c r="F454" i="6"/>
  <c r="E454" i="6"/>
  <c r="J454" i="6" s="1"/>
  <c r="O453" i="6"/>
  <c r="N453" i="6"/>
  <c r="M453" i="6"/>
  <c r="L453" i="6"/>
  <c r="K453" i="6"/>
  <c r="I453" i="6"/>
  <c r="H453" i="6"/>
  <c r="G453" i="6"/>
  <c r="F453" i="6"/>
  <c r="E453" i="6"/>
  <c r="J453" i="6" s="1"/>
  <c r="O452" i="6"/>
  <c r="N452" i="6"/>
  <c r="M452" i="6"/>
  <c r="L452" i="6"/>
  <c r="K452" i="6"/>
  <c r="I452" i="6"/>
  <c r="H452" i="6"/>
  <c r="G452" i="6"/>
  <c r="F452" i="6"/>
  <c r="E452" i="6"/>
  <c r="J452" i="6" s="1"/>
  <c r="O451" i="6"/>
  <c r="N451" i="6"/>
  <c r="M451" i="6"/>
  <c r="Q451" i="6" s="1"/>
  <c r="K451" i="6"/>
  <c r="L451" i="6" s="1"/>
  <c r="J451" i="6"/>
  <c r="I451" i="6"/>
  <c r="H451" i="6"/>
  <c r="G451" i="6"/>
  <c r="F451" i="6"/>
  <c r="E451" i="6"/>
  <c r="O450" i="6"/>
  <c r="N450" i="6"/>
  <c r="M450" i="6"/>
  <c r="L450" i="6"/>
  <c r="K450" i="6"/>
  <c r="J450" i="6"/>
  <c r="I450" i="6"/>
  <c r="H450" i="6"/>
  <c r="G450" i="6"/>
  <c r="F450" i="6"/>
  <c r="E450" i="6"/>
  <c r="O449" i="6"/>
  <c r="N449" i="6"/>
  <c r="K449" i="6"/>
  <c r="I449" i="6"/>
  <c r="H449" i="6"/>
  <c r="M449" i="6" s="1"/>
  <c r="G449" i="6"/>
  <c r="F449" i="6"/>
  <c r="E449" i="6"/>
  <c r="O448" i="6"/>
  <c r="N448" i="6"/>
  <c r="K448" i="6"/>
  <c r="I448" i="6"/>
  <c r="H448" i="6"/>
  <c r="M448" i="6" s="1"/>
  <c r="G448" i="6"/>
  <c r="J448" i="6" s="1"/>
  <c r="F448" i="6"/>
  <c r="E448" i="6"/>
  <c r="O447" i="6"/>
  <c r="N447" i="6"/>
  <c r="K447" i="6"/>
  <c r="I447" i="6"/>
  <c r="H447" i="6"/>
  <c r="M447" i="6" s="1"/>
  <c r="G447" i="6"/>
  <c r="F447" i="6"/>
  <c r="J447" i="6" s="1"/>
  <c r="E447" i="6"/>
  <c r="O446" i="6"/>
  <c r="N446" i="6"/>
  <c r="M446" i="6"/>
  <c r="K446" i="6"/>
  <c r="I446" i="6"/>
  <c r="H446" i="6"/>
  <c r="L446" i="6" s="1"/>
  <c r="G446" i="6"/>
  <c r="F446" i="6"/>
  <c r="E446" i="6"/>
  <c r="S39" i="7" s="1"/>
  <c r="O445" i="6"/>
  <c r="N445" i="6"/>
  <c r="M445" i="6"/>
  <c r="L445" i="6"/>
  <c r="K445" i="6"/>
  <c r="I445" i="6"/>
  <c r="H445" i="6"/>
  <c r="G445" i="6"/>
  <c r="F445" i="6"/>
  <c r="E445" i="6"/>
  <c r="J445" i="6" s="1"/>
  <c r="O444" i="6"/>
  <c r="N444" i="6"/>
  <c r="M444" i="6"/>
  <c r="L444" i="6"/>
  <c r="K444" i="6"/>
  <c r="I444" i="6"/>
  <c r="H444" i="6"/>
  <c r="G444" i="6"/>
  <c r="F444" i="6"/>
  <c r="E444" i="6"/>
  <c r="J444" i="6" s="1"/>
  <c r="O443" i="6"/>
  <c r="N443" i="6"/>
  <c r="M443" i="6"/>
  <c r="Q443" i="6" s="1"/>
  <c r="K443" i="6"/>
  <c r="L443" i="6" s="1"/>
  <c r="J443" i="6"/>
  <c r="I443" i="6"/>
  <c r="H443" i="6"/>
  <c r="G443" i="6"/>
  <c r="F443" i="6"/>
  <c r="E443" i="6"/>
  <c r="O442" i="6"/>
  <c r="N442" i="6"/>
  <c r="M442" i="6"/>
  <c r="L442" i="6"/>
  <c r="K442" i="6"/>
  <c r="J442" i="6"/>
  <c r="I442" i="6"/>
  <c r="H442" i="6"/>
  <c r="G442" i="6"/>
  <c r="F442" i="6"/>
  <c r="E442" i="6"/>
  <c r="O441" i="6"/>
  <c r="N441" i="6"/>
  <c r="K441" i="6"/>
  <c r="I441" i="6"/>
  <c r="H441" i="6"/>
  <c r="M441" i="6" s="1"/>
  <c r="G441" i="6"/>
  <c r="F441" i="6"/>
  <c r="E441" i="6"/>
  <c r="O440" i="6"/>
  <c r="N440" i="6"/>
  <c r="K440" i="6"/>
  <c r="I440" i="6"/>
  <c r="H440" i="6"/>
  <c r="G440" i="6"/>
  <c r="F440" i="6"/>
  <c r="E440" i="6"/>
  <c r="O439" i="6"/>
  <c r="N439" i="6"/>
  <c r="K439" i="6"/>
  <c r="I439" i="6"/>
  <c r="H439" i="6"/>
  <c r="M439" i="6" s="1"/>
  <c r="G439" i="6"/>
  <c r="F439" i="6"/>
  <c r="J439" i="6" s="1"/>
  <c r="E439" i="6"/>
  <c r="O438" i="6"/>
  <c r="N438" i="6"/>
  <c r="M438" i="6"/>
  <c r="K438" i="6"/>
  <c r="I438" i="6"/>
  <c r="H438" i="6"/>
  <c r="G438" i="6"/>
  <c r="F438" i="6"/>
  <c r="E438" i="6"/>
  <c r="O437" i="6"/>
  <c r="N437" i="6"/>
  <c r="L437" i="6"/>
  <c r="K437" i="6"/>
  <c r="I437" i="6"/>
  <c r="H437" i="6"/>
  <c r="M437" i="6" s="1"/>
  <c r="G437" i="6"/>
  <c r="F437" i="6"/>
  <c r="E437" i="6"/>
  <c r="J437" i="6" s="1"/>
  <c r="O436" i="6"/>
  <c r="N436" i="6"/>
  <c r="M436" i="6"/>
  <c r="Q436" i="6" s="1"/>
  <c r="K436" i="6"/>
  <c r="L436" i="6" s="1"/>
  <c r="I436" i="6"/>
  <c r="H436" i="6"/>
  <c r="G436" i="6"/>
  <c r="F436" i="6"/>
  <c r="E436" i="6"/>
  <c r="J436" i="6" s="1"/>
  <c r="O435" i="6"/>
  <c r="N435" i="6"/>
  <c r="K435" i="6"/>
  <c r="I435" i="6"/>
  <c r="H435" i="6"/>
  <c r="M435" i="6" s="1"/>
  <c r="G435" i="6"/>
  <c r="F435" i="6"/>
  <c r="E435" i="6"/>
  <c r="J435" i="6" s="1"/>
  <c r="O434" i="6"/>
  <c r="N434" i="6"/>
  <c r="K434" i="6"/>
  <c r="J434" i="6"/>
  <c r="I434" i="6"/>
  <c r="H434" i="6"/>
  <c r="M434" i="6" s="1"/>
  <c r="G434" i="6"/>
  <c r="F434" i="6"/>
  <c r="E434" i="6"/>
  <c r="S38" i="7" s="1"/>
  <c r="O433" i="6"/>
  <c r="N433" i="6"/>
  <c r="M433" i="6"/>
  <c r="L433" i="6"/>
  <c r="K433" i="6"/>
  <c r="I433" i="6"/>
  <c r="H433" i="6"/>
  <c r="G433" i="6"/>
  <c r="F433" i="6"/>
  <c r="E433" i="6"/>
  <c r="J433" i="6" s="1"/>
  <c r="O432" i="6"/>
  <c r="N432" i="6"/>
  <c r="K432" i="6"/>
  <c r="I432" i="6"/>
  <c r="H432" i="6"/>
  <c r="M432" i="6" s="1"/>
  <c r="G432" i="6"/>
  <c r="F432" i="6"/>
  <c r="E432" i="6"/>
  <c r="J432" i="6" s="1"/>
  <c r="O431" i="6"/>
  <c r="N431" i="6"/>
  <c r="M431" i="6"/>
  <c r="L431" i="6"/>
  <c r="K431" i="6"/>
  <c r="I431" i="6"/>
  <c r="H431" i="6"/>
  <c r="G431" i="6"/>
  <c r="F431" i="6"/>
  <c r="E431" i="6"/>
  <c r="J431" i="6" s="1"/>
  <c r="O430" i="6"/>
  <c r="N430" i="6"/>
  <c r="M430" i="6"/>
  <c r="K430" i="6"/>
  <c r="L430" i="6" s="1"/>
  <c r="I430" i="6"/>
  <c r="H430" i="6"/>
  <c r="G430" i="6"/>
  <c r="F430" i="6"/>
  <c r="E430" i="6"/>
  <c r="J430" i="6" s="1"/>
  <c r="O429" i="6"/>
  <c r="N429" i="6"/>
  <c r="M429" i="6"/>
  <c r="L429" i="6"/>
  <c r="K429" i="6"/>
  <c r="I429" i="6"/>
  <c r="H429" i="6"/>
  <c r="G429" i="6"/>
  <c r="F429" i="6"/>
  <c r="E429" i="6"/>
  <c r="J429" i="6" s="1"/>
  <c r="O428" i="6"/>
  <c r="N428" i="6"/>
  <c r="M428" i="6"/>
  <c r="L428" i="6"/>
  <c r="K428" i="6"/>
  <c r="I428" i="6"/>
  <c r="H428" i="6"/>
  <c r="G428" i="6"/>
  <c r="F428" i="6"/>
  <c r="E428" i="6"/>
  <c r="J428" i="6" s="1"/>
  <c r="O427" i="6"/>
  <c r="N427" i="6"/>
  <c r="K427" i="6"/>
  <c r="I427" i="6"/>
  <c r="H427" i="6"/>
  <c r="M427" i="6" s="1"/>
  <c r="G427" i="6"/>
  <c r="F427" i="6"/>
  <c r="J427" i="6" s="1"/>
  <c r="E427" i="6"/>
  <c r="O426" i="6"/>
  <c r="N426" i="6"/>
  <c r="M426" i="6"/>
  <c r="Q426" i="6" s="1"/>
  <c r="K426" i="6"/>
  <c r="J426" i="6"/>
  <c r="I426" i="6"/>
  <c r="H426" i="6"/>
  <c r="L426" i="6" s="1"/>
  <c r="G426" i="6"/>
  <c r="F426" i="6"/>
  <c r="E426" i="6"/>
  <c r="O425" i="6"/>
  <c r="N425" i="6"/>
  <c r="K425" i="6"/>
  <c r="I425" i="6"/>
  <c r="H425" i="6"/>
  <c r="M425" i="6" s="1"/>
  <c r="G425" i="6"/>
  <c r="F425" i="6"/>
  <c r="E425" i="6"/>
  <c r="J425" i="6" s="1"/>
  <c r="O424" i="6"/>
  <c r="N424" i="6"/>
  <c r="K424" i="6"/>
  <c r="I424" i="6"/>
  <c r="H424" i="6"/>
  <c r="M424" i="6" s="1"/>
  <c r="G424" i="6"/>
  <c r="F424" i="6"/>
  <c r="E424" i="6"/>
  <c r="J424" i="6" s="1"/>
  <c r="O423" i="6"/>
  <c r="N423" i="6"/>
  <c r="M423" i="6"/>
  <c r="L423" i="6"/>
  <c r="K423" i="6"/>
  <c r="I423" i="6"/>
  <c r="H423" i="6"/>
  <c r="G423" i="6"/>
  <c r="F423" i="6"/>
  <c r="E423" i="6"/>
  <c r="J423" i="6" s="1"/>
  <c r="O422" i="6"/>
  <c r="N422" i="6"/>
  <c r="M422" i="6"/>
  <c r="K422" i="6"/>
  <c r="L422" i="6" s="1"/>
  <c r="I422" i="6"/>
  <c r="H422" i="6"/>
  <c r="G422" i="6"/>
  <c r="F422" i="6"/>
  <c r="E422" i="6"/>
  <c r="S37" i="7" s="1"/>
  <c r="P421" i="6"/>
  <c r="O421" i="6"/>
  <c r="N421" i="6"/>
  <c r="M421" i="6"/>
  <c r="R421" i="6" s="1"/>
  <c r="L421" i="6"/>
  <c r="K421" i="6"/>
  <c r="I421" i="6"/>
  <c r="H421" i="6"/>
  <c r="G421" i="6"/>
  <c r="F421" i="6"/>
  <c r="E421" i="6"/>
  <c r="J421" i="6" s="1"/>
  <c r="P420" i="6"/>
  <c r="O420" i="6"/>
  <c r="N420" i="6"/>
  <c r="M420" i="6"/>
  <c r="R420" i="6" s="1"/>
  <c r="L420" i="6"/>
  <c r="K420" i="6"/>
  <c r="I420" i="6"/>
  <c r="H420" i="6"/>
  <c r="G420" i="6"/>
  <c r="F420" i="6"/>
  <c r="E420" i="6"/>
  <c r="J420" i="6" s="1"/>
  <c r="P419" i="6"/>
  <c r="O419" i="6"/>
  <c r="N419" i="6"/>
  <c r="K419" i="6"/>
  <c r="I419" i="6"/>
  <c r="H419" i="6"/>
  <c r="M419" i="6" s="1"/>
  <c r="G419" i="6"/>
  <c r="F419" i="6"/>
  <c r="J419" i="6" s="1"/>
  <c r="E419" i="6"/>
  <c r="P418" i="6"/>
  <c r="O418" i="6"/>
  <c r="N418" i="6"/>
  <c r="M418" i="6"/>
  <c r="Q418" i="6" s="1"/>
  <c r="K418" i="6"/>
  <c r="J418" i="6"/>
  <c r="S418" i="6" s="1"/>
  <c r="I418" i="6"/>
  <c r="H418" i="6"/>
  <c r="L418" i="6" s="1"/>
  <c r="G418" i="6"/>
  <c r="F418" i="6"/>
  <c r="E418" i="6"/>
  <c r="P417" i="6"/>
  <c r="O417" i="6"/>
  <c r="N417" i="6"/>
  <c r="K417" i="6"/>
  <c r="I417" i="6"/>
  <c r="H417" i="6"/>
  <c r="M417" i="6" s="1"/>
  <c r="G417" i="6"/>
  <c r="F417" i="6"/>
  <c r="E417" i="6"/>
  <c r="J417" i="6" s="1"/>
  <c r="P416" i="6"/>
  <c r="O416" i="6"/>
  <c r="N416" i="6"/>
  <c r="K416" i="6"/>
  <c r="I416" i="6"/>
  <c r="H416" i="6"/>
  <c r="M416" i="6" s="1"/>
  <c r="G416" i="6"/>
  <c r="F416" i="6"/>
  <c r="E416" i="6"/>
  <c r="J416" i="6" s="1"/>
  <c r="P415" i="6"/>
  <c r="O415" i="6"/>
  <c r="N415" i="6"/>
  <c r="M415" i="6"/>
  <c r="L415" i="6"/>
  <c r="K415" i="6"/>
  <c r="I415" i="6"/>
  <c r="H415" i="6"/>
  <c r="G415" i="6"/>
  <c r="F415" i="6"/>
  <c r="E415" i="6"/>
  <c r="J415" i="6" s="1"/>
  <c r="P414" i="6"/>
  <c r="O414" i="6"/>
  <c r="N414" i="6"/>
  <c r="M414" i="6"/>
  <c r="K414" i="6"/>
  <c r="L414" i="6" s="1"/>
  <c r="I414" i="6"/>
  <c r="H414" i="6"/>
  <c r="G414" i="6"/>
  <c r="F414" i="6"/>
  <c r="E414" i="6"/>
  <c r="J414" i="6" s="1"/>
  <c r="P413" i="6"/>
  <c r="O413" i="6"/>
  <c r="N413" i="6"/>
  <c r="M413" i="6"/>
  <c r="R413" i="6" s="1"/>
  <c r="L413" i="6"/>
  <c r="K413" i="6"/>
  <c r="I413" i="6"/>
  <c r="H413" i="6"/>
  <c r="G413" i="6"/>
  <c r="F413" i="6"/>
  <c r="E413" i="6"/>
  <c r="J413" i="6" s="1"/>
  <c r="P412" i="6"/>
  <c r="O412" i="6"/>
  <c r="N412" i="6"/>
  <c r="K412" i="6"/>
  <c r="I412" i="6"/>
  <c r="H412" i="6"/>
  <c r="G412" i="6"/>
  <c r="F412" i="6"/>
  <c r="E412" i="6"/>
  <c r="P411" i="6"/>
  <c r="O411" i="6"/>
  <c r="N411" i="6"/>
  <c r="K411" i="6"/>
  <c r="I411" i="6"/>
  <c r="H411" i="6"/>
  <c r="M411" i="6" s="1"/>
  <c r="G411" i="6"/>
  <c r="F411" i="6"/>
  <c r="E411" i="6"/>
  <c r="P410" i="6"/>
  <c r="O410" i="6"/>
  <c r="N410" i="6"/>
  <c r="K410" i="6"/>
  <c r="I410" i="6"/>
  <c r="H410" i="6"/>
  <c r="M410" i="6" s="1"/>
  <c r="G410" i="6"/>
  <c r="F410" i="6"/>
  <c r="J410" i="6" s="1"/>
  <c r="E410" i="6"/>
  <c r="S36" i="7" s="1"/>
  <c r="N409" i="6"/>
  <c r="M409" i="6"/>
  <c r="L409" i="6"/>
  <c r="K409" i="6"/>
  <c r="I409" i="6"/>
  <c r="H409" i="6"/>
  <c r="G409" i="6"/>
  <c r="F409" i="6"/>
  <c r="E409" i="6"/>
  <c r="J409" i="6" s="1"/>
  <c r="N408" i="6"/>
  <c r="L408" i="6"/>
  <c r="K408" i="6"/>
  <c r="I408" i="6"/>
  <c r="H408" i="6"/>
  <c r="M408" i="6" s="1"/>
  <c r="G408" i="6"/>
  <c r="F408" i="6"/>
  <c r="E408" i="6"/>
  <c r="J408" i="6" s="1"/>
  <c r="N407" i="6"/>
  <c r="M407" i="6"/>
  <c r="K407" i="6"/>
  <c r="L407" i="6" s="1"/>
  <c r="I407" i="6"/>
  <c r="H407" i="6"/>
  <c r="G407" i="6"/>
  <c r="F407" i="6"/>
  <c r="E407" i="6"/>
  <c r="J407" i="6" s="1"/>
  <c r="N406" i="6"/>
  <c r="M406" i="6"/>
  <c r="Q406" i="6" s="1"/>
  <c r="K406" i="6"/>
  <c r="L406" i="6" s="1"/>
  <c r="J406" i="6"/>
  <c r="I406" i="6"/>
  <c r="H406" i="6"/>
  <c r="G406" i="6"/>
  <c r="F406" i="6"/>
  <c r="E406" i="6"/>
  <c r="N405" i="6"/>
  <c r="M405" i="6"/>
  <c r="L405" i="6"/>
  <c r="K405" i="6"/>
  <c r="I405" i="6"/>
  <c r="H405" i="6"/>
  <c r="G405" i="6"/>
  <c r="F405" i="6"/>
  <c r="E405" i="6"/>
  <c r="N404" i="6"/>
  <c r="K404" i="6"/>
  <c r="I404" i="6"/>
  <c r="H404" i="6"/>
  <c r="G404" i="6"/>
  <c r="F404" i="6"/>
  <c r="E404" i="6"/>
  <c r="N403" i="6"/>
  <c r="K403" i="6"/>
  <c r="I403" i="6"/>
  <c r="H403" i="6"/>
  <c r="M403" i="6" s="1"/>
  <c r="G403" i="6"/>
  <c r="F403" i="6"/>
  <c r="E403" i="6"/>
  <c r="J403" i="6" s="1"/>
  <c r="N402" i="6"/>
  <c r="K402" i="6"/>
  <c r="I402" i="6"/>
  <c r="H402" i="6"/>
  <c r="M402" i="6" s="1"/>
  <c r="G402" i="6"/>
  <c r="F402" i="6"/>
  <c r="J402" i="6" s="1"/>
  <c r="E402" i="6"/>
  <c r="N401" i="6"/>
  <c r="M401" i="6"/>
  <c r="K401" i="6"/>
  <c r="I401" i="6"/>
  <c r="H401" i="6"/>
  <c r="L401" i="6" s="1"/>
  <c r="G401" i="6"/>
  <c r="F401" i="6"/>
  <c r="E401" i="6"/>
  <c r="J401" i="6" s="1"/>
  <c r="N400" i="6"/>
  <c r="L400" i="6"/>
  <c r="K400" i="6"/>
  <c r="I400" i="6"/>
  <c r="H400" i="6"/>
  <c r="M400" i="6" s="1"/>
  <c r="G400" i="6"/>
  <c r="F400" i="6"/>
  <c r="E400" i="6"/>
  <c r="J400" i="6" s="1"/>
  <c r="N399" i="6"/>
  <c r="M399" i="6"/>
  <c r="K399" i="6"/>
  <c r="L399" i="6" s="1"/>
  <c r="I399" i="6"/>
  <c r="H399" i="6"/>
  <c r="G399" i="6"/>
  <c r="F399" i="6"/>
  <c r="E399" i="6"/>
  <c r="J399" i="6" s="1"/>
  <c r="N398" i="6"/>
  <c r="M398" i="6"/>
  <c r="K398" i="6"/>
  <c r="L398" i="6" s="1"/>
  <c r="J398" i="6"/>
  <c r="I398" i="6"/>
  <c r="H398" i="6"/>
  <c r="G398" i="6"/>
  <c r="F398" i="6"/>
  <c r="E398" i="6"/>
  <c r="S35" i="7" s="1"/>
  <c r="N397" i="6"/>
  <c r="M397" i="6"/>
  <c r="L397" i="6"/>
  <c r="K397" i="6"/>
  <c r="I397" i="6"/>
  <c r="H397" i="6"/>
  <c r="G397" i="6"/>
  <c r="F397" i="6"/>
  <c r="E397" i="6"/>
  <c r="N396" i="6"/>
  <c r="K396" i="6"/>
  <c r="I396" i="6"/>
  <c r="H396" i="6"/>
  <c r="G396" i="6"/>
  <c r="F396" i="6"/>
  <c r="E396" i="6"/>
  <c r="N395" i="6"/>
  <c r="K395" i="6"/>
  <c r="I395" i="6"/>
  <c r="H395" i="6"/>
  <c r="M395" i="6" s="1"/>
  <c r="G395" i="6"/>
  <c r="F395" i="6"/>
  <c r="E395" i="6"/>
  <c r="J395" i="6" s="1"/>
  <c r="N394" i="6"/>
  <c r="K394" i="6"/>
  <c r="I394" i="6"/>
  <c r="H394" i="6"/>
  <c r="M394" i="6" s="1"/>
  <c r="G394" i="6"/>
  <c r="F394" i="6"/>
  <c r="J394" i="6" s="1"/>
  <c r="E394" i="6"/>
  <c r="N393" i="6"/>
  <c r="M393" i="6"/>
  <c r="K393" i="6"/>
  <c r="I393" i="6"/>
  <c r="H393" i="6"/>
  <c r="L393" i="6" s="1"/>
  <c r="G393" i="6"/>
  <c r="F393" i="6"/>
  <c r="E393" i="6"/>
  <c r="J393" i="6" s="1"/>
  <c r="N392" i="6"/>
  <c r="L392" i="6"/>
  <c r="K392" i="6"/>
  <c r="I392" i="6"/>
  <c r="H392" i="6"/>
  <c r="M392" i="6" s="1"/>
  <c r="G392" i="6"/>
  <c r="F392" i="6"/>
  <c r="E392" i="6"/>
  <c r="J392" i="6" s="1"/>
  <c r="N391" i="6"/>
  <c r="M391" i="6"/>
  <c r="K391" i="6"/>
  <c r="L391" i="6" s="1"/>
  <c r="I391" i="6"/>
  <c r="H391" i="6"/>
  <c r="G391" i="6"/>
  <c r="F391" i="6"/>
  <c r="E391" i="6"/>
  <c r="J391" i="6" s="1"/>
  <c r="N390" i="6"/>
  <c r="M390" i="6"/>
  <c r="Q390" i="6" s="1"/>
  <c r="K390" i="6"/>
  <c r="L390" i="6" s="1"/>
  <c r="J390" i="6"/>
  <c r="I390" i="6"/>
  <c r="H390" i="6"/>
  <c r="G390" i="6"/>
  <c r="F390" i="6"/>
  <c r="E390" i="6"/>
  <c r="N389" i="6"/>
  <c r="M389" i="6"/>
  <c r="L389" i="6"/>
  <c r="K389" i="6"/>
  <c r="I389" i="6"/>
  <c r="H389" i="6"/>
  <c r="G389" i="6"/>
  <c r="F389" i="6"/>
  <c r="E389" i="6"/>
  <c r="N388" i="6"/>
  <c r="K388" i="6"/>
  <c r="I388" i="6"/>
  <c r="H388" i="6"/>
  <c r="G388" i="6"/>
  <c r="F388" i="6"/>
  <c r="E388" i="6"/>
  <c r="N387" i="6"/>
  <c r="K387" i="6"/>
  <c r="I387" i="6"/>
  <c r="H387" i="6"/>
  <c r="M387" i="6" s="1"/>
  <c r="G387" i="6"/>
  <c r="J387" i="6" s="1"/>
  <c r="F387" i="6"/>
  <c r="E387" i="6"/>
  <c r="N386" i="6"/>
  <c r="K386" i="6"/>
  <c r="I386" i="6"/>
  <c r="H386" i="6"/>
  <c r="M386" i="6" s="1"/>
  <c r="G386" i="6"/>
  <c r="F386" i="6"/>
  <c r="J386" i="6" s="1"/>
  <c r="E386" i="6"/>
  <c r="S34" i="7" s="1"/>
  <c r="O385" i="6"/>
  <c r="N385" i="6"/>
  <c r="M385" i="6"/>
  <c r="K385" i="6"/>
  <c r="I385" i="6"/>
  <c r="H385" i="6"/>
  <c r="L385" i="6" s="1"/>
  <c r="G385" i="6"/>
  <c r="F385" i="6"/>
  <c r="E385" i="6"/>
  <c r="J385" i="6" s="1"/>
  <c r="O384" i="6"/>
  <c r="N384" i="6"/>
  <c r="L384" i="6"/>
  <c r="K384" i="6"/>
  <c r="I384" i="6"/>
  <c r="H384" i="6"/>
  <c r="M384" i="6" s="1"/>
  <c r="G384" i="6"/>
  <c r="F384" i="6"/>
  <c r="E384" i="6"/>
  <c r="J384" i="6" s="1"/>
  <c r="O383" i="6"/>
  <c r="N383" i="6"/>
  <c r="M383" i="6"/>
  <c r="K383" i="6"/>
  <c r="L383" i="6" s="1"/>
  <c r="I383" i="6"/>
  <c r="H383" i="6"/>
  <c r="G383" i="6"/>
  <c r="F383" i="6"/>
  <c r="E383" i="6"/>
  <c r="J383" i="6" s="1"/>
  <c r="O382" i="6"/>
  <c r="N382" i="6"/>
  <c r="M382" i="6"/>
  <c r="Q382" i="6" s="1"/>
  <c r="K382" i="6"/>
  <c r="L382" i="6" s="1"/>
  <c r="J382" i="6"/>
  <c r="I382" i="6"/>
  <c r="H382" i="6"/>
  <c r="G382" i="6"/>
  <c r="F382" i="6"/>
  <c r="E382" i="6"/>
  <c r="O381" i="6"/>
  <c r="N381" i="6"/>
  <c r="M381" i="6"/>
  <c r="L381" i="6"/>
  <c r="K381" i="6"/>
  <c r="I381" i="6"/>
  <c r="H381" i="6"/>
  <c r="G381" i="6"/>
  <c r="F381" i="6"/>
  <c r="E381" i="6"/>
  <c r="O380" i="6"/>
  <c r="N380" i="6"/>
  <c r="L380" i="6"/>
  <c r="K380" i="6"/>
  <c r="I380" i="6"/>
  <c r="H380" i="6"/>
  <c r="M380" i="6" s="1"/>
  <c r="G380" i="6"/>
  <c r="F380" i="6"/>
  <c r="E380" i="6"/>
  <c r="O379" i="6"/>
  <c r="N379" i="6"/>
  <c r="K379" i="6"/>
  <c r="I379" i="6"/>
  <c r="H379" i="6"/>
  <c r="M379" i="6" s="1"/>
  <c r="G379" i="6"/>
  <c r="F379" i="6"/>
  <c r="E379" i="6"/>
  <c r="O378" i="6"/>
  <c r="N378" i="6"/>
  <c r="K378" i="6"/>
  <c r="I378" i="6"/>
  <c r="H378" i="6"/>
  <c r="M378" i="6" s="1"/>
  <c r="G378" i="6"/>
  <c r="F378" i="6"/>
  <c r="J378" i="6" s="1"/>
  <c r="E378" i="6"/>
  <c r="O377" i="6"/>
  <c r="N377" i="6"/>
  <c r="M377" i="6"/>
  <c r="K377" i="6"/>
  <c r="I377" i="6"/>
  <c r="H377" i="6"/>
  <c r="L377" i="6" s="1"/>
  <c r="G377" i="6"/>
  <c r="F377" i="6"/>
  <c r="E377" i="6"/>
  <c r="J377" i="6" s="1"/>
  <c r="O376" i="6"/>
  <c r="N376" i="6"/>
  <c r="K376" i="6"/>
  <c r="I376" i="6"/>
  <c r="H376" i="6"/>
  <c r="M376" i="6" s="1"/>
  <c r="G376" i="6"/>
  <c r="F376" i="6"/>
  <c r="E376" i="6"/>
  <c r="O375" i="6"/>
  <c r="N375" i="6"/>
  <c r="M375" i="6"/>
  <c r="K375" i="6"/>
  <c r="L375" i="6" s="1"/>
  <c r="I375" i="6"/>
  <c r="H375" i="6"/>
  <c r="G375" i="6"/>
  <c r="F375" i="6"/>
  <c r="E375" i="6"/>
  <c r="O374" i="6"/>
  <c r="N374" i="6"/>
  <c r="M374" i="6"/>
  <c r="K374" i="6"/>
  <c r="L374" i="6" s="1"/>
  <c r="I374" i="6"/>
  <c r="H374" i="6"/>
  <c r="G374" i="6"/>
  <c r="F374" i="6"/>
  <c r="J374" i="6" s="1"/>
  <c r="E374" i="6"/>
  <c r="S33" i="7" s="1"/>
  <c r="O373" i="6"/>
  <c r="N373" i="6"/>
  <c r="M373" i="6"/>
  <c r="L373" i="6"/>
  <c r="K373" i="6"/>
  <c r="I373" i="6"/>
  <c r="H373" i="6"/>
  <c r="G373" i="6"/>
  <c r="F373" i="6"/>
  <c r="E373" i="6"/>
  <c r="O372" i="6"/>
  <c r="N372" i="6"/>
  <c r="L372" i="6"/>
  <c r="K372" i="6"/>
  <c r="I372" i="6"/>
  <c r="H372" i="6"/>
  <c r="M372" i="6" s="1"/>
  <c r="G372" i="6"/>
  <c r="F372" i="6"/>
  <c r="E372" i="6"/>
  <c r="O371" i="6"/>
  <c r="N371" i="6"/>
  <c r="K371" i="6"/>
  <c r="L371" i="6" s="1"/>
  <c r="I371" i="6"/>
  <c r="H371" i="6"/>
  <c r="M371" i="6" s="1"/>
  <c r="G371" i="6"/>
  <c r="F371" i="6"/>
  <c r="E371" i="6"/>
  <c r="J371" i="6" s="1"/>
  <c r="O370" i="6"/>
  <c r="N370" i="6"/>
  <c r="K370" i="6"/>
  <c r="L370" i="6" s="1"/>
  <c r="I370" i="6"/>
  <c r="H370" i="6"/>
  <c r="M370" i="6" s="1"/>
  <c r="G370" i="6"/>
  <c r="F370" i="6"/>
  <c r="J370" i="6" s="1"/>
  <c r="E370" i="6"/>
  <c r="O369" i="6"/>
  <c r="N369" i="6"/>
  <c r="M369" i="6"/>
  <c r="K369" i="6"/>
  <c r="I369" i="6"/>
  <c r="H369" i="6"/>
  <c r="L369" i="6" s="1"/>
  <c r="G369" i="6"/>
  <c r="F369" i="6"/>
  <c r="E369" i="6"/>
  <c r="O368" i="6"/>
  <c r="N368" i="6"/>
  <c r="L368" i="6"/>
  <c r="K368" i="6"/>
  <c r="I368" i="6"/>
  <c r="H368" i="6"/>
  <c r="M368" i="6" s="1"/>
  <c r="G368" i="6"/>
  <c r="F368" i="6"/>
  <c r="E368" i="6"/>
  <c r="O367" i="6"/>
  <c r="N367" i="6"/>
  <c r="K367" i="6"/>
  <c r="L367" i="6" s="1"/>
  <c r="I367" i="6"/>
  <c r="H367" i="6"/>
  <c r="M367" i="6" s="1"/>
  <c r="G367" i="6"/>
  <c r="F367" i="6"/>
  <c r="E367" i="6"/>
  <c r="O366" i="6"/>
  <c r="N366" i="6"/>
  <c r="M366" i="6"/>
  <c r="L366" i="6"/>
  <c r="K366" i="6"/>
  <c r="I366" i="6"/>
  <c r="H366" i="6"/>
  <c r="G366" i="6"/>
  <c r="F366" i="6"/>
  <c r="J366" i="6" s="1"/>
  <c r="E366" i="6"/>
  <c r="O365" i="6"/>
  <c r="N365" i="6"/>
  <c r="M365" i="6"/>
  <c r="L365" i="6"/>
  <c r="K365" i="6"/>
  <c r="I365" i="6"/>
  <c r="H365" i="6"/>
  <c r="G365" i="6"/>
  <c r="F365" i="6"/>
  <c r="E365" i="6"/>
  <c r="O364" i="6"/>
  <c r="N364" i="6"/>
  <c r="L364" i="6"/>
  <c r="K364" i="6"/>
  <c r="I364" i="6"/>
  <c r="H364" i="6"/>
  <c r="M364" i="6" s="1"/>
  <c r="G364" i="6"/>
  <c r="F364" i="6"/>
  <c r="E364" i="6"/>
  <c r="J364" i="6" s="1"/>
  <c r="O363" i="6"/>
  <c r="N363" i="6"/>
  <c r="K363" i="6"/>
  <c r="L363" i="6" s="1"/>
  <c r="I363" i="6"/>
  <c r="H363" i="6"/>
  <c r="M363" i="6" s="1"/>
  <c r="G363" i="6"/>
  <c r="F363" i="6"/>
  <c r="E363" i="6"/>
  <c r="J363" i="6" s="1"/>
  <c r="O362" i="6"/>
  <c r="N362" i="6"/>
  <c r="K362" i="6"/>
  <c r="L362" i="6" s="1"/>
  <c r="I362" i="6"/>
  <c r="H362" i="6"/>
  <c r="M362" i="6" s="1"/>
  <c r="G362" i="6"/>
  <c r="F362" i="6"/>
  <c r="J362" i="6" s="1"/>
  <c r="E362" i="6"/>
  <c r="S32" i="7" s="1"/>
  <c r="O361" i="6"/>
  <c r="N361" i="6"/>
  <c r="M361" i="6"/>
  <c r="K361" i="6"/>
  <c r="I361" i="6"/>
  <c r="H361" i="6"/>
  <c r="L361" i="6" s="1"/>
  <c r="G361" i="6"/>
  <c r="F361" i="6"/>
  <c r="E361" i="6"/>
  <c r="O360" i="6"/>
  <c r="N360" i="6"/>
  <c r="L360" i="6"/>
  <c r="K360" i="6"/>
  <c r="I360" i="6"/>
  <c r="H360" i="6"/>
  <c r="M360" i="6" s="1"/>
  <c r="G360" i="6"/>
  <c r="F360" i="6"/>
  <c r="E360" i="6"/>
  <c r="O359" i="6"/>
  <c r="N359" i="6"/>
  <c r="K359" i="6"/>
  <c r="L359" i="6" s="1"/>
  <c r="I359" i="6"/>
  <c r="H359" i="6"/>
  <c r="M359" i="6" s="1"/>
  <c r="G359" i="6"/>
  <c r="F359" i="6"/>
  <c r="E359" i="6"/>
  <c r="J359" i="6" s="1"/>
  <c r="O358" i="6"/>
  <c r="N358" i="6"/>
  <c r="M358" i="6"/>
  <c r="L358" i="6"/>
  <c r="K358" i="6"/>
  <c r="I358" i="6"/>
  <c r="H358" i="6"/>
  <c r="G358" i="6"/>
  <c r="F358" i="6"/>
  <c r="J358" i="6" s="1"/>
  <c r="E358" i="6"/>
  <c r="O357" i="6"/>
  <c r="N357" i="6"/>
  <c r="M357" i="6"/>
  <c r="L357" i="6"/>
  <c r="K357" i="6"/>
  <c r="I357" i="6"/>
  <c r="H357" i="6"/>
  <c r="G357" i="6"/>
  <c r="F357" i="6"/>
  <c r="E357" i="6"/>
  <c r="O356" i="6"/>
  <c r="N356" i="6"/>
  <c r="L356" i="6"/>
  <c r="K356" i="6"/>
  <c r="I356" i="6"/>
  <c r="H356" i="6"/>
  <c r="M356" i="6" s="1"/>
  <c r="G356" i="6"/>
  <c r="F356" i="6"/>
  <c r="E356" i="6"/>
  <c r="J356" i="6" s="1"/>
  <c r="O355" i="6"/>
  <c r="N355" i="6"/>
  <c r="L355" i="6"/>
  <c r="K355" i="6"/>
  <c r="I355" i="6"/>
  <c r="H355" i="6"/>
  <c r="M355" i="6" s="1"/>
  <c r="G355" i="6"/>
  <c r="J355" i="6" s="1"/>
  <c r="F355" i="6"/>
  <c r="E355" i="6"/>
  <c r="O354" i="6"/>
  <c r="N354" i="6"/>
  <c r="L354" i="6"/>
  <c r="K354" i="6"/>
  <c r="I354" i="6"/>
  <c r="H354" i="6"/>
  <c r="M354" i="6" s="1"/>
  <c r="G354" i="6"/>
  <c r="F354" i="6"/>
  <c r="J354" i="6" s="1"/>
  <c r="E354" i="6"/>
  <c r="O353" i="6"/>
  <c r="N353" i="6"/>
  <c r="M353" i="6"/>
  <c r="K353" i="6"/>
  <c r="J353" i="6"/>
  <c r="I353" i="6"/>
  <c r="H353" i="6"/>
  <c r="L353" i="6" s="1"/>
  <c r="G353" i="6"/>
  <c r="F353" i="6"/>
  <c r="E353" i="6"/>
  <c r="O352" i="6"/>
  <c r="N352" i="6"/>
  <c r="K352" i="6"/>
  <c r="I352" i="6"/>
  <c r="H352" i="6"/>
  <c r="M352" i="6" s="1"/>
  <c r="G352" i="6"/>
  <c r="F352" i="6"/>
  <c r="J352" i="6" s="1"/>
  <c r="E352" i="6"/>
  <c r="O351" i="6"/>
  <c r="N351" i="6"/>
  <c r="K351" i="6"/>
  <c r="I351" i="6"/>
  <c r="H351" i="6"/>
  <c r="M351" i="6" s="1"/>
  <c r="G351" i="6"/>
  <c r="F351" i="6"/>
  <c r="E351" i="6"/>
  <c r="J351" i="6" s="1"/>
  <c r="O350" i="6"/>
  <c r="N350" i="6"/>
  <c r="M350" i="6"/>
  <c r="K350" i="6"/>
  <c r="I350" i="6"/>
  <c r="H350" i="6"/>
  <c r="L350" i="6" s="1"/>
  <c r="G350" i="6"/>
  <c r="F350" i="6"/>
  <c r="E350" i="6"/>
  <c r="S31" i="7" s="1"/>
  <c r="O349" i="6"/>
  <c r="N349" i="6"/>
  <c r="L349" i="6"/>
  <c r="K349" i="6"/>
  <c r="I349" i="6"/>
  <c r="H349" i="6"/>
  <c r="M349" i="6" s="1"/>
  <c r="G349" i="6"/>
  <c r="F349" i="6"/>
  <c r="E349" i="6"/>
  <c r="J349" i="6" s="1"/>
  <c r="O348" i="6"/>
  <c r="N348" i="6"/>
  <c r="M348" i="6"/>
  <c r="L348" i="6"/>
  <c r="K348" i="6"/>
  <c r="I348" i="6"/>
  <c r="H348" i="6"/>
  <c r="G348" i="6"/>
  <c r="F348" i="6"/>
  <c r="E348" i="6"/>
  <c r="J348" i="6" s="1"/>
  <c r="O347" i="6"/>
  <c r="N347" i="6"/>
  <c r="M347" i="6"/>
  <c r="L347" i="6"/>
  <c r="K347" i="6"/>
  <c r="I347" i="6"/>
  <c r="H347" i="6"/>
  <c r="G347" i="6"/>
  <c r="F347" i="6"/>
  <c r="E347" i="6"/>
  <c r="J347" i="6" s="1"/>
  <c r="O346" i="6"/>
  <c r="N346" i="6"/>
  <c r="M346" i="6"/>
  <c r="K346" i="6"/>
  <c r="L346" i="6" s="1"/>
  <c r="I346" i="6"/>
  <c r="H346" i="6"/>
  <c r="G346" i="6"/>
  <c r="F346" i="6"/>
  <c r="E346" i="6"/>
  <c r="J346" i="6" s="1"/>
  <c r="O345" i="6"/>
  <c r="N345" i="6"/>
  <c r="L345" i="6"/>
  <c r="K345" i="6"/>
  <c r="J345" i="6"/>
  <c r="I345" i="6"/>
  <c r="H345" i="6"/>
  <c r="M345" i="6" s="1"/>
  <c r="G345" i="6"/>
  <c r="F345" i="6"/>
  <c r="E345" i="6"/>
  <c r="O344" i="6"/>
  <c r="N344" i="6"/>
  <c r="K344" i="6"/>
  <c r="I344" i="6"/>
  <c r="H344" i="6"/>
  <c r="M344" i="6" s="1"/>
  <c r="G344" i="6"/>
  <c r="F344" i="6"/>
  <c r="J344" i="6" s="1"/>
  <c r="E344" i="6"/>
  <c r="O343" i="6"/>
  <c r="N343" i="6"/>
  <c r="K343" i="6"/>
  <c r="I343" i="6"/>
  <c r="H343" i="6"/>
  <c r="M343" i="6" s="1"/>
  <c r="G343" i="6"/>
  <c r="F343" i="6"/>
  <c r="E343" i="6"/>
  <c r="J343" i="6" s="1"/>
  <c r="O342" i="6"/>
  <c r="N342" i="6"/>
  <c r="M342" i="6"/>
  <c r="K342" i="6"/>
  <c r="I342" i="6"/>
  <c r="H342" i="6"/>
  <c r="L342" i="6" s="1"/>
  <c r="G342" i="6"/>
  <c r="F342" i="6"/>
  <c r="E342" i="6"/>
  <c r="J342" i="6" s="1"/>
  <c r="O341" i="6"/>
  <c r="N341" i="6"/>
  <c r="L341" i="6"/>
  <c r="K341" i="6"/>
  <c r="I341" i="6"/>
  <c r="H341" i="6"/>
  <c r="M341" i="6" s="1"/>
  <c r="G341" i="6"/>
  <c r="F341" i="6"/>
  <c r="E341" i="6"/>
  <c r="J341" i="6" s="1"/>
  <c r="O340" i="6"/>
  <c r="N340" i="6"/>
  <c r="M340" i="6"/>
  <c r="L340" i="6"/>
  <c r="K340" i="6"/>
  <c r="I340" i="6"/>
  <c r="H340" i="6"/>
  <c r="G340" i="6"/>
  <c r="F340" i="6"/>
  <c r="E340" i="6"/>
  <c r="J340" i="6" s="1"/>
  <c r="O339" i="6"/>
  <c r="N339" i="6"/>
  <c r="M339" i="6"/>
  <c r="L339" i="6"/>
  <c r="K339" i="6"/>
  <c r="I339" i="6"/>
  <c r="H339" i="6"/>
  <c r="G339" i="6"/>
  <c r="F339" i="6"/>
  <c r="E339" i="6"/>
  <c r="J339" i="6" s="1"/>
  <c r="O338" i="6"/>
  <c r="N338" i="6"/>
  <c r="M338" i="6"/>
  <c r="L338" i="6"/>
  <c r="K338" i="6"/>
  <c r="I338" i="6"/>
  <c r="H338" i="6"/>
  <c r="G338" i="6"/>
  <c r="F338" i="6"/>
  <c r="E338" i="6"/>
  <c r="S30" i="7" s="1"/>
  <c r="O337" i="6"/>
  <c r="N337" i="6"/>
  <c r="K337" i="6"/>
  <c r="I337" i="6"/>
  <c r="H337" i="6"/>
  <c r="J337" i="6" s="1"/>
  <c r="G337" i="6"/>
  <c r="F337" i="6"/>
  <c r="E337" i="6"/>
  <c r="O336" i="6"/>
  <c r="N336" i="6"/>
  <c r="K336" i="6"/>
  <c r="I336" i="6"/>
  <c r="H336" i="6"/>
  <c r="M336" i="6" s="1"/>
  <c r="G336" i="6"/>
  <c r="F336" i="6"/>
  <c r="J336" i="6" s="1"/>
  <c r="E336" i="6"/>
  <c r="O335" i="6"/>
  <c r="N335" i="6"/>
  <c r="K335" i="6"/>
  <c r="I335" i="6"/>
  <c r="H335" i="6"/>
  <c r="M335" i="6" s="1"/>
  <c r="G335" i="6"/>
  <c r="F335" i="6"/>
  <c r="E335" i="6"/>
  <c r="J335" i="6" s="1"/>
  <c r="O334" i="6"/>
  <c r="N334" i="6"/>
  <c r="K334" i="6"/>
  <c r="I334" i="6"/>
  <c r="H334" i="6"/>
  <c r="M334" i="6" s="1"/>
  <c r="G334" i="6"/>
  <c r="F334" i="6"/>
  <c r="E334" i="6"/>
  <c r="J334" i="6" s="1"/>
  <c r="O333" i="6"/>
  <c r="N333" i="6"/>
  <c r="M333" i="6"/>
  <c r="L333" i="6"/>
  <c r="K333" i="6"/>
  <c r="I333" i="6"/>
  <c r="H333" i="6"/>
  <c r="G333" i="6"/>
  <c r="F333" i="6"/>
  <c r="E333" i="6"/>
  <c r="J333" i="6" s="1"/>
  <c r="O332" i="6"/>
  <c r="N332" i="6"/>
  <c r="M332" i="6"/>
  <c r="K332" i="6"/>
  <c r="L332" i="6" s="1"/>
  <c r="I332" i="6"/>
  <c r="H332" i="6"/>
  <c r="G332" i="6"/>
  <c r="F332" i="6"/>
  <c r="E332" i="6"/>
  <c r="J332" i="6" s="1"/>
  <c r="O331" i="6"/>
  <c r="N331" i="6"/>
  <c r="M331" i="6"/>
  <c r="L331" i="6"/>
  <c r="K331" i="6"/>
  <c r="I331" i="6"/>
  <c r="H331" i="6"/>
  <c r="G331" i="6"/>
  <c r="F331" i="6"/>
  <c r="E331" i="6"/>
  <c r="J331" i="6" s="1"/>
  <c r="O330" i="6"/>
  <c r="N330" i="6"/>
  <c r="M330" i="6"/>
  <c r="L330" i="6"/>
  <c r="K330" i="6"/>
  <c r="I330" i="6"/>
  <c r="H330" i="6"/>
  <c r="G330" i="6"/>
  <c r="F330" i="6"/>
  <c r="E330" i="6"/>
  <c r="J330" i="6" s="1"/>
  <c r="O329" i="6"/>
  <c r="N329" i="6"/>
  <c r="K329" i="6"/>
  <c r="L329" i="6" s="1"/>
  <c r="I329" i="6"/>
  <c r="H329" i="6"/>
  <c r="M329" i="6" s="1"/>
  <c r="G329" i="6"/>
  <c r="F329" i="6"/>
  <c r="E329" i="6"/>
  <c r="J329" i="6" s="1"/>
  <c r="O328" i="6"/>
  <c r="N328" i="6"/>
  <c r="K328" i="6"/>
  <c r="J328" i="6"/>
  <c r="I328" i="6"/>
  <c r="H328" i="6"/>
  <c r="M328" i="6" s="1"/>
  <c r="G328" i="6"/>
  <c r="F328" i="6"/>
  <c r="E328" i="6"/>
  <c r="O327" i="6"/>
  <c r="N327" i="6"/>
  <c r="K327" i="6"/>
  <c r="I327" i="6"/>
  <c r="H327" i="6"/>
  <c r="M327" i="6" s="1"/>
  <c r="G327" i="6"/>
  <c r="F327" i="6"/>
  <c r="E327" i="6"/>
  <c r="J327" i="6" s="1"/>
  <c r="O326" i="6"/>
  <c r="N326" i="6"/>
  <c r="K326" i="6"/>
  <c r="I326" i="6"/>
  <c r="H326" i="6"/>
  <c r="M326" i="6" s="1"/>
  <c r="G326" i="6"/>
  <c r="F326" i="6"/>
  <c r="E326" i="6"/>
  <c r="S29" i="7" s="1"/>
  <c r="N325" i="6"/>
  <c r="L325" i="6"/>
  <c r="K325" i="6"/>
  <c r="I325" i="6"/>
  <c r="H325" i="6"/>
  <c r="M325" i="6" s="1"/>
  <c r="G325" i="6"/>
  <c r="F325" i="6"/>
  <c r="E325" i="6"/>
  <c r="J325" i="6" s="1"/>
  <c r="N324" i="6"/>
  <c r="M324" i="6"/>
  <c r="K324" i="6"/>
  <c r="L324" i="6" s="1"/>
  <c r="I324" i="6"/>
  <c r="H324" i="6"/>
  <c r="G324" i="6"/>
  <c r="F324" i="6"/>
  <c r="E324" i="6"/>
  <c r="J324" i="6" s="1"/>
  <c r="N323" i="6"/>
  <c r="M323" i="6"/>
  <c r="L323" i="6"/>
  <c r="K323" i="6"/>
  <c r="I323" i="6"/>
  <c r="H323" i="6"/>
  <c r="G323" i="6"/>
  <c r="F323" i="6"/>
  <c r="E323" i="6"/>
  <c r="J323" i="6" s="1"/>
  <c r="N322" i="6"/>
  <c r="M322" i="6"/>
  <c r="L322" i="6"/>
  <c r="K322" i="6"/>
  <c r="I322" i="6"/>
  <c r="H322" i="6"/>
  <c r="G322" i="6"/>
  <c r="F322" i="6"/>
  <c r="E322" i="6"/>
  <c r="J322" i="6" s="1"/>
  <c r="N321" i="6"/>
  <c r="K321" i="6"/>
  <c r="L321" i="6" s="1"/>
  <c r="I321" i="6"/>
  <c r="H321" i="6"/>
  <c r="M321" i="6" s="1"/>
  <c r="G321" i="6"/>
  <c r="F321" i="6"/>
  <c r="E321" i="6"/>
  <c r="J321" i="6" s="1"/>
  <c r="N320" i="6"/>
  <c r="K320" i="6"/>
  <c r="J320" i="6"/>
  <c r="I320" i="6"/>
  <c r="H320" i="6"/>
  <c r="M320" i="6" s="1"/>
  <c r="G320" i="6"/>
  <c r="F320" i="6"/>
  <c r="E320" i="6"/>
  <c r="N319" i="6"/>
  <c r="K319" i="6"/>
  <c r="I319" i="6"/>
  <c r="H319" i="6"/>
  <c r="M319" i="6" s="1"/>
  <c r="G319" i="6"/>
  <c r="F319" i="6"/>
  <c r="E319" i="6"/>
  <c r="J319" i="6" s="1"/>
  <c r="N318" i="6"/>
  <c r="K318" i="6"/>
  <c r="I318" i="6"/>
  <c r="H318" i="6"/>
  <c r="M318" i="6" s="1"/>
  <c r="G318" i="6"/>
  <c r="F318" i="6"/>
  <c r="E318" i="6"/>
  <c r="J318" i="6" s="1"/>
  <c r="N317" i="6"/>
  <c r="L317" i="6"/>
  <c r="K317" i="6"/>
  <c r="I317" i="6"/>
  <c r="H317" i="6"/>
  <c r="M317" i="6" s="1"/>
  <c r="G317" i="6"/>
  <c r="F317" i="6"/>
  <c r="E317" i="6"/>
  <c r="J317" i="6" s="1"/>
  <c r="N316" i="6"/>
  <c r="M316" i="6"/>
  <c r="K316" i="6"/>
  <c r="L316" i="6" s="1"/>
  <c r="I316" i="6"/>
  <c r="H316" i="6"/>
  <c r="G316" i="6"/>
  <c r="F316" i="6"/>
  <c r="E316" i="6"/>
  <c r="J316" i="6" s="1"/>
  <c r="N315" i="6"/>
  <c r="M315" i="6"/>
  <c r="L315" i="6"/>
  <c r="K315" i="6"/>
  <c r="I315" i="6"/>
  <c r="H315" i="6"/>
  <c r="G315" i="6"/>
  <c r="F315" i="6"/>
  <c r="E315" i="6"/>
  <c r="J315" i="6" s="1"/>
  <c r="N314" i="6"/>
  <c r="M314" i="6"/>
  <c r="L314" i="6"/>
  <c r="K314" i="6"/>
  <c r="I314" i="6"/>
  <c r="H314" i="6"/>
  <c r="G314" i="6"/>
  <c r="F314" i="6"/>
  <c r="E314" i="6"/>
  <c r="S28" i="7" s="1"/>
  <c r="P313" i="6"/>
  <c r="O313" i="6"/>
  <c r="N313" i="6"/>
  <c r="K313" i="6"/>
  <c r="L313" i="6" s="1"/>
  <c r="I313" i="6"/>
  <c r="H313" i="6"/>
  <c r="M313" i="6" s="1"/>
  <c r="G313" i="6"/>
  <c r="F313" i="6"/>
  <c r="E313" i="6"/>
  <c r="J313" i="6" s="1"/>
  <c r="P312" i="6"/>
  <c r="O312" i="6"/>
  <c r="N312" i="6"/>
  <c r="K312" i="6"/>
  <c r="L312" i="6" s="1"/>
  <c r="J312" i="6"/>
  <c r="I312" i="6"/>
  <c r="H312" i="6"/>
  <c r="M312" i="6" s="1"/>
  <c r="G312" i="6"/>
  <c r="F312" i="6"/>
  <c r="E312" i="6"/>
  <c r="P311" i="6"/>
  <c r="O311" i="6"/>
  <c r="N311" i="6"/>
  <c r="K311" i="6"/>
  <c r="I311" i="6"/>
  <c r="H311" i="6"/>
  <c r="M311" i="6" s="1"/>
  <c r="G311" i="6"/>
  <c r="F311" i="6"/>
  <c r="E311" i="6"/>
  <c r="J311" i="6" s="1"/>
  <c r="P310" i="6"/>
  <c r="O310" i="6"/>
  <c r="N310" i="6"/>
  <c r="K310" i="6"/>
  <c r="I310" i="6"/>
  <c r="H310" i="6"/>
  <c r="M310" i="6" s="1"/>
  <c r="G310" i="6"/>
  <c r="F310" i="6"/>
  <c r="E310" i="6"/>
  <c r="J310" i="6" s="1"/>
  <c r="P309" i="6"/>
  <c r="O309" i="6"/>
  <c r="N309" i="6"/>
  <c r="L309" i="6"/>
  <c r="K309" i="6"/>
  <c r="I309" i="6"/>
  <c r="H309" i="6"/>
  <c r="M309" i="6" s="1"/>
  <c r="G309" i="6"/>
  <c r="F309" i="6"/>
  <c r="E309" i="6"/>
  <c r="J309" i="6" s="1"/>
  <c r="P308" i="6"/>
  <c r="O308" i="6"/>
  <c r="N308" i="6"/>
  <c r="M308" i="6"/>
  <c r="K308" i="6"/>
  <c r="L308" i="6" s="1"/>
  <c r="I308" i="6"/>
  <c r="H308" i="6"/>
  <c r="G308" i="6"/>
  <c r="F308" i="6"/>
  <c r="E308" i="6"/>
  <c r="J308" i="6" s="1"/>
  <c r="P307" i="6"/>
  <c r="O307" i="6"/>
  <c r="N307" i="6"/>
  <c r="M307" i="6"/>
  <c r="R307" i="6" s="1"/>
  <c r="L307" i="6"/>
  <c r="K307" i="6"/>
  <c r="I307" i="6"/>
  <c r="H307" i="6"/>
  <c r="G307" i="6"/>
  <c r="F307" i="6"/>
  <c r="E307" i="6"/>
  <c r="J307" i="6" s="1"/>
  <c r="P306" i="6"/>
  <c r="O306" i="6"/>
  <c r="N306" i="6"/>
  <c r="M306" i="6"/>
  <c r="L306" i="6"/>
  <c r="K306" i="6"/>
  <c r="I306" i="6"/>
  <c r="H306" i="6"/>
  <c r="G306" i="6"/>
  <c r="F306" i="6"/>
  <c r="E306" i="6"/>
  <c r="J306" i="6" s="1"/>
  <c r="P305" i="6"/>
  <c r="O305" i="6"/>
  <c r="N305" i="6"/>
  <c r="K305" i="6"/>
  <c r="L305" i="6" s="1"/>
  <c r="I305" i="6"/>
  <c r="H305" i="6"/>
  <c r="M305" i="6" s="1"/>
  <c r="G305" i="6"/>
  <c r="F305" i="6"/>
  <c r="E305" i="6"/>
  <c r="J305" i="6" s="1"/>
  <c r="P304" i="6"/>
  <c r="O304" i="6"/>
  <c r="N304" i="6"/>
  <c r="K304" i="6"/>
  <c r="L304" i="6" s="1"/>
  <c r="J304" i="6"/>
  <c r="I304" i="6"/>
  <c r="H304" i="6"/>
  <c r="M304" i="6" s="1"/>
  <c r="G304" i="6"/>
  <c r="F304" i="6"/>
  <c r="E304" i="6"/>
  <c r="P303" i="6"/>
  <c r="O303" i="6"/>
  <c r="N303" i="6"/>
  <c r="K303" i="6"/>
  <c r="I303" i="6"/>
  <c r="H303" i="6"/>
  <c r="M303" i="6" s="1"/>
  <c r="G303" i="6"/>
  <c r="F303" i="6"/>
  <c r="E303" i="6"/>
  <c r="J303" i="6" s="1"/>
  <c r="P302" i="6"/>
  <c r="O302" i="6"/>
  <c r="N302" i="6"/>
  <c r="K302" i="6"/>
  <c r="I302" i="6"/>
  <c r="H302" i="6"/>
  <c r="M302" i="6" s="1"/>
  <c r="G302" i="6"/>
  <c r="F302" i="6"/>
  <c r="E302" i="6"/>
  <c r="S27" i="7" s="1"/>
  <c r="N301" i="6"/>
  <c r="L301" i="6"/>
  <c r="K301" i="6"/>
  <c r="I301" i="6"/>
  <c r="H301" i="6"/>
  <c r="M301" i="6" s="1"/>
  <c r="G301" i="6"/>
  <c r="F301" i="6"/>
  <c r="E301" i="6"/>
  <c r="J301" i="6" s="1"/>
  <c r="N300" i="6"/>
  <c r="M300" i="6"/>
  <c r="K300" i="6"/>
  <c r="L300" i="6" s="1"/>
  <c r="I300" i="6"/>
  <c r="H300" i="6"/>
  <c r="G300" i="6"/>
  <c r="F300" i="6"/>
  <c r="E300" i="6"/>
  <c r="J300" i="6" s="1"/>
  <c r="N299" i="6"/>
  <c r="M299" i="6"/>
  <c r="L299" i="6"/>
  <c r="K299" i="6"/>
  <c r="I299" i="6"/>
  <c r="H299" i="6"/>
  <c r="G299" i="6"/>
  <c r="F299" i="6"/>
  <c r="E299" i="6"/>
  <c r="J299" i="6" s="1"/>
  <c r="N298" i="6"/>
  <c r="M298" i="6"/>
  <c r="L298" i="6"/>
  <c r="K298" i="6"/>
  <c r="I298" i="6"/>
  <c r="H298" i="6"/>
  <c r="G298" i="6"/>
  <c r="F298" i="6"/>
  <c r="E298" i="6"/>
  <c r="J298" i="6" s="1"/>
  <c r="N297" i="6"/>
  <c r="K297" i="6"/>
  <c r="L297" i="6" s="1"/>
  <c r="I297" i="6"/>
  <c r="H297" i="6"/>
  <c r="M297" i="6" s="1"/>
  <c r="G297" i="6"/>
  <c r="F297" i="6"/>
  <c r="E297" i="6"/>
  <c r="J297" i="6" s="1"/>
  <c r="N296" i="6"/>
  <c r="K296" i="6"/>
  <c r="L296" i="6" s="1"/>
  <c r="J296" i="6"/>
  <c r="I296" i="6"/>
  <c r="H296" i="6"/>
  <c r="M296" i="6" s="1"/>
  <c r="G296" i="6"/>
  <c r="F296" i="6"/>
  <c r="E296" i="6"/>
  <c r="N295" i="6"/>
  <c r="K295" i="6"/>
  <c r="I295" i="6"/>
  <c r="H295" i="6"/>
  <c r="M295" i="6" s="1"/>
  <c r="G295" i="6"/>
  <c r="F295" i="6"/>
  <c r="E295" i="6"/>
  <c r="J295" i="6" s="1"/>
  <c r="N294" i="6"/>
  <c r="K294" i="6"/>
  <c r="I294" i="6"/>
  <c r="H294" i="6"/>
  <c r="M294" i="6" s="1"/>
  <c r="G294" i="6"/>
  <c r="F294" i="6"/>
  <c r="E294" i="6"/>
  <c r="J294" i="6" s="1"/>
  <c r="N293" i="6"/>
  <c r="L293" i="6"/>
  <c r="K293" i="6"/>
  <c r="I293" i="6"/>
  <c r="H293" i="6"/>
  <c r="M293" i="6" s="1"/>
  <c r="G293" i="6"/>
  <c r="F293" i="6"/>
  <c r="E293" i="6"/>
  <c r="J293" i="6" s="1"/>
  <c r="N292" i="6"/>
  <c r="M292" i="6"/>
  <c r="K292" i="6"/>
  <c r="I292" i="6"/>
  <c r="H292" i="6"/>
  <c r="L292" i="6" s="1"/>
  <c r="G292" i="6"/>
  <c r="F292" i="6"/>
  <c r="E292" i="6"/>
  <c r="J292" i="6" s="1"/>
  <c r="N291" i="6"/>
  <c r="M291" i="6"/>
  <c r="L291" i="6"/>
  <c r="K291" i="6"/>
  <c r="I291" i="6"/>
  <c r="H291" i="6"/>
  <c r="G291" i="6"/>
  <c r="F291" i="6"/>
  <c r="E291" i="6"/>
  <c r="J291" i="6" s="1"/>
  <c r="N290" i="6"/>
  <c r="M290" i="6"/>
  <c r="L290" i="6"/>
  <c r="K290" i="6"/>
  <c r="I290" i="6"/>
  <c r="H290" i="6"/>
  <c r="G290" i="6"/>
  <c r="F290" i="6"/>
  <c r="E290" i="6"/>
  <c r="S26" i="7" s="1"/>
  <c r="N289" i="6"/>
  <c r="K289" i="6"/>
  <c r="L289" i="6" s="1"/>
  <c r="I289" i="6"/>
  <c r="H289" i="6"/>
  <c r="M289" i="6" s="1"/>
  <c r="G289" i="6"/>
  <c r="F289" i="6"/>
  <c r="E289" i="6"/>
  <c r="J289" i="6" s="1"/>
  <c r="N288" i="6"/>
  <c r="K288" i="6"/>
  <c r="L288" i="6" s="1"/>
  <c r="J288" i="6"/>
  <c r="I288" i="6"/>
  <c r="H288" i="6"/>
  <c r="M288" i="6" s="1"/>
  <c r="G288" i="6"/>
  <c r="F288" i="6"/>
  <c r="E288" i="6"/>
  <c r="N287" i="6"/>
  <c r="K287" i="6"/>
  <c r="I287" i="6"/>
  <c r="H287" i="6"/>
  <c r="M287" i="6" s="1"/>
  <c r="G287" i="6"/>
  <c r="F287" i="6"/>
  <c r="E287" i="6"/>
  <c r="J287" i="6" s="1"/>
  <c r="N286" i="6"/>
  <c r="K286" i="6"/>
  <c r="I286" i="6"/>
  <c r="H286" i="6"/>
  <c r="M286" i="6" s="1"/>
  <c r="G286" i="6"/>
  <c r="F286" i="6"/>
  <c r="E286" i="6"/>
  <c r="J286" i="6" s="1"/>
  <c r="N285" i="6"/>
  <c r="L285" i="6"/>
  <c r="K285" i="6"/>
  <c r="I285" i="6"/>
  <c r="H285" i="6"/>
  <c r="M285" i="6" s="1"/>
  <c r="G285" i="6"/>
  <c r="F285" i="6"/>
  <c r="E285" i="6"/>
  <c r="N284" i="6"/>
  <c r="M284" i="6"/>
  <c r="K284" i="6"/>
  <c r="I284" i="6"/>
  <c r="H284" i="6"/>
  <c r="G284" i="6"/>
  <c r="F284" i="6"/>
  <c r="E284" i="6"/>
  <c r="J284" i="6" s="1"/>
  <c r="N283" i="6"/>
  <c r="M283" i="6"/>
  <c r="L283" i="6"/>
  <c r="K283" i="6"/>
  <c r="I283" i="6"/>
  <c r="H283" i="6"/>
  <c r="G283" i="6"/>
  <c r="F283" i="6"/>
  <c r="E283" i="6"/>
  <c r="J283" i="6" s="1"/>
  <c r="N282" i="6"/>
  <c r="M282" i="6"/>
  <c r="K282" i="6"/>
  <c r="L282" i="6" s="1"/>
  <c r="I282" i="6"/>
  <c r="H282" i="6"/>
  <c r="G282" i="6"/>
  <c r="F282" i="6"/>
  <c r="E282" i="6"/>
  <c r="J282" i="6" s="1"/>
  <c r="N281" i="6"/>
  <c r="K281" i="6"/>
  <c r="I281" i="6"/>
  <c r="H281" i="6"/>
  <c r="L281" i="6" s="1"/>
  <c r="G281" i="6"/>
  <c r="F281" i="6"/>
  <c r="E281" i="6"/>
  <c r="J281" i="6" s="1"/>
  <c r="N280" i="6"/>
  <c r="K280" i="6"/>
  <c r="I280" i="6"/>
  <c r="H280" i="6"/>
  <c r="M280" i="6" s="1"/>
  <c r="G280" i="6"/>
  <c r="F280" i="6"/>
  <c r="E280" i="6"/>
  <c r="J280" i="6" s="1"/>
  <c r="N279" i="6"/>
  <c r="K279" i="6"/>
  <c r="I279" i="6"/>
  <c r="H279" i="6"/>
  <c r="M279" i="6" s="1"/>
  <c r="G279" i="6"/>
  <c r="F279" i="6"/>
  <c r="E279" i="6"/>
  <c r="J279" i="6" s="1"/>
  <c r="N278" i="6"/>
  <c r="M278" i="6"/>
  <c r="L278" i="6"/>
  <c r="K278" i="6"/>
  <c r="I278" i="6"/>
  <c r="H278" i="6"/>
  <c r="G278" i="6"/>
  <c r="F278" i="6"/>
  <c r="E278" i="6"/>
  <c r="S25" i="7" s="1"/>
  <c r="O277" i="6"/>
  <c r="N277" i="6"/>
  <c r="M277" i="6"/>
  <c r="L277" i="6"/>
  <c r="K277" i="6"/>
  <c r="I277" i="6"/>
  <c r="H277" i="6"/>
  <c r="G277" i="6"/>
  <c r="F277" i="6"/>
  <c r="E277" i="6"/>
  <c r="J277" i="6" s="1"/>
  <c r="O276" i="6"/>
  <c r="N276" i="6"/>
  <c r="M276" i="6"/>
  <c r="K276" i="6"/>
  <c r="L276" i="6" s="1"/>
  <c r="I276" i="6"/>
  <c r="H276" i="6"/>
  <c r="G276" i="6"/>
  <c r="F276" i="6"/>
  <c r="E276" i="6"/>
  <c r="J276" i="6" s="1"/>
  <c r="O275" i="6"/>
  <c r="N275" i="6"/>
  <c r="K275" i="6"/>
  <c r="L275" i="6" s="1"/>
  <c r="J275" i="6"/>
  <c r="I275" i="6"/>
  <c r="H275" i="6"/>
  <c r="M275" i="6" s="1"/>
  <c r="G275" i="6"/>
  <c r="F275" i="6"/>
  <c r="E275" i="6"/>
  <c r="O274" i="6"/>
  <c r="N274" i="6"/>
  <c r="M274" i="6"/>
  <c r="K274" i="6"/>
  <c r="I274" i="6"/>
  <c r="H274" i="6"/>
  <c r="L274" i="6" s="1"/>
  <c r="G274" i="6"/>
  <c r="F274" i="6"/>
  <c r="E274" i="6"/>
  <c r="J274" i="6" s="1"/>
  <c r="O273" i="6"/>
  <c r="N273" i="6"/>
  <c r="K273" i="6"/>
  <c r="I273" i="6"/>
  <c r="H273" i="6"/>
  <c r="L273" i="6" s="1"/>
  <c r="G273" i="6"/>
  <c r="F273" i="6"/>
  <c r="E273" i="6"/>
  <c r="J273" i="6" s="1"/>
  <c r="O272" i="6"/>
  <c r="N272" i="6"/>
  <c r="K272" i="6"/>
  <c r="I272" i="6"/>
  <c r="H272" i="6"/>
  <c r="M272" i="6" s="1"/>
  <c r="G272" i="6"/>
  <c r="F272" i="6"/>
  <c r="E272" i="6"/>
  <c r="J272" i="6" s="1"/>
  <c r="O271" i="6"/>
  <c r="N271" i="6"/>
  <c r="K271" i="6"/>
  <c r="I271" i="6"/>
  <c r="H271" i="6"/>
  <c r="M271" i="6" s="1"/>
  <c r="G271" i="6"/>
  <c r="F271" i="6"/>
  <c r="E271" i="6"/>
  <c r="J271" i="6" s="1"/>
  <c r="O270" i="6"/>
  <c r="N270" i="6"/>
  <c r="M270" i="6"/>
  <c r="Q270" i="6" s="1"/>
  <c r="L270" i="6"/>
  <c r="K270" i="6"/>
  <c r="I270" i="6"/>
  <c r="H270" i="6"/>
  <c r="G270" i="6"/>
  <c r="F270" i="6"/>
  <c r="E270" i="6"/>
  <c r="J270" i="6" s="1"/>
  <c r="O269" i="6"/>
  <c r="N269" i="6"/>
  <c r="M269" i="6"/>
  <c r="L269" i="6"/>
  <c r="K269" i="6"/>
  <c r="I269" i="6"/>
  <c r="H269" i="6"/>
  <c r="G269" i="6"/>
  <c r="F269" i="6"/>
  <c r="E269" i="6"/>
  <c r="J269" i="6" s="1"/>
  <c r="O268" i="6"/>
  <c r="N268" i="6"/>
  <c r="M268" i="6"/>
  <c r="K268" i="6"/>
  <c r="L268" i="6" s="1"/>
  <c r="I268" i="6"/>
  <c r="H268" i="6"/>
  <c r="G268" i="6"/>
  <c r="F268" i="6"/>
  <c r="E268" i="6"/>
  <c r="J268" i="6" s="1"/>
  <c r="O267" i="6"/>
  <c r="N267" i="6"/>
  <c r="K267" i="6"/>
  <c r="L267" i="6" s="1"/>
  <c r="J267" i="6"/>
  <c r="I267" i="6"/>
  <c r="H267" i="6"/>
  <c r="M267" i="6" s="1"/>
  <c r="G267" i="6"/>
  <c r="F267" i="6"/>
  <c r="E267" i="6"/>
  <c r="O266" i="6"/>
  <c r="N266" i="6"/>
  <c r="M266" i="6"/>
  <c r="K266" i="6"/>
  <c r="I266" i="6"/>
  <c r="H266" i="6"/>
  <c r="L266" i="6" s="1"/>
  <c r="G266" i="6"/>
  <c r="F266" i="6"/>
  <c r="E266" i="6"/>
  <c r="S24" i="7" s="1"/>
  <c r="O265" i="6"/>
  <c r="N265" i="6"/>
  <c r="K265" i="6"/>
  <c r="I265" i="6"/>
  <c r="H265" i="6"/>
  <c r="L265" i="6" s="1"/>
  <c r="G265" i="6"/>
  <c r="F265" i="6"/>
  <c r="E265" i="6"/>
  <c r="J265" i="6" s="1"/>
  <c r="O264" i="6"/>
  <c r="N264" i="6"/>
  <c r="K264" i="6"/>
  <c r="I264" i="6"/>
  <c r="H264" i="6"/>
  <c r="M264" i="6" s="1"/>
  <c r="G264" i="6"/>
  <c r="F264" i="6"/>
  <c r="E264" i="6"/>
  <c r="J264" i="6" s="1"/>
  <c r="O263" i="6"/>
  <c r="N263" i="6"/>
  <c r="K263" i="6"/>
  <c r="I263" i="6"/>
  <c r="H263" i="6"/>
  <c r="M263" i="6" s="1"/>
  <c r="G263" i="6"/>
  <c r="F263" i="6"/>
  <c r="E263" i="6"/>
  <c r="J263" i="6" s="1"/>
  <c r="O262" i="6"/>
  <c r="N262" i="6"/>
  <c r="M262" i="6"/>
  <c r="Q262" i="6" s="1"/>
  <c r="L262" i="6"/>
  <c r="K262" i="6"/>
  <c r="I262" i="6"/>
  <c r="H262" i="6"/>
  <c r="G262" i="6"/>
  <c r="F262" i="6"/>
  <c r="E262" i="6"/>
  <c r="J262" i="6" s="1"/>
  <c r="O261" i="6"/>
  <c r="N261" i="6"/>
  <c r="M261" i="6"/>
  <c r="L261" i="6"/>
  <c r="K261" i="6"/>
  <c r="I261" i="6"/>
  <c r="H261" i="6"/>
  <c r="G261" i="6"/>
  <c r="F261" i="6"/>
  <c r="E261" i="6"/>
  <c r="J261" i="6" s="1"/>
  <c r="O260" i="6"/>
  <c r="N260" i="6"/>
  <c r="M260" i="6"/>
  <c r="K260" i="6"/>
  <c r="L260" i="6" s="1"/>
  <c r="I260" i="6"/>
  <c r="H260" i="6"/>
  <c r="G260" i="6"/>
  <c r="F260" i="6"/>
  <c r="E260" i="6"/>
  <c r="J260" i="6" s="1"/>
  <c r="O259" i="6"/>
  <c r="N259" i="6"/>
  <c r="K259" i="6"/>
  <c r="L259" i="6" s="1"/>
  <c r="J259" i="6"/>
  <c r="I259" i="6"/>
  <c r="H259" i="6"/>
  <c r="M259" i="6" s="1"/>
  <c r="G259" i="6"/>
  <c r="F259" i="6"/>
  <c r="E259" i="6"/>
  <c r="O258" i="6"/>
  <c r="N258" i="6"/>
  <c r="M258" i="6"/>
  <c r="K258" i="6"/>
  <c r="I258" i="6"/>
  <c r="H258" i="6"/>
  <c r="L258" i="6" s="1"/>
  <c r="G258" i="6"/>
  <c r="F258" i="6"/>
  <c r="E258" i="6"/>
  <c r="J258" i="6" s="1"/>
  <c r="O257" i="6"/>
  <c r="N257" i="6"/>
  <c r="K257" i="6"/>
  <c r="I257" i="6"/>
  <c r="H257" i="6"/>
  <c r="L257" i="6" s="1"/>
  <c r="G257" i="6"/>
  <c r="F257" i="6"/>
  <c r="E257" i="6"/>
  <c r="J257" i="6" s="1"/>
  <c r="O256" i="6"/>
  <c r="N256" i="6"/>
  <c r="K256" i="6"/>
  <c r="I256" i="6"/>
  <c r="H256" i="6"/>
  <c r="M256" i="6" s="1"/>
  <c r="G256" i="6"/>
  <c r="F256" i="6"/>
  <c r="E256" i="6"/>
  <c r="J256" i="6" s="1"/>
  <c r="O255" i="6"/>
  <c r="N255" i="6"/>
  <c r="K255" i="6"/>
  <c r="I255" i="6"/>
  <c r="H255" i="6"/>
  <c r="M255" i="6" s="1"/>
  <c r="G255" i="6"/>
  <c r="F255" i="6"/>
  <c r="E255" i="6"/>
  <c r="J255" i="6" s="1"/>
  <c r="O254" i="6"/>
  <c r="N254" i="6"/>
  <c r="M254" i="6"/>
  <c r="L254" i="6"/>
  <c r="K254" i="6"/>
  <c r="I254" i="6"/>
  <c r="H254" i="6"/>
  <c r="G254" i="6"/>
  <c r="F254" i="6"/>
  <c r="E254" i="6"/>
  <c r="S23" i="7" s="1"/>
  <c r="O253" i="6"/>
  <c r="N253" i="6"/>
  <c r="M253" i="6"/>
  <c r="L253" i="6"/>
  <c r="K253" i="6"/>
  <c r="I253" i="6"/>
  <c r="H253" i="6"/>
  <c r="G253" i="6"/>
  <c r="F253" i="6"/>
  <c r="E253" i="6"/>
  <c r="J253" i="6" s="1"/>
  <c r="O252" i="6"/>
  <c r="N252" i="6"/>
  <c r="M252" i="6"/>
  <c r="K252" i="6"/>
  <c r="L252" i="6" s="1"/>
  <c r="I252" i="6"/>
  <c r="H252" i="6"/>
  <c r="G252" i="6"/>
  <c r="F252" i="6"/>
  <c r="E252" i="6"/>
  <c r="J252" i="6" s="1"/>
  <c r="O251" i="6"/>
  <c r="N251" i="6"/>
  <c r="K251" i="6"/>
  <c r="L251" i="6" s="1"/>
  <c r="J251" i="6"/>
  <c r="I251" i="6"/>
  <c r="H251" i="6"/>
  <c r="M251" i="6" s="1"/>
  <c r="G251" i="6"/>
  <c r="F251" i="6"/>
  <c r="E251" i="6"/>
  <c r="O250" i="6"/>
  <c r="N250" i="6"/>
  <c r="M250" i="6"/>
  <c r="K250" i="6"/>
  <c r="I250" i="6"/>
  <c r="H250" i="6"/>
  <c r="L250" i="6" s="1"/>
  <c r="G250" i="6"/>
  <c r="F250" i="6"/>
  <c r="E250" i="6"/>
  <c r="J250" i="6" s="1"/>
  <c r="O249" i="6"/>
  <c r="N249" i="6"/>
  <c r="K249" i="6"/>
  <c r="I249" i="6"/>
  <c r="H249" i="6"/>
  <c r="L249" i="6" s="1"/>
  <c r="G249" i="6"/>
  <c r="F249" i="6"/>
  <c r="E249" i="6"/>
  <c r="J249" i="6" s="1"/>
  <c r="O248" i="6"/>
  <c r="N248" i="6"/>
  <c r="K248" i="6"/>
  <c r="I248" i="6"/>
  <c r="H248" i="6"/>
  <c r="M248" i="6" s="1"/>
  <c r="G248" i="6"/>
  <c r="F248" i="6"/>
  <c r="E248" i="6"/>
  <c r="J248" i="6" s="1"/>
  <c r="O247" i="6"/>
  <c r="N247" i="6"/>
  <c r="K247" i="6"/>
  <c r="I247" i="6"/>
  <c r="H247" i="6"/>
  <c r="M247" i="6" s="1"/>
  <c r="G247" i="6"/>
  <c r="F247" i="6"/>
  <c r="E247" i="6"/>
  <c r="J247" i="6" s="1"/>
  <c r="O246" i="6"/>
  <c r="N246" i="6"/>
  <c r="M246" i="6"/>
  <c r="Q246" i="6" s="1"/>
  <c r="L246" i="6"/>
  <c r="K246" i="6"/>
  <c r="I246" i="6"/>
  <c r="H246" i="6"/>
  <c r="G246" i="6"/>
  <c r="F246" i="6"/>
  <c r="E246" i="6"/>
  <c r="J246" i="6" s="1"/>
  <c r="O245" i="6"/>
  <c r="N245" i="6"/>
  <c r="M245" i="6"/>
  <c r="L245" i="6"/>
  <c r="K245" i="6"/>
  <c r="I245" i="6"/>
  <c r="H245" i="6"/>
  <c r="G245" i="6"/>
  <c r="F245" i="6"/>
  <c r="E245" i="6"/>
  <c r="J245" i="6" s="1"/>
  <c r="O244" i="6"/>
  <c r="N244" i="6"/>
  <c r="M244" i="6"/>
  <c r="L244" i="6"/>
  <c r="K244" i="6"/>
  <c r="I244" i="6"/>
  <c r="H244" i="6"/>
  <c r="G244" i="6"/>
  <c r="F244" i="6"/>
  <c r="E244" i="6"/>
  <c r="J244" i="6" s="1"/>
  <c r="O243" i="6"/>
  <c r="N243" i="6"/>
  <c r="K243" i="6"/>
  <c r="L243" i="6" s="1"/>
  <c r="J243" i="6"/>
  <c r="I243" i="6"/>
  <c r="H243" i="6"/>
  <c r="M243" i="6" s="1"/>
  <c r="G243" i="6"/>
  <c r="F243" i="6"/>
  <c r="E243" i="6"/>
  <c r="O242" i="6"/>
  <c r="N242" i="6"/>
  <c r="M242" i="6"/>
  <c r="K242" i="6"/>
  <c r="I242" i="6"/>
  <c r="H242" i="6"/>
  <c r="L242" i="6" s="1"/>
  <c r="G242" i="6"/>
  <c r="F242" i="6"/>
  <c r="E242" i="6"/>
  <c r="S22" i="7" s="1"/>
  <c r="N241" i="6"/>
  <c r="K241" i="6"/>
  <c r="I241" i="6"/>
  <c r="H241" i="6"/>
  <c r="L241" i="6" s="1"/>
  <c r="G241" i="6"/>
  <c r="F241" i="6"/>
  <c r="E241" i="6"/>
  <c r="J241" i="6" s="1"/>
  <c r="N240" i="6"/>
  <c r="K240" i="6"/>
  <c r="I240" i="6"/>
  <c r="H240" i="6"/>
  <c r="M240" i="6" s="1"/>
  <c r="G240" i="6"/>
  <c r="F240" i="6"/>
  <c r="E240" i="6"/>
  <c r="J240" i="6" s="1"/>
  <c r="N239" i="6"/>
  <c r="K239" i="6"/>
  <c r="I239" i="6"/>
  <c r="H239" i="6"/>
  <c r="M239" i="6" s="1"/>
  <c r="G239" i="6"/>
  <c r="F239" i="6"/>
  <c r="E239" i="6"/>
  <c r="J239" i="6" s="1"/>
  <c r="N238" i="6"/>
  <c r="M238" i="6"/>
  <c r="L238" i="6"/>
  <c r="K238" i="6"/>
  <c r="I238" i="6"/>
  <c r="H238" i="6"/>
  <c r="G238" i="6"/>
  <c r="F238" i="6"/>
  <c r="E238" i="6"/>
  <c r="J238" i="6" s="1"/>
  <c r="N237" i="6"/>
  <c r="M237" i="6"/>
  <c r="L237" i="6"/>
  <c r="K237" i="6"/>
  <c r="I237" i="6"/>
  <c r="H237" i="6"/>
  <c r="G237" i="6"/>
  <c r="F237" i="6"/>
  <c r="E237" i="6"/>
  <c r="J237" i="6" s="1"/>
  <c r="N236" i="6"/>
  <c r="M236" i="6"/>
  <c r="L236" i="6"/>
  <c r="K236" i="6"/>
  <c r="I236" i="6"/>
  <c r="H236" i="6"/>
  <c r="G236" i="6"/>
  <c r="F236" i="6"/>
  <c r="E236" i="6"/>
  <c r="J236" i="6" s="1"/>
  <c r="N235" i="6"/>
  <c r="K235" i="6"/>
  <c r="L235" i="6" s="1"/>
  <c r="J235" i="6"/>
  <c r="I235" i="6"/>
  <c r="H235" i="6"/>
  <c r="M235" i="6" s="1"/>
  <c r="G235" i="6"/>
  <c r="F235" i="6"/>
  <c r="E235" i="6"/>
  <c r="N234" i="6"/>
  <c r="M234" i="6"/>
  <c r="K234" i="6"/>
  <c r="I234" i="6"/>
  <c r="H234" i="6"/>
  <c r="L234" i="6" s="1"/>
  <c r="G234" i="6"/>
  <c r="F234" i="6"/>
  <c r="E234" i="6"/>
  <c r="J234" i="6" s="1"/>
  <c r="N233" i="6"/>
  <c r="K233" i="6"/>
  <c r="I233" i="6"/>
  <c r="H233" i="6"/>
  <c r="L233" i="6" s="1"/>
  <c r="G233" i="6"/>
  <c r="F233" i="6"/>
  <c r="E233" i="6"/>
  <c r="J233" i="6" s="1"/>
  <c r="N232" i="6"/>
  <c r="K232" i="6"/>
  <c r="I232" i="6"/>
  <c r="H232" i="6"/>
  <c r="M232" i="6" s="1"/>
  <c r="G232" i="6"/>
  <c r="F232" i="6"/>
  <c r="E232" i="6"/>
  <c r="J232" i="6" s="1"/>
  <c r="N231" i="6"/>
  <c r="K231" i="6"/>
  <c r="I231" i="6"/>
  <c r="H231" i="6"/>
  <c r="M231" i="6" s="1"/>
  <c r="G231" i="6"/>
  <c r="F231" i="6"/>
  <c r="J231" i="6" s="1"/>
  <c r="E231" i="6"/>
  <c r="N230" i="6"/>
  <c r="M230" i="6"/>
  <c r="L230" i="6"/>
  <c r="K230" i="6"/>
  <c r="I230" i="6"/>
  <c r="H230" i="6"/>
  <c r="G230" i="6"/>
  <c r="F230" i="6"/>
  <c r="E230" i="6"/>
  <c r="S21" i="7" s="1"/>
  <c r="N229" i="6"/>
  <c r="M229" i="6"/>
  <c r="L229" i="6"/>
  <c r="K229" i="6"/>
  <c r="I229" i="6"/>
  <c r="H229" i="6"/>
  <c r="G229" i="6"/>
  <c r="F229" i="6"/>
  <c r="E229" i="6"/>
  <c r="J229" i="6" s="1"/>
  <c r="N228" i="6"/>
  <c r="K228" i="6"/>
  <c r="L228" i="6" s="1"/>
  <c r="I228" i="6"/>
  <c r="H228" i="6"/>
  <c r="M228" i="6" s="1"/>
  <c r="G228" i="6"/>
  <c r="F228" i="6"/>
  <c r="E228" i="6"/>
  <c r="J228" i="6" s="1"/>
  <c r="N227" i="6"/>
  <c r="K227" i="6"/>
  <c r="L227" i="6" s="1"/>
  <c r="I227" i="6"/>
  <c r="H227" i="6"/>
  <c r="M227" i="6" s="1"/>
  <c r="G227" i="6"/>
  <c r="F227" i="6"/>
  <c r="J227" i="6" s="1"/>
  <c r="E227" i="6"/>
  <c r="N226" i="6"/>
  <c r="M226" i="6"/>
  <c r="K226" i="6"/>
  <c r="I226" i="6"/>
  <c r="H226" i="6"/>
  <c r="L226" i="6" s="1"/>
  <c r="G226" i="6"/>
  <c r="F226" i="6"/>
  <c r="E226" i="6"/>
  <c r="J226" i="6" s="1"/>
  <c r="N225" i="6"/>
  <c r="K225" i="6"/>
  <c r="I225" i="6"/>
  <c r="H225" i="6"/>
  <c r="L225" i="6" s="1"/>
  <c r="G225" i="6"/>
  <c r="F225" i="6"/>
  <c r="E225" i="6"/>
  <c r="J225" i="6" s="1"/>
  <c r="N224" i="6"/>
  <c r="K224" i="6"/>
  <c r="I224" i="6"/>
  <c r="H224" i="6"/>
  <c r="M224" i="6" s="1"/>
  <c r="G224" i="6"/>
  <c r="F224" i="6"/>
  <c r="E224" i="6"/>
  <c r="J224" i="6" s="1"/>
  <c r="N223" i="6"/>
  <c r="K223" i="6"/>
  <c r="L223" i="6" s="1"/>
  <c r="I223" i="6"/>
  <c r="H223" i="6"/>
  <c r="M223" i="6" s="1"/>
  <c r="G223" i="6"/>
  <c r="F223" i="6"/>
  <c r="J223" i="6" s="1"/>
  <c r="E223" i="6"/>
  <c r="N222" i="6"/>
  <c r="M222" i="6"/>
  <c r="K222" i="6"/>
  <c r="L222" i="6" s="1"/>
  <c r="I222" i="6"/>
  <c r="H222" i="6"/>
  <c r="G222" i="6"/>
  <c r="F222" i="6"/>
  <c r="E222" i="6"/>
  <c r="J222" i="6" s="1"/>
  <c r="N221" i="6"/>
  <c r="M221" i="6"/>
  <c r="L221" i="6"/>
  <c r="K221" i="6"/>
  <c r="I221" i="6"/>
  <c r="H221" i="6"/>
  <c r="G221" i="6"/>
  <c r="F221" i="6"/>
  <c r="E221" i="6"/>
  <c r="J221" i="6" s="1"/>
  <c r="N220" i="6"/>
  <c r="L220" i="6"/>
  <c r="K220" i="6"/>
  <c r="I220" i="6"/>
  <c r="H220" i="6"/>
  <c r="M220" i="6" s="1"/>
  <c r="G220" i="6"/>
  <c r="F220" i="6"/>
  <c r="E220" i="6"/>
  <c r="J220" i="6" s="1"/>
  <c r="N219" i="6"/>
  <c r="K219" i="6"/>
  <c r="L219" i="6" s="1"/>
  <c r="I219" i="6"/>
  <c r="H219" i="6"/>
  <c r="M219" i="6" s="1"/>
  <c r="G219" i="6"/>
  <c r="F219" i="6"/>
  <c r="J219" i="6" s="1"/>
  <c r="E219" i="6"/>
  <c r="N218" i="6"/>
  <c r="M218" i="6"/>
  <c r="K218" i="6"/>
  <c r="I218" i="6"/>
  <c r="H218" i="6"/>
  <c r="L218" i="6" s="1"/>
  <c r="G218" i="6"/>
  <c r="F218" i="6"/>
  <c r="E218" i="6"/>
  <c r="S20" i="7" s="1"/>
  <c r="N217" i="6"/>
  <c r="L217" i="6"/>
  <c r="K217" i="6"/>
  <c r="I217" i="6"/>
  <c r="H217" i="6"/>
  <c r="M217" i="6" s="1"/>
  <c r="G217" i="6"/>
  <c r="F217" i="6"/>
  <c r="E217" i="6"/>
  <c r="J217" i="6" s="1"/>
  <c r="N216" i="6"/>
  <c r="K216" i="6"/>
  <c r="I216" i="6"/>
  <c r="H216" i="6"/>
  <c r="M216" i="6" s="1"/>
  <c r="G216" i="6"/>
  <c r="F216" i="6"/>
  <c r="E216" i="6"/>
  <c r="N215" i="6"/>
  <c r="L215" i="6"/>
  <c r="K215" i="6"/>
  <c r="J215" i="6"/>
  <c r="I215" i="6"/>
  <c r="H215" i="6"/>
  <c r="M215" i="6" s="1"/>
  <c r="G215" i="6"/>
  <c r="F215" i="6"/>
  <c r="E215" i="6"/>
  <c r="N214" i="6"/>
  <c r="M214" i="6"/>
  <c r="K214" i="6"/>
  <c r="L214" i="6" s="1"/>
  <c r="I214" i="6"/>
  <c r="H214" i="6"/>
  <c r="G214" i="6"/>
  <c r="F214" i="6"/>
  <c r="E214" i="6"/>
  <c r="N213" i="6"/>
  <c r="K213" i="6"/>
  <c r="I213" i="6"/>
  <c r="H213" i="6"/>
  <c r="M213" i="6" s="1"/>
  <c r="G213" i="6"/>
  <c r="F213" i="6"/>
  <c r="E213" i="6"/>
  <c r="J213" i="6" s="1"/>
  <c r="N212" i="6"/>
  <c r="M212" i="6"/>
  <c r="L212" i="6"/>
  <c r="K212" i="6"/>
  <c r="I212" i="6"/>
  <c r="H212" i="6"/>
  <c r="G212" i="6"/>
  <c r="F212" i="6"/>
  <c r="E212" i="6"/>
  <c r="N211" i="6"/>
  <c r="L211" i="6"/>
  <c r="K211" i="6"/>
  <c r="I211" i="6"/>
  <c r="H211" i="6"/>
  <c r="M211" i="6" s="1"/>
  <c r="G211" i="6"/>
  <c r="F211" i="6"/>
  <c r="J211" i="6" s="1"/>
  <c r="E211" i="6"/>
  <c r="N210" i="6"/>
  <c r="M210" i="6"/>
  <c r="K210" i="6"/>
  <c r="I210" i="6"/>
  <c r="H210" i="6"/>
  <c r="L210" i="6" s="1"/>
  <c r="G210" i="6"/>
  <c r="F210" i="6"/>
  <c r="E210" i="6"/>
  <c r="J210" i="6" s="1"/>
  <c r="N209" i="6"/>
  <c r="M209" i="6"/>
  <c r="K209" i="6"/>
  <c r="L209" i="6" s="1"/>
  <c r="I209" i="6"/>
  <c r="H209" i="6"/>
  <c r="G209" i="6"/>
  <c r="F209" i="6"/>
  <c r="E209" i="6"/>
  <c r="J209" i="6" s="1"/>
  <c r="N208" i="6"/>
  <c r="M208" i="6"/>
  <c r="K208" i="6"/>
  <c r="J208" i="6"/>
  <c r="I208" i="6"/>
  <c r="H208" i="6"/>
  <c r="L208" i="6" s="1"/>
  <c r="G208" i="6"/>
  <c r="F208" i="6"/>
  <c r="E208" i="6"/>
  <c r="N207" i="6"/>
  <c r="M207" i="6"/>
  <c r="L207" i="6"/>
  <c r="K207" i="6"/>
  <c r="I207" i="6"/>
  <c r="H207" i="6"/>
  <c r="G207" i="6"/>
  <c r="F207" i="6"/>
  <c r="E207" i="6"/>
  <c r="N206" i="6"/>
  <c r="K206" i="6"/>
  <c r="I206" i="6"/>
  <c r="H206" i="6"/>
  <c r="G206" i="6"/>
  <c r="F206" i="6"/>
  <c r="E206" i="6"/>
  <c r="S19" i="7" s="1"/>
  <c r="N205" i="6"/>
  <c r="M205" i="6"/>
  <c r="L205" i="6"/>
  <c r="K205" i="6"/>
  <c r="I205" i="6"/>
  <c r="H205" i="6"/>
  <c r="G205" i="6"/>
  <c r="F205" i="6"/>
  <c r="E205" i="6"/>
  <c r="J205" i="6" s="1"/>
  <c r="N204" i="6"/>
  <c r="L204" i="6"/>
  <c r="K204" i="6"/>
  <c r="I204" i="6"/>
  <c r="H204" i="6"/>
  <c r="M204" i="6" s="1"/>
  <c r="G204" i="6"/>
  <c r="F204" i="6"/>
  <c r="E204" i="6"/>
  <c r="N203" i="6"/>
  <c r="M203" i="6"/>
  <c r="K203" i="6"/>
  <c r="I203" i="6"/>
  <c r="H203" i="6"/>
  <c r="L203" i="6" s="1"/>
  <c r="G203" i="6"/>
  <c r="F203" i="6"/>
  <c r="E203" i="6"/>
  <c r="J203" i="6" s="1"/>
  <c r="N202" i="6"/>
  <c r="L202" i="6"/>
  <c r="K202" i="6"/>
  <c r="I202" i="6"/>
  <c r="H202" i="6"/>
  <c r="M202" i="6" s="1"/>
  <c r="G202" i="6"/>
  <c r="F202" i="6"/>
  <c r="E202" i="6"/>
  <c r="J202" i="6" s="1"/>
  <c r="N201" i="6"/>
  <c r="M201" i="6"/>
  <c r="K201" i="6"/>
  <c r="I201" i="6"/>
  <c r="H201" i="6"/>
  <c r="L201" i="6" s="1"/>
  <c r="G201" i="6"/>
  <c r="F201" i="6"/>
  <c r="E201" i="6"/>
  <c r="J201" i="6" s="1"/>
  <c r="N200" i="6"/>
  <c r="M200" i="6"/>
  <c r="K200" i="6"/>
  <c r="J200" i="6"/>
  <c r="I200" i="6"/>
  <c r="H200" i="6"/>
  <c r="L200" i="6" s="1"/>
  <c r="G200" i="6"/>
  <c r="F200" i="6"/>
  <c r="E200" i="6"/>
  <c r="N199" i="6"/>
  <c r="M199" i="6"/>
  <c r="L199" i="6"/>
  <c r="K199" i="6"/>
  <c r="I199" i="6"/>
  <c r="H199" i="6"/>
  <c r="G199" i="6"/>
  <c r="F199" i="6"/>
  <c r="E199" i="6"/>
  <c r="N198" i="6"/>
  <c r="K198" i="6"/>
  <c r="I198" i="6"/>
  <c r="H198" i="6"/>
  <c r="G198" i="6"/>
  <c r="F198" i="6"/>
  <c r="E198" i="6"/>
  <c r="N197" i="6"/>
  <c r="M197" i="6"/>
  <c r="L197" i="6"/>
  <c r="K197" i="6"/>
  <c r="I197" i="6"/>
  <c r="H197" i="6"/>
  <c r="G197" i="6"/>
  <c r="F197" i="6"/>
  <c r="E197" i="6"/>
  <c r="J197" i="6" s="1"/>
  <c r="N196" i="6"/>
  <c r="L196" i="6"/>
  <c r="K196" i="6"/>
  <c r="I196" i="6"/>
  <c r="H196" i="6"/>
  <c r="M196" i="6" s="1"/>
  <c r="G196" i="6"/>
  <c r="F196" i="6"/>
  <c r="E196" i="6"/>
  <c r="J196" i="6" s="1"/>
  <c r="N195" i="6"/>
  <c r="M195" i="6"/>
  <c r="K195" i="6"/>
  <c r="I195" i="6"/>
  <c r="H195" i="6"/>
  <c r="L195" i="6" s="1"/>
  <c r="G195" i="6"/>
  <c r="F195" i="6"/>
  <c r="E195" i="6"/>
  <c r="J195" i="6" s="1"/>
  <c r="N194" i="6"/>
  <c r="L194" i="6"/>
  <c r="K194" i="6"/>
  <c r="I194" i="6"/>
  <c r="H194" i="6"/>
  <c r="M194" i="6" s="1"/>
  <c r="G194" i="6"/>
  <c r="F194" i="6"/>
  <c r="E194" i="6"/>
  <c r="S18" i="7" s="1"/>
  <c r="O193" i="6"/>
  <c r="N193" i="6"/>
  <c r="M193" i="6"/>
  <c r="K193" i="6"/>
  <c r="I193" i="6"/>
  <c r="H193" i="6"/>
  <c r="L193" i="6" s="1"/>
  <c r="G193" i="6"/>
  <c r="F193" i="6"/>
  <c r="E193" i="6"/>
  <c r="J193" i="6" s="1"/>
  <c r="T17" i="7" s="1"/>
  <c r="AC17" i="7" s="1"/>
  <c r="O192" i="6"/>
  <c r="N192" i="6"/>
  <c r="M192" i="6"/>
  <c r="K192" i="6"/>
  <c r="J192" i="6"/>
  <c r="I192" i="6"/>
  <c r="H192" i="6"/>
  <c r="L192" i="6" s="1"/>
  <c r="G192" i="6"/>
  <c r="F192" i="6"/>
  <c r="E192" i="6"/>
  <c r="O191" i="6"/>
  <c r="N191" i="6"/>
  <c r="M191" i="6"/>
  <c r="L191" i="6"/>
  <c r="K191" i="6"/>
  <c r="I191" i="6"/>
  <c r="H191" i="6"/>
  <c r="G191" i="6"/>
  <c r="F191" i="6"/>
  <c r="E191" i="6"/>
  <c r="J191" i="6" s="1"/>
  <c r="O190" i="6"/>
  <c r="N190" i="6"/>
  <c r="K190" i="6"/>
  <c r="I190" i="6"/>
  <c r="H190" i="6"/>
  <c r="G190" i="6"/>
  <c r="F190" i="6"/>
  <c r="E190" i="6"/>
  <c r="O189" i="6"/>
  <c r="N189" i="6"/>
  <c r="M189" i="6"/>
  <c r="L189" i="6"/>
  <c r="K189" i="6"/>
  <c r="I189" i="6"/>
  <c r="H189" i="6"/>
  <c r="G189" i="6"/>
  <c r="F189" i="6"/>
  <c r="E189" i="6"/>
  <c r="O188" i="6"/>
  <c r="N188" i="6"/>
  <c r="L188" i="6"/>
  <c r="K188" i="6"/>
  <c r="I188" i="6"/>
  <c r="H188" i="6"/>
  <c r="M188" i="6" s="1"/>
  <c r="G188" i="6"/>
  <c r="F188" i="6"/>
  <c r="E188" i="6"/>
  <c r="O187" i="6"/>
  <c r="N187" i="6"/>
  <c r="M187" i="6"/>
  <c r="K187" i="6"/>
  <c r="I187" i="6"/>
  <c r="H187" i="6"/>
  <c r="L187" i="6" s="1"/>
  <c r="G187" i="6"/>
  <c r="F187" i="6"/>
  <c r="E187" i="6"/>
  <c r="J187" i="6" s="1"/>
  <c r="O186" i="6"/>
  <c r="N186" i="6"/>
  <c r="L186" i="6"/>
  <c r="K186" i="6"/>
  <c r="I186" i="6"/>
  <c r="H186" i="6"/>
  <c r="M186" i="6" s="1"/>
  <c r="G186" i="6"/>
  <c r="F186" i="6"/>
  <c r="E186" i="6"/>
  <c r="J186" i="6" s="1"/>
  <c r="O185" i="6"/>
  <c r="N185" i="6"/>
  <c r="M185" i="6"/>
  <c r="K185" i="6"/>
  <c r="I185" i="6"/>
  <c r="H185" i="6"/>
  <c r="G185" i="6"/>
  <c r="F185" i="6"/>
  <c r="E185" i="6"/>
  <c r="J185" i="6" s="1"/>
  <c r="O184" i="6"/>
  <c r="N184" i="6"/>
  <c r="M184" i="6"/>
  <c r="K184" i="6"/>
  <c r="J184" i="6"/>
  <c r="I184" i="6"/>
  <c r="H184" i="6"/>
  <c r="L184" i="6" s="1"/>
  <c r="G184" i="6"/>
  <c r="F184" i="6"/>
  <c r="E184" i="6"/>
  <c r="O183" i="6"/>
  <c r="N183" i="6"/>
  <c r="M183" i="6"/>
  <c r="L183" i="6"/>
  <c r="K183" i="6"/>
  <c r="I183" i="6"/>
  <c r="H183" i="6"/>
  <c r="G183" i="6"/>
  <c r="F183" i="6"/>
  <c r="E183" i="6"/>
  <c r="J183" i="6" s="1"/>
  <c r="O182" i="6"/>
  <c r="N182" i="6"/>
  <c r="K182" i="6"/>
  <c r="I182" i="6"/>
  <c r="H182" i="6"/>
  <c r="G182" i="6"/>
  <c r="F182" i="6"/>
  <c r="E182" i="6"/>
  <c r="S17" i="7" s="1"/>
  <c r="O181" i="6"/>
  <c r="N181" i="6"/>
  <c r="M181" i="6"/>
  <c r="L181" i="6"/>
  <c r="K181" i="6"/>
  <c r="I181" i="6"/>
  <c r="H181" i="6"/>
  <c r="G181" i="6"/>
  <c r="F181" i="6"/>
  <c r="E181" i="6"/>
  <c r="O180" i="6"/>
  <c r="N180" i="6"/>
  <c r="L180" i="6"/>
  <c r="K180" i="6"/>
  <c r="I180" i="6"/>
  <c r="H180" i="6"/>
  <c r="M180" i="6" s="1"/>
  <c r="G180" i="6"/>
  <c r="F180" i="6"/>
  <c r="E180" i="6"/>
  <c r="O179" i="6"/>
  <c r="N179" i="6"/>
  <c r="M179" i="6"/>
  <c r="K179" i="6"/>
  <c r="I179" i="6"/>
  <c r="H179" i="6"/>
  <c r="L179" i="6" s="1"/>
  <c r="G179" i="6"/>
  <c r="F179" i="6"/>
  <c r="E179" i="6"/>
  <c r="J179" i="6" s="1"/>
  <c r="O178" i="6"/>
  <c r="N178" i="6"/>
  <c r="L178" i="6"/>
  <c r="K178" i="6"/>
  <c r="I178" i="6"/>
  <c r="H178" i="6"/>
  <c r="M178" i="6" s="1"/>
  <c r="G178" i="6"/>
  <c r="F178" i="6"/>
  <c r="E178" i="6"/>
  <c r="J178" i="6" s="1"/>
  <c r="O177" i="6"/>
  <c r="N177" i="6"/>
  <c r="K177" i="6"/>
  <c r="I177" i="6"/>
  <c r="H177" i="6"/>
  <c r="M177" i="6" s="1"/>
  <c r="G177" i="6"/>
  <c r="F177" i="6"/>
  <c r="E177" i="6"/>
  <c r="J177" i="6" s="1"/>
  <c r="O176" i="6"/>
  <c r="N176" i="6"/>
  <c r="M176" i="6"/>
  <c r="K176" i="6"/>
  <c r="J176" i="6"/>
  <c r="I176" i="6"/>
  <c r="H176" i="6"/>
  <c r="L176" i="6" s="1"/>
  <c r="G176" i="6"/>
  <c r="F176" i="6"/>
  <c r="E176" i="6"/>
  <c r="O175" i="6"/>
  <c r="N175" i="6"/>
  <c r="M175" i="6"/>
  <c r="L175" i="6"/>
  <c r="K175" i="6"/>
  <c r="I175" i="6"/>
  <c r="H175" i="6"/>
  <c r="G175" i="6"/>
  <c r="F175" i="6"/>
  <c r="E175" i="6"/>
  <c r="J175" i="6" s="1"/>
  <c r="O174" i="6"/>
  <c r="N174" i="6"/>
  <c r="K174" i="6"/>
  <c r="I174" i="6"/>
  <c r="H174" i="6"/>
  <c r="G174" i="6"/>
  <c r="F174" i="6"/>
  <c r="E174" i="6"/>
  <c r="O173" i="6"/>
  <c r="N173" i="6"/>
  <c r="M173" i="6"/>
  <c r="L173" i="6"/>
  <c r="K173" i="6"/>
  <c r="I173" i="6"/>
  <c r="H173" i="6"/>
  <c r="G173" i="6"/>
  <c r="F173" i="6"/>
  <c r="E173" i="6"/>
  <c r="O172" i="6"/>
  <c r="N172" i="6"/>
  <c r="L172" i="6"/>
  <c r="K172" i="6"/>
  <c r="I172" i="6"/>
  <c r="H172" i="6"/>
  <c r="M172" i="6" s="1"/>
  <c r="G172" i="6"/>
  <c r="F172" i="6"/>
  <c r="E172" i="6"/>
  <c r="J172" i="6" s="1"/>
  <c r="O171" i="6"/>
  <c r="N171" i="6"/>
  <c r="M171" i="6"/>
  <c r="K171" i="6"/>
  <c r="I171" i="6"/>
  <c r="H171" i="6"/>
  <c r="L171" i="6" s="1"/>
  <c r="G171" i="6"/>
  <c r="F171" i="6"/>
  <c r="E171" i="6"/>
  <c r="J171" i="6" s="1"/>
  <c r="O170" i="6"/>
  <c r="N170" i="6"/>
  <c r="L170" i="6"/>
  <c r="K170" i="6"/>
  <c r="I170" i="6"/>
  <c r="H170" i="6"/>
  <c r="M170" i="6" s="1"/>
  <c r="G170" i="6"/>
  <c r="F170" i="6"/>
  <c r="E170" i="6"/>
  <c r="S16" i="7" s="1"/>
  <c r="P169" i="6"/>
  <c r="O169" i="6"/>
  <c r="N169" i="6"/>
  <c r="K169" i="6"/>
  <c r="L169" i="6" s="1"/>
  <c r="I169" i="6"/>
  <c r="H169" i="6"/>
  <c r="M169" i="6" s="1"/>
  <c r="G169" i="6"/>
  <c r="F169" i="6"/>
  <c r="E169" i="6"/>
  <c r="J169" i="6" s="1"/>
  <c r="T15" i="7" s="1"/>
  <c r="AC15" i="7" s="1"/>
  <c r="AD15" i="7" s="1"/>
  <c r="R168" i="6"/>
  <c r="P168" i="6"/>
  <c r="O168" i="6"/>
  <c r="N168" i="6"/>
  <c r="M168" i="6"/>
  <c r="Q168" i="6" s="1"/>
  <c r="K168" i="6"/>
  <c r="J168" i="6"/>
  <c r="I168" i="6"/>
  <c r="H168" i="6"/>
  <c r="L168" i="6" s="1"/>
  <c r="G168" i="6"/>
  <c r="F168" i="6"/>
  <c r="E168" i="6"/>
  <c r="P167" i="6"/>
  <c r="O167" i="6"/>
  <c r="N167" i="6"/>
  <c r="M167" i="6"/>
  <c r="L167" i="6"/>
  <c r="K167" i="6"/>
  <c r="I167" i="6"/>
  <c r="H167" i="6"/>
  <c r="G167" i="6"/>
  <c r="F167" i="6"/>
  <c r="E167" i="6"/>
  <c r="P166" i="6"/>
  <c r="O166" i="6"/>
  <c r="N166" i="6"/>
  <c r="K166" i="6"/>
  <c r="I166" i="6"/>
  <c r="H166" i="6"/>
  <c r="G166" i="6"/>
  <c r="F166" i="6"/>
  <c r="E166" i="6"/>
  <c r="P165" i="6"/>
  <c r="O165" i="6"/>
  <c r="N165" i="6"/>
  <c r="M165" i="6"/>
  <c r="R165" i="6" s="1"/>
  <c r="L165" i="6"/>
  <c r="K165" i="6"/>
  <c r="I165" i="6"/>
  <c r="H165" i="6"/>
  <c r="G165" i="6"/>
  <c r="F165" i="6"/>
  <c r="E165" i="6"/>
  <c r="J165" i="6" s="1"/>
  <c r="P164" i="6"/>
  <c r="O164" i="6"/>
  <c r="N164" i="6"/>
  <c r="L164" i="6"/>
  <c r="K164" i="6"/>
  <c r="I164" i="6"/>
  <c r="H164" i="6"/>
  <c r="M164" i="6" s="1"/>
  <c r="G164" i="6"/>
  <c r="F164" i="6"/>
  <c r="E164" i="6"/>
  <c r="P163" i="6"/>
  <c r="O163" i="6"/>
  <c r="N163" i="6"/>
  <c r="M163" i="6"/>
  <c r="K163" i="6"/>
  <c r="I163" i="6"/>
  <c r="H163" i="6"/>
  <c r="L163" i="6" s="1"/>
  <c r="G163" i="6"/>
  <c r="F163" i="6"/>
  <c r="E163" i="6"/>
  <c r="J163" i="6" s="1"/>
  <c r="P162" i="6"/>
  <c r="O162" i="6"/>
  <c r="N162" i="6"/>
  <c r="L162" i="6"/>
  <c r="K162" i="6"/>
  <c r="I162" i="6"/>
  <c r="H162" i="6"/>
  <c r="M162" i="6" s="1"/>
  <c r="G162" i="6"/>
  <c r="F162" i="6"/>
  <c r="E162" i="6"/>
  <c r="J162" i="6" s="1"/>
  <c r="P161" i="6"/>
  <c r="O161" i="6"/>
  <c r="N161" i="6"/>
  <c r="K161" i="6"/>
  <c r="I161" i="6"/>
  <c r="H161" i="6"/>
  <c r="M161" i="6" s="1"/>
  <c r="G161" i="6"/>
  <c r="F161" i="6"/>
  <c r="E161" i="6"/>
  <c r="J161" i="6" s="1"/>
  <c r="R160" i="6"/>
  <c r="P160" i="6"/>
  <c r="O160" i="6"/>
  <c r="N160" i="6"/>
  <c r="M160" i="6"/>
  <c r="K160" i="6"/>
  <c r="J160" i="6"/>
  <c r="I160" i="6"/>
  <c r="H160" i="6"/>
  <c r="L160" i="6" s="1"/>
  <c r="G160" i="6"/>
  <c r="F160" i="6"/>
  <c r="E160" i="6"/>
  <c r="P159" i="6"/>
  <c r="O159" i="6"/>
  <c r="N159" i="6"/>
  <c r="M159" i="6"/>
  <c r="L159" i="6"/>
  <c r="K159" i="6"/>
  <c r="I159" i="6"/>
  <c r="H159" i="6"/>
  <c r="G159" i="6"/>
  <c r="F159" i="6"/>
  <c r="E159" i="6"/>
  <c r="P158" i="6"/>
  <c r="O158" i="6"/>
  <c r="N158" i="6"/>
  <c r="K158" i="6"/>
  <c r="I158" i="6"/>
  <c r="H158" i="6"/>
  <c r="G158" i="6"/>
  <c r="F158" i="6"/>
  <c r="E158" i="6"/>
  <c r="S15" i="7" s="1"/>
  <c r="P157" i="6"/>
  <c r="O157" i="6"/>
  <c r="N157" i="6"/>
  <c r="M157" i="6"/>
  <c r="L157" i="6"/>
  <c r="K157" i="6"/>
  <c r="I157" i="6"/>
  <c r="H157" i="6"/>
  <c r="G157" i="6"/>
  <c r="F157" i="6"/>
  <c r="E157" i="6"/>
  <c r="P156" i="6"/>
  <c r="O156" i="6"/>
  <c r="N156" i="6"/>
  <c r="K156" i="6"/>
  <c r="L156" i="6" s="1"/>
  <c r="I156" i="6"/>
  <c r="H156" i="6"/>
  <c r="M156" i="6" s="1"/>
  <c r="G156" i="6"/>
  <c r="F156" i="6"/>
  <c r="E156" i="6"/>
  <c r="P155" i="6"/>
  <c r="O155" i="6"/>
  <c r="N155" i="6"/>
  <c r="M155" i="6"/>
  <c r="K155" i="6"/>
  <c r="I155" i="6"/>
  <c r="H155" i="6"/>
  <c r="L155" i="6" s="1"/>
  <c r="G155" i="6"/>
  <c r="F155" i="6"/>
  <c r="E155" i="6"/>
  <c r="J155" i="6" s="1"/>
  <c r="P154" i="6"/>
  <c r="O154" i="6"/>
  <c r="N154" i="6"/>
  <c r="L154" i="6"/>
  <c r="K154" i="6"/>
  <c r="I154" i="6"/>
  <c r="H154" i="6"/>
  <c r="M154" i="6" s="1"/>
  <c r="G154" i="6"/>
  <c r="F154" i="6"/>
  <c r="E154" i="6"/>
  <c r="J154" i="6" s="1"/>
  <c r="P153" i="6"/>
  <c r="O153" i="6"/>
  <c r="N153" i="6"/>
  <c r="K153" i="6"/>
  <c r="I153" i="6"/>
  <c r="H153" i="6"/>
  <c r="M153" i="6" s="1"/>
  <c r="G153" i="6"/>
  <c r="F153" i="6"/>
  <c r="E153" i="6"/>
  <c r="J153" i="6" s="1"/>
  <c r="R152" i="6"/>
  <c r="P152" i="6"/>
  <c r="O152" i="6"/>
  <c r="N152" i="6"/>
  <c r="M152" i="6"/>
  <c r="K152" i="6"/>
  <c r="J152" i="6"/>
  <c r="I152" i="6"/>
  <c r="H152" i="6"/>
  <c r="L152" i="6" s="1"/>
  <c r="G152" i="6"/>
  <c r="F152" i="6"/>
  <c r="E152" i="6"/>
  <c r="P151" i="6"/>
  <c r="O151" i="6"/>
  <c r="N151" i="6"/>
  <c r="M151" i="6"/>
  <c r="L151" i="6"/>
  <c r="K151" i="6"/>
  <c r="I151" i="6"/>
  <c r="H151" i="6"/>
  <c r="G151" i="6"/>
  <c r="F151" i="6"/>
  <c r="E151" i="6"/>
  <c r="P150" i="6"/>
  <c r="O150" i="6"/>
  <c r="N150" i="6"/>
  <c r="K150" i="6"/>
  <c r="I150" i="6"/>
  <c r="H150" i="6"/>
  <c r="G150" i="6"/>
  <c r="F150" i="6"/>
  <c r="E150" i="6"/>
  <c r="P149" i="6"/>
  <c r="O149" i="6"/>
  <c r="N149" i="6"/>
  <c r="M149" i="6"/>
  <c r="L149" i="6"/>
  <c r="K149" i="6"/>
  <c r="I149" i="6"/>
  <c r="H149" i="6"/>
  <c r="G149" i="6"/>
  <c r="F149" i="6"/>
  <c r="E149" i="6"/>
  <c r="J149" i="6" s="1"/>
  <c r="P148" i="6"/>
  <c r="O148" i="6"/>
  <c r="N148" i="6"/>
  <c r="L148" i="6"/>
  <c r="K148" i="6"/>
  <c r="I148" i="6"/>
  <c r="H148" i="6"/>
  <c r="M148" i="6" s="1"/>
  <c r="G148" i="6"/>
  <c r="F148" i="6"/>
  <c r="E148" i="6"/>
  <c r="J148" i="6" s="1"/>
  <c r="P147" i="6"/>
  <c r="O147" i="6"/>
  <c r="N147" i="6"/>
  <c r="M147" i="6"/>
  <c r="K147" i="6"/>
  <c r="I147" i="6"/>
  <c r="H147" i="6"/>
  <c r="L147" i="6" s="1"/>
  <c r="G147" i="6"/>
  <c r="F147" i="6"/>
  <c r="E147" i="6"/>
  <c r="J147" i="6" s="1"/>
  <c r="P146" i="6"/>
  <c r="O146" i="6"/>
  <c r="N146" i="6"/>
  <c r="L146" i="6"/>
  <c r="K146" i="6"/>
  <c r="I146" i="6"/>
  <c r="H146" i="6"/>
  <c r="M146" i="6" s="1"/>
  <c r="G146" i="6"/>
  <c r="F146" i="6"/>
  <c r="E146" i="6"/>
  <c r="S14" i="7" s="1"/>
  <c r="O145" i="6"/>
  <c r="N145" i="6"/>
  <c r="K145" i="6"/>
  <c r="I145" i="6"/>
  <c r="H145" i="6"/>
  <c r="M145" i="6" s="1"/>
  <c r="G145" i="6"/>
  <c r="F145" i="6"/>
  <c r="E145" i="6"/>
  <c r="J145" i="6" s="1"/>
  <c r="T13" i="7" s="1"/>
  <c r="AC13" i="7" s="1"/>
  <c r="O144" i="6"/>
  <c r="N144" i="6"/>
  <c r="K144" i="6"/>
  <c r="J144" i="6"/>
  <c r="I144" i="6"/>
  <c r="H144" i="6"/>
  <c r="M144" i="6" s="1"/>
  <c r="Q144" i="6" s="1"/>
  <c r="G144" i="6"/>
  <c r="F144" i="6"/>
  <c r="E144" i="6"/>
  <c r="O143" i="6"/>
  <c r="N143" i="6"/>
  <c r="M143" i="6"/>
  <c r="L143" i="6"/>
  <c r="K143" i="6"/>
  <c r="I143" i="6"/>
  <c r="H143" i="6"/>
  <c r="G143" i="6"/>
  <c r="F143" i="6"/>
  <c r="E143" i="6"/>
  <c r="O142" i="6"/>
  <c r="N142" i="6"/>
  <c r="K142" i="6"/>
  <c r="I142" i="6"/>
  <c r="H142" i="6"/>
  <c r="G142" i="6"/>
  <c r="F142" i="6"/>
  <c r="E142" i="6"/>
  <c r="O141" i="6"/>
  <c r="N141" i="6"/>
  <c r="M141" i="6"/>
  <c r="L141" i="6"/>
  <c r="K141" i="6"/>
  <c r="I141" i="6"/>
  <c r="H141" i="6"/>
  <c r="G141" i="6"/>
  <c r="F141" i="6"/>
  <c r="E141" i="6"/>
  <c r="O140" i="6"/>
  <c r="N140" i="6"/>
  <c r="L140" i="6"/>
  <c r="K140" i="6"/>
  <c r="I140" i="6"/>
  <c r="H140" i="6"/>
  <c r="M140" i="6" s="1"/>
  <c r="G140" i="6"/>
  <c r="F140" i="6"/>
  <c r="E140" i="6"/>
  <c r="J140" i="6" s="1"/>
  <c r="O139" i="6"/>
  <c r="N139" i="6"/>
  <c r="M139" i="6"/>
  <c r="K139" i="6"/>
  <c r="I139" i="6"/>
  <c r="H139" i="6"/>
  <c r="L139" i="6" s="1"/>
  <c r="G139" i="6"/>
  <c r="F139" i="6"/>
  <c r="E139" i="6"/>
  <c r="J139" i="6" s="1"/>
  <c r="O138" i="6"/>
  <c r="N138" i="6"/>
  <c r="M138" i="6"/>
  <c r="L138" i="6"/>
  <c r="K138" i="6"/>
  <c r="I138" i="6"/>
  <c r="H138" i="6"/>
  <c r="G138" i="6"/>
  <c r="J138" i="6" s="1"/>
  <c r="F138" i="6"/>
  <c r="E138" i="6"/>
  <c r="O137" i="6"/>
  <c r="N137" i="6"/>
  <c r="K137" i="6"/>
  <c r="I137" i="6"/>
  <c r="H137" i="6"/>
  <c r="M137" i="6" s="1"/>
  <c r="G137" i="6"/>
  <c r="F137" i="6"/>
  <c r="E137" i="6"/>
  <c r="J137" i="6" s="1"/>
  <c r="O136" i="6"/>
  <c r="N136" i="6"/>
  <c r="M136" i="6"/>
  <c r="K136" i="6"/>
  <c r="J136" i="6"/>
  <c r="I136" i="6"/>
  <c r="H136" i="6"/>
  <c r="L136" i="6" s="1"/>
  <c r="G136" i="6"/>
  <c r="F136" i="6"/>
  <c r="E136" i="6"/>
  <c r="O135" i="6"/>
  <c r="N135" i="6"/>
  <c r="M135" i="6"/>
  <c r="L135" i="6"/>
  <c r="K135" i="6"/>
  <c r="I135" i="6"/>
  <c r="H135" i="6"/>
  <c r="G135" i="6"/>
  <c r="F135" i="6"/>
  <c r="E135" i="6"/>
  <c r="J135" i="6" s="1"/>
  <c r="O134" i="6"/>
  <c r="N134" i="6"/>
  <c r="K134" i="6"/>
  <c r="I134" i="6"/>
  <c r="H134" i="6"/>
  <c r="G134" i="6"/>
  <c r="F134" i="6"/>
  <c r="E134" i="6"/>
  <c r="S13" i="7" s="1"/>
  <c r="N133" i="6"/>
  <c r="M133" i="6"/>
  <c r="L133" i="6"/>
  <c r="K133" i="6"/>
  <c r="I133" i="6"/>
  <c r="H133" i="6"/>
  <c r="G133" i="6"/>
  <c r="J133" i="6" s="1"/>
  <c r="F133" i="6"/>
  <c r="E133" i="6"/>
  <c r="N132" i="6"/>
  <c r="L132" i="6"/>
  <c r="K132" i="6"/>
  <c r="I132" i="6"/>
  <c r="H132" i="6"/>
  <c r="M132" i="6" s="1"/>
  <c r="G132" i="6"/>
  <c r="F132" i="6"/>
  <c r="E132" i="6"/>
  <c r="J132" i="6" s="1"/>
  <c r="N131" i="6"/>
  <c r="M131" i="6"/>
  <c r="K131" i="6"/>
  <c r="I131" i="6"/>
  <c r="H131" i="6"/>
  <c r="L131" i="6" s="1"/>
  <c r="G131" i="6"/>
  <c r="F131" i="6"/>
  <c r="E131" i="6"/>
  <c r="J131" i="6" s="1"/>
  <c r="N130" i="6"/>
  <c r="M130" i="6"/>
  <c r="L130" i="6"/>
  <c r="K130" i="6"/>
  <c r="I130" i="6"/>
  <c r="H130" i="6"/>
  <c r="G130" i="6"/>
  <c r="J130" i="6" s="1"/>
  <c r="F130" i="6"/>
  <c r="E130" i="6"/>
  <c r="N129" i="6"/>
  <c r="K129" i="6"/>
  <c r="I129" i="6"/>
  <c r="H129" i="6"/>
  <c r="M129" i="6" s="1"/>
  <c r="G129" i="6"/>
  <c r="F129" i="6"/>
  <c r="E129" i="6"/>
  <c r="J129" i="6" s="1"/>
  <c r="N128" i="6"/>
  <c r="M128" i="6"/>
  <c r="K128" i="6"/>
  <c r="J128" i="6"/>
  <c r="I128" i="6"/>
  <c r="H128" i="6"/>
  <c r="L128" i="6" s="1"/>
  <c r="G128" i="6"/>
  <c r="F128" i="6"/>
  <c r="E128" i="6"/>
  <c r="N127" i="6"/>
  <c r="M127" i="6"/>
  <c r="L127" i="6"/>
  <c r="K127" i="6"/>
  <c r="I127" i="6"/>
  <c r="H127" i="6"/>
  <c r="G127" i="6"/>
  <c r="F127" i="6"/>
  <c r="E127" i="6"/>
  <c r="J127" i="6" s="1"/>
  <c r="N126" i="6"/>
  <c r="K126" i="6"/>
  <c r="I126" i="6"/>
  <c r="H126" i="6"/>
  <c r="G126" i="6"/>
  <c r="F126" i="6"/>
  <c r="E126" i="6"/>
  <c r="J126" i="6" s="1"/>
  <c r="N125" i="6"/>
  <c r="M125" i="6"/>
  <c r="L125" i="6"/>
  <c r="K125" i="6"/>
  <c r="I125" i="6"/>
  <c r="H125" i="6"/>
  <c r="G125" i="6"/>
  <c r="J125" i="6" s="1"/>
  <c r="F125" i="6"/>
  <c r="E125" i="6"/>
  <c r="N124" i="6"/>
  <c r="L124" i="6"/>
  <c r="K124" i="6"/>
  <c r="I124" i="6"/>
  <c r="H124" i="6"/>
  <c r="M124" i="6" s="1"/>
  <c r="G124" i="6"/>
  <c r="F124" i="6"/>
  <c r="E124" i="6"/>
  <c r="N123" i="6"/>
  <c r="M123" i="6"/>
  <c r="K123" i="6"/>
  <c r="I123" i="6"/>
  <c r="H123" i="6"/>
  <c r="L123" i="6" s="1"/>
  <c r="G123" i="6"/>
  <c r="F123" i="6"/>
  <c r="E123" i="6"/>
  <c r="J123" i="6" s="1"/>
  <c r="N122" i="6"/>
  <c r="M122" i="6"/>
  <c r="L122" i="6"/>
  <c r="K122" i="6"/>
  <c r="I122" i="6"/>
  <c r="H122" i="6"/>
  <c r="G122" i="6"/>
  <c r="J122" i="6" s="1"/>
  <c r="F122" i="6"/>
  <c r="E122" i="6"/>
  <c r="S12" i="7" s="1"/>
  <c r="N121" i="6"/>
  <c r="M121" i="6"/>
  <c r="K121" i="6"/>
  <c r="L121" i="6" s="1"/>
  <c r="I121" i="6"/>
  <c r="H121" i="6"/>
  <c r="G121" i="6"/>
  <c r="F121" i="6"/>
  <c r="E121" i="6"/>
  <c r="J121" i="6" s="1"/>
  <c r="N120" i="6"/>
  <c r="M120" i="6"/>
  <c r="K120" i="6"/>
  <c r="J120" i="6"/>
  <c r="I120" i="6"/>
  <c r="H120" i="6"/>
  <c r="L120" i="6" s="1"/>
  <c r="G120" i="6"/>
  <c r="F120" i="6"/>
  <c r="E120" i="6"/>
  <c r="N119" i="6"/>
  <c r="M119" i="6"/>
  <c r="L119" i="6"/>
  <c r="K119" i="6"/>
  <c r="I119" i="6"/>
  <c r="H119" i="6"/>
  <c r="G119" i="6"/>
  <c r="F119" i="6"/>
  <c r="E119" i="6"/>
  <c r="N118" i="6"/>
  <c r="K118" i="6"/>
  <c r="I118" i="6"/>
  <c r="H118" i="6"/>
  <c r="G118" i="6"/>
  <c r="F118" i="6"/>
  <c r="E118" i="6"/>
  <c r="J118" i="6" s="1"/>
  <c r="N117" i="6"/>
  <c r="M117" i="6"/>
  <c r="L117" i="6"/>
  <c r="K117" i="6"/>
  <c r="I117" i="6"/>
  <c r="H117" i="6"/>
  <c r="G117" i="6"/>
  <c r="J117" i="6" s="1"/>
  <c r="F117" i="6"/>
  <c r="E117" i="6"/>
  <c r="N116" i="6"/>
  <c r="L116" i="6"/>
  <c r="K116" i="6"/>
  <c r="I116" i="6"/>
  <c r="H116" i="6"/>
  <c r="M116" i="6" s="1"/>
  <c r="G116" i="6"/>
  <c r="F116" i="6"/>
  <c r="E116" i="6"/>
  <c r="N115" i="6"/>
  <c r="M115" i="6"/>
  <c r="K115" i="6"/>
  <c r="I115" i="6"/>
  <c r="H115" i="6"/>
  <c r="L115" i="6" s="1"/>
  <c r="G115" i="6"/>
  <c r="F115" i="6"/>
  <c r="E115" i="6"/>
  <c r="J115" i="6" s="1"/>
  <c r="N114" i="6"/>
  <c r="M114" i="6"/>
  <c r="L114" i="6"/>
  <c r="K114" i="6"/>
  <c r="I114" i="6"/>
  <c r="H114" i="6"/>
  <c r="G114" i="6"/>
  <c r="J114" i="6" s="1"/>
  <c r="F114" i="6"/>
  <c r="E114" i="6"/>
  <c r="N113" i="6"/>
  <c r="M113" i="6"/>
  <c r="K113" i="6"/>
  <c r="L113" i="6" s="1"/>
  <c r="I113" i="6"/>
  <c r="H113" i="6"/>
  <c r="G113" i="6"/>
  <c r="F113" i="6"/>
  <c r="E113" i="6"/>
  <c r="N112" i="6"/>
  <c r="M112" i="6"/>
  <c r="K112" i="6"/>
  <c r="J112" i="6"/>
  <c r="I112" i="6"/>
  <c r="H112" i="6"/>
  <c r="L112" i="6" s="1"/>
  <c r="G112" i="6"/>
  <c r="F112" i="6"/>
  <c r="E112" i="6"/>
  <c r="N111" i="6"/>
  <c r="M111" i="6"/>
  <c r="L111" i="6"/>
  <c r="K111" i="6"/>
  <c r="I111" i="6"/>
  <c r="H111" i="6"/>
  <c r="G111" i="6"/>
  <c r="F111" i="6"/>
  <c r="E111" i="6"/>
  <c r="N110" i="6"/>
  <c r="K110" i="6"/>
  <c r="I110" i="6"/>
  <c r="H110" i="6"/>
  <c r="G110" i="6"/>
  <c r="F110" i="6"/>
  <c r="E110" i="6"/>
  <c r="S11" i="7" s="1"/>
  <c r="P109" i="6"/>
  <c r="O109" i="6"/>
  <c r="N109" i="6"/>
  <c r="M109" i="6"/>
  <c r="L109" i="6"/>
  <c r="K109" i="6"/>
  <c r="J109" i="6"/>
  <c r="R109" i="6" s="1"/>
  <c r="I109" i="6"/>
  <c r="H109" i="6"/>
  <c r="G109" i="6"/>
  <c r="F109" i="6"/>
  <c r="E109" i="6"/>
  <c r="P108" i="6"/>
  <c r="O108" i="6"/>
  <c r="N108" i="6"/>
  <c r="L108" i="6"/>
  <c r="K108" i="6"/>
  <c r="I108" i="6"/>
  <c r="H108" i="6"/>
  <c r="M108" i="6" s="1"/>
  <c r="G108" i="6"/>
  <c r="F108" i="6"/>
  <c r="E108" i="6"/>
  <c r="P107" i="6"/>
  <c r="O107" i="6"/>
  <c r="N107" i="6"/>
  <c r="K107" i="6"/>
  <c r="I107" i="6"/>
  <c r="H107" i="6"/>
  <c r="L107" i="6" s="1"/>
  <c r="G107" i="6"/>
  <c r="F107" i="6"/>
  <c r="E107" i="6"/>
  <c r="P106" i="6"/>
  <c r="O106" i="6"/>
  <c r="N106" i="6"/>
  <c r="M106" i="6"/>
  <c r="L106" i="6"/>
  <c r="K106" i="6"/>
  <c r="I106" i="6"/>
  <c r="H106" i="6"/>
  <c r="G106" i="6"/>
  <c r="F106" i="6"/>
  <c r="E106" i="6"/>
  <c r="P105" i="6"/>
  <c r="O105" i="6"/>
  <c r="N105" i="6"/>
  <c r="M105" i="6"/>
  <c r="K105" i="6"/>
  <c r="L105" i="6" s="1"/>
  <c r="I105" i="6"/>
  <c r="H105" i="6"/>
  <c r="G105" i="6"/>
  <c r="F105" i="6"/>
  <c r="E105" i="6"/>
  <c r="P104" i="6"/>
  <c r="O104" i="6"/>
  <c r="N104" i="6"/>
  <c r="M104" i="6"/>
  <c r="K104" i="6"/>
  <c r="J104" i="6"/>
  <c r="I104" i="6"/>
  <c r="H104" i="6"/>
  <c r="L104" i="6" s="1"/>
  <c r="G104" i="6"/>
  <c r="F104" i="6"/>
  <c r="E104" i="6"/>
  <c r="P103" i="6"/>
  <c r="O103" i="6"/>
  <c r="N103" i="6"/>
  <c r="M103" i="6"/>
  <c r="L103" i="6"/>
  <c r="K103" i="6"/>
  <c r="I103" i="6"/>
  <c r="H103" i="6"/>
  <c r="G103" i="6"/>
  <c r="F103" i="6"/>
  <c r="J103" i="6" s="1"/>
  <c r="E103" i="6"/>
  <c r="P102" i="6"/>
  <c r="O102" i="6"/>
  <c r="N102" i="6"/>
  <c r="K102" i="6"/>
  <c r="I102" i="6"/>
  <c r="H102" i="6"/>
  <c r="G102" i="6"/>
  <c r="F102" i="6"/>
  <c r="E102" i="6"/>
  <c r="P101" i="6"/>
  <c r="O101" i="6"/>
  <c r="N101" i="6"/>
  <c r="M101" i="6"/>
  <c r="Q101" i="6" s="1"/>
  <c r="L101" i="6"/>
  <c r="K101" i="6"/>
  <c r="J101" i="6"/>
  <c r="R101" i="6" s="1"/>
  <c r="I101" i="6"/>
  <c r="H101" i="6"/>
  <c r="G101" i="6"/>
  <c r="F101" i="6"/>
  <c r="E101" i="6"/>
  <c r="P100" i="6"/>
  <c r="O100" i="6"/>
  <c r="N100" i="6"/>
  <c r="L100" i="6"/>
  <c r="K100" i="6"/>
  <c r="I100" i="6"/>
  <c r="H100" i="6"/>
  <c r="M100" i="6" s="1"/>
  <c r="R100" i="6" s="1"/>
  <c r="G100" i="6"/>
  <c r="F100" i="6"/>
  <c r="E100" i="6"/>
  <c r="J100" i="6" s="1"/>
  <c r="P99" i="6"/>
  <c r="O99" i="6"/>
  <c r="N99" i="6"/>
  <c r="K99" i="6"/>
  <c r="I99" i="6"/>
  <c r="H99" i="6"/>
  <c r="L99" i="6" s="1"/>
  <c r="G99" i="6"/>
  <c r="F99" i="6"/>
  <c r="E99" i="6"/>
  <c r="J99" i="6" s="1"/>
  <c r="P98" i="6"/>
  <c r="O98" i="6"/>
  <c r="N98" i="6"/>
  <c r="M98" i="6"/>
  <c r="L98" i="6"/>
  <c r="K98" i="6"/>
  <c r="I98" i="6"/>
  <c r="H98" i="6"/>
  <c r="G98" i="6"/>
  <c r="J98" i="6" s="1"/>
  <c r="F98" i="6"/>
  <c r="E98" i="6"/>
  <c r="S10" i="7" s="1"/>
  <c r="P97" i="6"/>
  <c r="O97" i="6"/>
  <c r="N97" i="6"/>
  <c r="M97" i="6"/>
  <c r="K97" i="6"/>
  <c r="L97" i="6" s="1"/>
  <c r="I97" i="6"/>
  <c r="H97" i="6"/>
  <c r="G97" i="6"/>
  <c r="F97" i="6"/>
  <c r="E97" i="6"/>
  <c r="J97" i="6" s="1"/>
  <c r="P96" i="6"/>
  <c r="O96" i="6"/>
  <c r="N96" i="6"/>
  <c r="M96" i="6"/>
  <c r="Q96" i="6" s="1"/>
  <c r="K96" i="6"/>
  <c r="J96" i="6"/>
  <c r="I96" i="6"/>
  <c r="H96" i="6"/>
  <c r="L96" i="6" s="1"/>
  <c r="G96" i="6"/>
  <c r="F96" i="6"/>
  <c r="E96" i="6"/>
  <c r="Q95" i="6"/>
  <c r="P95" i="6"/>
  <c r="O95" i="6"/>
  <c r="N95" i="6"/>
  <c r="M95" i="6"/>
  <c r="L95" i="6"/>
  <c r="K95" i="6"/>
  <c r="I95" i="6"/>
  <c r="H95" i="6"/>
  <c r="G95" i="6"/>
  <c r="F95" i="6"/>
  <c r="J95" i="6" s="1"/>
  <c r="E95" i="6"/>
  <c r="P94" i="6"/>
  <c r="O94" i="6"/>
  <c r="N94" i="6"/>
  <c r="K94" i="6"/>
  <c r="I94" i="6"/>
  <c r="H94" i="6"/>
  <c r="G94" i="6"/>
  <c r="F94" i="6"/>
  <c r="E94" i="6"/>
  <c r="P93" i="6"/>
  <c r="O93" i="6"/>
  <c r="N93" i="6"/>
  <c r="M93" i="6"/>
  <c r="L93" i="6"/>
  <c r="K93" i="6"/>
  <c r="I93" i="6"/>
  <c r="H93" i="6"/>
  <c r="G93" i="6"/>
  <c r="J93" i="6" s="1"/>
  <c r="F93" i="6"/>
  <c r="E93" i="6"/>
  <c r="P92" i="6"/>
  <c r="O92" i="6"/>
  <c r="N92" i="6"/>
  <c r="L92" i="6"/>
  <c r="K92" i="6"/>
  <c r="I92" i="6"/>
  <c r="H92" i="6"/>
  <c r="M92" i="6" s="1"/>
  <c r="G92" i="6"/>
  <c r="F92" i="6"/>
  <c r="E92" i="6"/>
  <c r="P91" i="6"/>
  <c r="O91" i="6"/>
  <c r="N91" i="6"/>
  <c r="K91" i="6"/>
  <c r="I91" i="6"/>
  <c r="H91" i="6"/>
  <c r="L91" i="6" s="1"/>
  <c r="G91" i="6"/>
  <c r="F91" i="6"/>
  <c r="E91" i="6"/>
  <c r="P90" i="6"/>
  <c r="O90" i="6"/>
  <c r="N90" i="6"/>
  <c r="M90" i="6"/>
  <c r="L90" i="6"/>
  <c r="K90" i="6"/>
  <c r="I90" i="6"/>
  <c r="H90" i="6"/>
  <c r="G90" i="6"/>
  <c r="J90" i="6" s="1"/>
  <c r="F90" i="6"/>
  <c r="E90" i="6"/>
  <c r="P89" i="6"/>
  <c r="O89" i="6"/>
  <c r="N89" i="6"/>
  <c r="K89" i="6"/>
  <c r="L89" i="6" s="1"/>
  <c r="I89" i="6"/>
  <c r="H89" i="6"/>
  <c r="M89" i="6" s="1"/>
  <c r="G89" i="6"/>
  <c r="F89" i="6"/>
  <c r="E89" i="6"/>
  <c r="J89" i="6" s="1"/>
  <c r="P88" i="6"/>
  <c r="O88" i="6"/>
  <c r="N88" i="6"/>
  <c r="M88" i="6"/>
  <c r="K88" i="6"/>
  <c r="I88" i="6"/>
  <c r="H88" i="6"/>
  <c r="L88" i="6" s="1"/>
  <c r="G88" i="6"/>
  <c r="F88" i="6"/>
  <c r="E88" i="6"/>
  <c r="J88" i="6" s="1"/>
  <c r="P87" i="6"/>
  <c r="O87" i="6"/>
  <c r="N87" i="6"/>
  <c r="M87" i="6"/>
  <c r="L87" i="6"/>
  <c r="K87" i="6"/>
  <c r="I87" i="6"/>
  <c r="H87" i="6"/>
  <c r="G87" i="6"/>
  <c r="F87" i="6"/>
  <c r="E87" i="6"/>
  <c r="P86" i="6"/>
  <c r="O86" i="6"/>
  <c r="N86" i="6"/>
  <c r="K86" i="6"/>
  <c r="I86" i="6"/>
  <c r="H86" i="6"/>
  <c r="G86" i="6"/>
  <c r="F86" i="6"/>
  <c r="E86" i="6"/>
  <c r="S9" i="7" s="1"/>
  <c r="O85" i="6"/>
  <c r="N85" i="6"/>
  <c r="M85" i="6"/>
  <c r="L85" i="6"/>
  <c r="K85" i="6"/>
  <c r="I85" i="6"/>
  <c r="H85" i="6"/>
  <c r="G85" i="6"/>
  <c r="J85" i="6" s="1"/>
  <c r="F85" i="6"/>
  <c r="E85" i="6"/>
  <c r="O84" i="6"/>
  <c r="N84" i="6"/>
  <c r="L84" i="6"/>
  <c r="K84" i="6"/>
  <c r="I84" i="6"/>
  <c r="H84" i="6"/>
  <c r="M84" i="6" s="1"/>
  <c r="G84" i="6"/>
  <c r="F84" i="6"/>
  <c r="E84" i="6"/>
  <c r="O83" i="6"/>
  <c r="N83" i="6"/>
  <c r="M83" i="6"/>
  <c r="K83" i="6"/>
  <c r="I83" i="6"/>
  <c r="H83" i="6"/>
  <c r="L83" i="6" s="1"/>
  <c r="G83" i="6"/>
  <c r="F83" i="6"/>
  <c r="E83" i="6"/>
  <c r="O82" i="6"/>
  <c r="N82" i="6"/>
  <c r="M82" i="6"/>
  <c r="L82" i="6"/>
  <c r="K82" i="6"/>
  <c r="I82" i="6"/>
  <c r="H82" i="6"/>
  <c r="G82" i="6"/>
  <c r="J82" i="6" s="1"/>
  <c r="F82" i="6"/>
  <c r="E82" i="6"/>
  <c r="O81" i="6"/>
  <c r="N81" i="6"/>
  <c r="K81" i="6"/>
  <c r="I81" i="6"/>
  <c r="H81" i="6"/>
  <c r="M81" i="6" s="1"/>
  <c r="G81" i="6"/>
  <c r="F81" i="6"/>
  <c r="E81" i="6"/>
  <c r="O80" i="6"/>
  <c r="N80" i="6"/>
  <c r="M80" i="6"/>
  <c r="K80" i="6"/>
  <c r="I80" i="6"/>
  <c r="H80" i="6"/>
  <c r="L80" i="6" s="1"/>
  <c r="G80" i="6"/>
  <c r="F80" i="6"/>
  <c r="E80" i="6"/>
  <c r="J80" i="6" s="1"/>
  <c r="O79" i="6"/>
  <c r="N79" i="6"/>
  <c r="M79" i="6"/>
  <c r="L79" i="6"/>
  <c r="K79" i="6"/>
  <c r="I79" i="6"/>
  <c r="H79" i="6"/>
  <c r="G79" i="6"/>
  <c r="F79" i="6"/>
  <c r="E79" i="6"/>
  <c r="O78" i="6"/>
  <c r="N78" i="6"/>
  <c r="K78" i="6"/>
  <c r="I78" i="6"/>
  <c r="H78" i="6"/>
  <c r="G78" i="6"/>
  <c r="F78" i="6"/>
  <c r="E78" i="6"/>
  <c r="O77" i="6"/>
  <c r="N77" i="6"/>
  <c r="M77" i="6"/>
  <c r="L77" i="6"/>
  <c r="K77" i="6"/>
  <c r="J77" i="6"/>
  <c r="I77" i="6"/>
  <c r="H77" i="6"/>
  <c r="G77" i="6"/>
  <c r="F77" i="6"/>
  <c r="E77" i="6"/>
  <c r="O76" i="6"/>
  <c r="N76" i="6"/>
  <c r="L76" i="6"/>
  <c r="K76" i="6"/>
  <c r="I76" i="6"/>
  <c r="H76" i="6"/>
  <c r="M76" i="6" s="1"/>
  <c r="G76" i="6"/>
  <c r="F76" i="6"/>
  <c r="E76" i="6"/>
  <c r="O75" i="6"/>
  <c r="N75" i="6"/>
  <c r="M75" i="6"/>
  <c r="K75" i="6"/>
  <c r="I75" i="6"/>
  <c r="H75" i="6"/>
  <c r="L75" i="6" s="1"/>
  <c r="G75" i="6"/>
  <c r="F75" i="6"/>
  <c r="E75" i="6"/>
  <c r="O74" i="6"/>
  <c r="N74" i="6"/>
  <c r="M74" i="6"/>
  <c r="L74" i="6"/>
  <c r="K74" i="6"/>
  <c r="I74" i="6"/>
  <c r="H74" i="6"/>
  <c r="G74" i="6"/>
  <c r="J74" i="6" s="1"/>
  <c r="F74" i="6"/>
  <c r="E74" i="6"/>
  <c r="S8" i="7" s="1"/>
  <c r="P73" i="6"/>
  <c r="O73" i="6"/>
  <c r="N73" i="6"/>
  <c r="K73" i="6"/>
  <c r="I73" i="6"/>
  <c r="H73" i="6"/>
  <c r="M73" i="6" s="1"/>
  <c r="G73" i="6"/>
  <c r="F73" i="6"/>
  <c r="E73" i="6"/>
  <c r="R72" i="6"/>
  <c r="P72" i="6"/>
  <c r="O72" i="6"/>
  <c r="N72" i="6"/>
  <c r="M72" i="6"/>
  <c r="K72" i="6"/>
  <c r="J72" i="6"/>
  <c r="I72" i="6"/>
  <c r="H72" i="6"/>
  <c r="L72" i="6" s="1"/>
  <c r="G72" i="6"/>
  <c r="F72" i="6"/>
  <c r="E72" i="6"/>
  <c r="P71" i="6"/>
  <c r="O71" i="6"/>
  <c r="N71" i="6"/>
  <c r="M71" i="6"/>
  <c r="L71" i="6"/>
  <c r="K71" i="6"/>
  <c r="I71" i="6"/>
  <c r="H71" i="6"/>
  <c r="G71" i="6"/>
  <c r="F71" i="6"/>
  <c r="J71" i="6" s="1"/>
  <c r="E71" i="6"/>
  <c r="P70" i="6"/>
  <c r="O70" i="6"/>
  <c r="N70" i="6"/>
  <c r="K70" i="6"/>
  <c r="I70" i="6"/>
  <c r="H70" i="6"/>
  <c r="G70" i="6"/>
  <c r="F70" i="6"/>
  <c r="E70" i="6"/>
  <c r="P69" i="6"/>
  <c r="O69" i="6"/>
  <c r="N69" i="6"/>
  <c r="M69" i="6"/>
  <c r="L69" i="6"/>
  <c r="K69" i="6"/>
  <c r="I69" i="6"/>
  <c r="H69" i="6"/>
  <c r="G69" i="6"/>
  <c r="J69" i="6" s="1"/>
  <c r="F69" i="6"/>
  <c r="E69" i="6"/>
  <c r="P68" i="6"/>
  <c r="O68" i="6"/>
  <c r="N68" i="6"/>
  <c r="L68" i="6"/>
  <c r="K68" i="6"/>
  <c r="I68" i="6"/>
  <c r="H68" i="6"/>
  <c r="M68" i="6" s="1"/>
  <c r="G68" i="6"/>
  <c r="F68" i="6"/>
  <c r="E68" i="6"/>
  <c r="P67" i="6"/>
  <c r="O67" i="6"/>
  <c r="N67" i="6"/>
  <c r="M67" i="6"/>
  <c r="K67" i="6"/>
  <c r="I67" i="6"/>
  <c r="H67" i="6"/>
  <c r="L67" i="6" s="1"/>
  <c r="G67" i="6"/>
  <c r="F67" i="6"/>
  <c r="E67" i="6"/>
  <c r="P66" i="6"/>
  <c r="O66" i="6"/>
  <c r="N66" i="6"/>
  <c r="M66" i="6"/>
  <c r="L66" i="6"/>
  <c r="K66" i="6"/>
  <c r="I66" i="6"/>
  <c r="H66" i="6"/>
  <c r="G66" i="6"/>
  <c r="J66" i="6" s="1"/>
  <c r="F66" i="6"/>
  <c r="E66" i="6"/>
  <c r="P65" i="6"/>
  <c r="O65" i="6"/>
  <c r="N65" i="6"/>
  <c r="K65" i="6"/>
  <c r="I65" i="6"/>
  <c r="H65" i="6"/>
  <c r="M65" i="6" s="1"/>
  <c r="G65" i="6"/>
  <c r="F65" i="6"/>
  <c r="E65" i="6"/>
  <c r="J65" i="6" s="1"/>
  <c r="P64" i="6"/>
  <c r="O64" i="6"/>
  <c r="N64" i="6"/>
  <c r="M64" i="6"/>
  <c r="R64" i="6" s="1"/>
  <c r="K64" i="6"/>
  <c r="I64" i="6"/>
  <c r="H64" i="6"/>
  <c r="L64" i="6" s="1"/>
  <c r="G64" i="6"/>
  <c r="F64" i="6"/>
  <c r="E64" i="6"/>
  <c r="J64" i="6" s="1"/>
  <c r="P63" i="6"/>
  <c r="O63" i="6"/>
  <c r="N63" i="6"/>
  <c r="L63" i="6"/>
  <c r="K63" i="6"/>
  <c r="I63" i="6"/>
  <c r="H63" i="6"/>
  <c r="M63" i="6" s="1"/>
  <c r="G63" i="6"/>
  <c r="F63" i="6"/>
  <c r="E63" i="6"/>
  <c r="P62" i="6"/>
  <c r="O62" i="6"/>
  <c r="N62" i="6"/>
  <c r="K62" i="6"/>
  <c r="I62" i="6"/>
  <c r="H62" i="6"/>
  <c r="G62" i="6"/>
  <c r="F62" i="6"/>
  <c r="E62" i="6"/>
  <c r="S7" i="7" s="1"/>
  <c r="O61" i="6"/>
  <c r="N61" i="6"/>
  <c r="M61" i="6"/>
  <c r="Q61" i="6" s="1"/>
  <c r="L61" i="6"/>
  <c r="K61" i="6"/>
  <c r="J61" i="6"/>
  <c r="I61" i="6"/>
  <c r="H61" i="6"/>
  <c r="G61" i="6"/>
  <c r="F61" i="6"/>
  <c r="E61" i="6"/>
  <c r="O60" i="6"/>
  <c r="N60" i="6"/>
  <c r="M60" i="6"/>
  <c r="L60" i="6"/>
  <c r="K60" i="6"/>
  <c r="I60" i="6"/>
  <c r="H60" i="6"/>
  <c r="G60" i="6"/>
  <c r="F60" i="6"/>
  <c r="E60" i="6"/>
  <c r="J60" i="6" s="1"/>
  <c r="O59" i="6"/>
  <c r="N59" i="6"/>
  <c r="M59" i="6"/>
  <c r="K59" i="6"/>
  <c r="I59" i="6"/>
  <c r="H59" i="6"/>
  <c r="L59" i="6" s="1"/>
  <c r="G59" i="6"/>
  <c r="F59" i="6"/>
  <c r="E59" i="6"/>
  <c r="J59" i="6" s="1"/>
  <c r="O58" i="6"/>
  <c r="N58" i="6"/>
  <c r="M58" i="6"/>
  <c r="L58" i="6"/>
  <c r="K58" i="6"/>
  <c r="I58" i="6"/>
  <c r="H58" i="6"/>
  <c r="G58" i="6"/>
  <c r="J58" i="6" s="1"/>
  <c r="F58" i="6"/>
  <c r="E58" i="6"/>
  <c r="O57" i="6"/>
  <c r="N57" i="6"/>
  <c r="K57" i="6"/>
  <c r="I57" i="6"/>
  <c r="H57" i="6"/>
  <c r="M57" i="6" s="1"/>
  <c r="G57" i="6"/>
  <c r="F57" i="6"/>
  <c r="E57" i="6"/>
  <c r="J57" i="6" s="1"/>
  <c r="O56" i="6"/>
  <c r="N56" i="6"/>
  <c r="M56" i="6"/>
  <c r="K56" i="6"/>
  <c r="I56" i="6"/>
  <c r="H56" i="6"/>
  <c r="L56" i="6" s="1"/>
  <c r="G56" i="6"/>
  <c r="F56" i="6"/>
  <c r="E56" i="6"/>
  <c r="J56" i="6" s="1"/>
  <c r="O55" i="6"/>
  <c r="N55" i="6"/>
  <c r="M55" i="6"/>
  <c r="L55" i="6"/>
  <c r="K55" i="6"/>
  <c r="I55" i="6"/>
  <c r="H55" i="6"/>
  <c r="G55" i="6"/>
  <c r="F55" i="6"/>
  <c r="J55" i="6" s="1"/>
  <c r="E55" i="6"/>
  <c r="O54" i="6"/>
  <c r="N54" i="6"/>
  <c r="K54" i="6"/>
  <c r="I54" i="6"/>
  <c r="H54" i="6"/>
  <c r="G54" i="6"/>
  <c r="F54" i="6"/>
  <c r="E54" i="6"/>
  <c r="O53" i="6"/>
  <c r="N53" i="6"/>
  <c r="M53" i="6"/>
  <c r="L53" i="6"/>
  <c r="K53" i="6"/>
  <c r="J53" i="6"/>
  <c r="I53" i="6"/>
  <c r="H53" i="6"/>
  <c r="G53" i="6"/>
  <c r="F53" i="6"/>
  <c r="E53" i="6"/>
  <c r="O52" i="6"/>
  <c r="N52" i="6"/>
  <c r="L52" i="6"/>
  <c r="K52" i="6"/>
  <c r="I52" i="6"/>
  <c r="H52" i="6"/>
  <c r="M52" i="6" s="1"/>
  <c r="G52" i="6"/>
  <c r="F52" i="6"/>
  <c r="E52" i="6"/>
  <c r="O51" i="6"/>
  <c r="N51" i="6"/>
  <c r="K51" i="6"/>
  <c r="I51" i="6"/>
  <c r="H51" i="6"/>
  <c r="L51" i="6" s="1"/>
  <c r="G51" i="6"/>
  <c r="F51" i="6"/>
  <c r="E51" i="6"/>
  <c r="O50" i="6"/>
  <c r="N50" i="6"/>
  <c r="M50" i="6"/>
  <c r="L50" i="6"/>
  <c r="K50" i="6"/>
  <c r="I50" i="6"/>
  <c r="H50" i="6"/>
  <c r="G50" i="6"/>
  <c r="J50" i="6" s="1"/>
  <c r="F50" i="6"/>
  <c r="E50" i="6"/>
  <c r="S6" i="7" s="1"/>
  <c r="O49" i="6"/>
  <c r="N49" i="6"/>
  <c r="K49" i="6"/>
  <c r="I49" i="6"/>
  <c r="H49" i="6"/>
  <c r="M49" i="6" s="1"/>
  <c r="G49" i="6"/>
  <c r="F49" i="6"/>
  <c r="E49" i="6"/>
  <c r="J49" i="6" s="1"/>
  <c r="T5" i="7" s="1"/>
  <c r="AC5" i="7" s="1"/>
  <c r="O48" i="6"/>
  <c r="N48" i="6"/>
  <c r="M48" i="6"/>
  <c r="K48" i="6"/>
  <c r="I48" i="6"/>
  <c r="H48" i="6"/>
  <c r="L48" i="6" s="1"/>
  <c r="G48" i="6"/>
  <c r="F48" i="6"/>
  <c r="E48" i="6"/>
  <c r="J48" i="6" s="1"/>
  <c r="O47" i="6"/>
  <c r="N47" i="6"/>
  <c r="L47" i="6"/>
  <c r="K47" i="6"/>
  <c r="I47" i="6"/>
  <c r="H47" i="6"/>
  <c r="M47" i="6" s="1"/>
  <c r="G47" i="6"/>
  <c r="F47" i="6"/>
  <c r="J47" i="6" s="1"/>
  <c r="E47" i="6"/>
  <c r="O46" i="6"/>
  <c r="N46" i="6"/>
  <c r="K46" i="6"/>
  <c r="I46" i="6"/>
  <c r="H46" i="6"/>
  <c r="G46" i="6"/>
  <c r="F46" i="6"/>
  <c r="E46" i="6"/>
  <c r="J46" i="6" s="1"/>
  <c r="O45" i="6"/>
  <c r="N45" i="6"/>
  <c r="M45" i="6"/>
  <c r="L45" i="6"/>
  <c r="K45" i="6"/>
  <c r="I45" i="6"/>
  <c r="H45" i="6"/>
  <c r="G45" i="6"/>
  <c r="F45" i="6"/>
  <c r="E45" i="6"/>
  <c r="J45" i="6" s="1"/>
  <c r="O44" i="6"/>
  <c r="N44" i="6"/>
  <c r="M44" i="6"/>
  <c r="L44" i="6"/>
  <c r="K44" i="6"/>
  <c r="I44" i="6"/>
  <c r="H44" i="6"/>
  <c r="G44" i="6"/>
  <c r="F44" i="6"/>
  <c r="E44" i="6"/>
  <c r="O43" i="6"/>
  <c r="N43" i="6"/>
  <c r="M43" i="6"/>
  <c r="K43" i="6"/>
  <c r="I43" i="6"/>
  <c r="H43" i="6"/>
  <c r="L43" i="6" s="1"/>
  <c r="G43" i="6"/>
  <c r="F43" i="6"/>
  <c r="E43" i="6"/>
  <c r="O42" i="6"/>
  <c r="N42" i="6"/>
  <c r="M42" i="6"/>
  <c r="Q42" i="6" s="1"/>
  <c r="L42" i="6"/>
  <c r="K42" i="6"/>
  <c r="J42" i="6"/>
  <c r="I42" i="6"/>
  <c r="H42" i="6"/>
  <c r="G42" i="6"/>
  <c r="F42" i="6"/>
  <c r="E42" i="6"/>
  <c r="O41" i="6"/>
  <c r="N41" i="6"/>
  <c r="K41" i="6"/>
  <c r="I41" i="6"/>
  <c r="H41" i="6"/>
  <c r="M41" i="6" s="1"/>
  <c r="G41" i="6"/>
  <c r="F41" i="6"/>
  <c r="E41" i="6"/>
  <c r="O40" i="6"/>
  <c r="N40" i="6"/>
  <c r="K40" i="6"/>
  <c r="I40" i="6"/>
  <c r="H40" i="6"/>
  <c r="L40" i="6" s="1"/>
  <c r="G40" i="6"/>
  <c r="F40" i="6"/>
  <c r="E40" i="6"/>
  <c r="J40" i="6" s="1"/>
  <c r="O39" i="6"/>
  <c r="N39" i="6"/>
  <c r="L39" i="6"/>
  <c r="K39" i="6"/>
  <c r="I39" i="6"/>
  <c r="H39" i="6"/>
  <c r="M39" i="6" s="1"/>
  <c r="G39" i="6"/>
  <c r="F39" i="6"/>
  <c r="E39" i="6"/>
  <c r="O38" i="6"/>
  <c r="N38" i="6"/>
  <c r="K38" i="6"/>
  <c r="I38" i="6"/>
  <c r="H38" i="6"/>
  <c r="G38" i="6"/>
  <c r="F38" i="6"/>
  <c r="E38" i="6"/>
  <c r="S5" i="7" s="1"/>
  <c r="P37" i="6"/>
  <c r="O37" i="6"/>
  <c r="N37" i="6"/>
  <c r="M37" i="6"/>
  <c r="L37" i="6"/>
  <c r="K37" i="6"/>
  <c r="I37" i="6"/>
  <c r="H37" i="6"/>
  <c r="G37" i="6"/>
  <c r="F37" i="6"/>
  <c r="E37" i="6"/>
  <c r="J37" i="6" s="1"/>
  <c r="Q36" i="6"/>
  <c r="P36" i="6"/>
  <c r="O36" i="6"/>
  <c r="N36" i="6"/>
  <c r="M36" i="6"/>
  <c r="L36" i="6"/>
  <c r="K36" i="6"/>
  <c r="I36" i="6"/>
  <c r="H36" i="6"/>
  <c r="G36" i="6"/>
  <c r="F36" i="6"/>
  <c r="E36" i="6"/>
  <c r="J36" i="6" s="1"/>
  <c r="P35" i="6"/>
  <c r="O35" i="6"/>
  <c r="N35" i="6"/>
  <c r="M35" i="6"/>
  <c r="K35" i="6"/>
  <c r="I35" i="6"/>
  <c r="H35" i="6"/>
  <c r="L35" i="6" s="1"/>
  <c r="G35" i="6"/>
  <c r="F35" i="6"/>
  <c r="E35" i="6"/>
  <c r="J35" i="6" s="1"/>
  <c r="P34" i="6"/>
  <c r="O34" i="6"/>
  <c r="N34" i="6"/>
  <c r="M34" i="6"/>
  <c r="L34" i="6"/>
  <c r="K34" i="6"/>
  <c r="J34" i="6"/>
  <c r="R34" i="6" s="1"/>
  <c r="I34" i="6"/>
  <c r="H34" i="6"/>
  <c r="G34" i="6"/>
  <c r="F34" i="6"/>
  <c r="E34" i="6"/>
  <c r="P33" i="6"/>
  <c r="O33" i="6"/>
  <c r="N33" i="6"/>
  <c r="K33" i="6"/>
  <c r="I33" i="6"/>
  <c r="H33" i="6"/>
  <c r="M33" i="6" s="1"/>
  <c r="G33" i="6"/>
  <c r="F33" i="6"/>
  <c r="J33" i="6" s="1"/>
  <c r="E33" i="6"/>
  <c r="P32" i="6"/>
  <c r="O32" i="6"/>
  <c r="N32" i="6"/>
  <c r="M32" i="6"/>
  <c r="K32" i="6"/>
  <c r="J32" i="6"/>
  <c r="I32" i="6"/>
  <c r="H32" i="6"/>
  <c r="L32" i="6" s="1"/>
  <c r="G32" i="6"/>
  <c r="F32" i="6"/>
  <c r="E32" i="6"/>
  <c r="P31" i="6"/>
  <c r="O31" i="6"/>
  <c r="N31" i="6"/>
  <c r="L31" i="6"/>
  <c r="K31" i="6"/>
  <c r="I31" i="6"/>
  <c r="H31" i="6"/>
  <c r="M31" i="6" s="1"/>
  <c r="G31" i="6"/>
  <c r="F31" i="6"/>
  <c r="E31" i="6"/>
  <c r="P30" i="6"/>
  <c r="O30" i="6"/>
  <c r="N30" i="6"/>
  <c r="K30" i="6"/>
  <c r="I30" i="6"/>
  <c r="H30" i="6"/>
  <c r="L30" i="6" s="1"/>
  <c r="G30" i="6"/>
  <c r="F30" i="6"/>
  <c r="E30" i="6"/>
  <c r="P29" i="6"/>
  <c r="O29" i="6"/>
  <c r="N29" i="6"/>
  <c r="M29" i="6"/>
  <c r="L29" i="6"/>
  <c r="K29" i="6"/>
  <c r="I29" i="6"/>
  <c r="H29" i="6"/>
  <c r="G29" i="6"/>
  <c r="F29" i="6"/>
  <c r="E29" i="6"/>
  <c r="J29" i="6" s="1"/>
  <c r="P28" i="6"/>
  <c r="O28" i="6"/>
  <c r="N28" i="6"/>
  <c r="M28" i="6"/>
  <c r="K28" i="6"/>
  <c r="L28" i="6" s="1"/>
  <c r="I28" i="6"/>
  <c r="H28" i="6"/>
  <c r="G28" i="6"/>
  <c r="F28" i="6"/>
  <c r="E28" i="6"/>
  <c r="P27" i="6"/>
  <c r="O27" i="6"/>
  <c r="N27" i="6"/>
  <c r="M27" i="6"/>
  <c r="R27" i="6" s="1"/>
  <c r="K27" i="6"/>
  <c r="I27" i="6"/>
  <c r="H27" i="6"/>
  <c r="G27" i="6"/>
  <c r="F27" i="6"/>
  <c r="E27" i="6"/>
  <c r="J27" i="6" s="1"/>
  <c r="P26" i="6"/>
  <c r="O26" i="6"/>
  <c r="N26" i="6"/>
  <c r="M26" i="6"/>
  <c r="L26" i="6"/>
  <c r="K26" i="6"/>
  <c r="I26" i="6"/>
  <c r="H26" i="6"/>
  <c r="G26" i="6"/>
  <c r="F26" i="6"/>
  <c r="E26" i="6"/>
  <c r="S4" i="7" s="1"/>
  <c r="N25" i="6"/>
  <c r="L25" i="6"/>
  <c r="K25" i="6"/>
  <c r="J25" i="6"/>
  <c r="T3" i="7" s="1"/>
  <c r="AC3" i="7" s="1"/>
  <c r="I25" i="6"/>
  <c r="H25" i="6"/>
  <c r="M25" i="6" s="1"/>
  <c r="G25" i="6"/>
  <c r="F25" i="6"/>
  <c r="E25" i="6"/>
  <c r="N24" i="6"/>
  <c r="K24" i="6"/>
  <c r="I24" i="6"/>
  <c r="H24" i="6"/>
  <c r="L24" i="6" s="1"/>
  <c r="G24" i="6"/>
  <c r="F24" i="6"/>
  <c r="E24" i="6"/>
  <c r="J24" i="6" s="1"/>
  <c r="N23" i="6"/>
  <c r="M23" i="6"/>
  <c r="L23" i="6"/>
  <c r="K23" i="6"/>
  <c r="I23" i="6"/>
  <c r="H23" i="6"/>
  <c r="G23" i="6"/>
  <c r="F23" i="6"/>
  <c r="E23" i="6"/>
  <c r="J23" i="6" s="1"/>
  <c r="N22" i="6"/>
  <c r="M22" i="6"/>
  <c r="K22" i="6"/>
  <c r="I22" i="6"/>
  <c r="H22" i="6"/>
  <c r="L22" i="6" s="1"/>
  <c r="G22" i="6"/>
  <c r="F22" i="6"/>
  <c r="E22" i="6"/>
  <c r="J22" i="6" s="1"/>
  <c r="N21" i="6"/>
  <c r="M21" i="6"/>
  <c r="L21" i="6"/>
  <c r="K21" i="6"/>
  <c r="I21" i="6"/>
  <c r="H21" i="6"/>
  <c r="G21" i="6"/>
  <c r="F21" i="6"/>
  <c r="E21" i="6"/>
  <c r="J21" i="6" s="1"/>
  <c r="N20" i="6"/>
  <c r="L20" i="6"/>
  <c r="K20" i="6"/>
  <c r="I20" i="6"/>
  <c r="H20" i="6"/>
  <c r="M20" i="6" s="1"/>
  <c r="G20" i="6"/>
  <c r="F20" i="6"/>
  <c r="J20" i="6" s="1"/>
  <c r="E20" i="6"/>
  <c r="N19" i="6"/>
  <c r="M19" i="6"/>
  <c r="K19" i="6"/>
  <c r="I19" i="6"/>
  <c r="H19" i="6"/>
  <c r="L19" i="6" s="1"/>
  <c r="G19" i="6"/>
  <c r="F19" i="6"/>
  <c r="E19" i="6"/>
  <c r="J19" i="6" s="1"/>
  <c r="N18" i="6"/>
  <c r="L18" i="6"/>
  <c r="K18" i="6"/>
  <c r="J18" i="6"/>
  <c r="I18" i="6"/>
  <c r="H18" i="6"/>
  <c r="M18" i="6" s="1"/>
  <c r="G18" i="6"/>
  <c r="F18" i="6"/>
  <c r="E18" i="6"/>
  <c r="N17" i="6"/>
  <c r="K17" i="6"/>
  <c r="I17" i="6"/>
  <c r="H17" i="6"/>
  <c r="M17" i="6" s="1"/>
  <c r="G17" i="6"/>
  <c r="F17" i="6"/>
  <c r="E17" i="6"/>
  <c r="J17" i="6" s="1"/>
  <c r="N16" i="6"/>
  <c r="K16" i="6"/>
  <c r="I16" i="6"/>
  <c r="H16" i="6"/>
  <c r="M16" i="6" s="1"/>
  <c r="G16" i="6"/>
  <c r="F16" i="6"/>
  <c r="E16" i="6"/>
  <c r="J16" i="6" s="1"/>
  <c r="N15" i="6"/>
  <c r="M15" i="6"/>
  <c r="L15" i="6"/>
  <c r="K15" i="6"/>
  <c r="I15" i="6"/>
  <c r="H15" i="6"/>
  <c r="G15" i="6"/>
  <c r="F15" i="6"/>
  <c r="E15" i="6"/>
  <c r="J15" i="6" s="1"/>
  <c r="N14" i="6"/>
  <c r="M14" i="6"/>
  <c r="K14" i="6"/>
  <c r="I14" i="6"/>
  <c r="H14" i="6"/>
  <c r="L14" i="6" s="1"/>
  <c r="G14" i="6"/>
  <c r="F14" i="6"/>
  <c r="E14" i="6"/>
  <c r="S3" i="7" s="1"/>
  <c r="P13" i="6"/>
  <c r="O13" i="6"/>
  <c r="N13" i="6"/>
  <c r="M13" i="6"/>
  <c r="L13" i="6"/>
  <c r="K13" i="6"/>
  <c r="I13" i="6"/>
  <c r="H13" i="6"/>
  <c r="G13" i="6"/>
  <c r="F13" i="6"/>
  <c r="E13" i="6"/>
  <c r="J13" i="6" s="1"/>
  <c r="P12" i="6"/>
  <c r="O12" i="6"/>
  <c r="N12" i="6"/>
  <c r="L12" i="6"/>
  <c r="K12" i="6"/>
  <c r="I12" i="6"/>
  <c r="H12" i="6"/>
  <c r="M12" i="6" s="1"/>
  <c r="G12" i="6"/>
  <c r="F12" i="6"/>
  <c r="J12" i="6" s="1"/>
  <c r="E12" i="6"/>
  <c r="P11" i="6"/>
  <c r="O11" i="6"/>
  <c r="N11" i="6"/>
  <c r="M11" i="6"/>
  <c r="K11" i="6"/>
  <c r="I11" i="6"/>
  <c r="H11" i="6"/>
  <c r="L11" i="6" s="1"/>
  <c r="G11" i="6"/>
  <c r="F11" i="6"/>
  <c r="E11" i="6"/>
  <c r="J11" i="6" s="1"/>
  <c r="P10" i="6"/>
  <c r="O10" i="6"/>
  <c r="N10" i="6"/>
  <c r="L10" i="6"/>
  <c r="K10" i="6"/>
  <c r="J10" i="6"/>
  <c r="I10" i="6"/>
  <c r="H10" i="6"/>
  <c r="M10" i="6" s="1"/>
  <c r="G10" i="6"/>
  <c r="F10" i="6"/>
  <c r="E10" i="6"/>
  <c r="P9" i="6"/>
  <c r="O9" i="6"/>
  <c r="N9" i="6"/>
  <c r="K9" i="6"/>
  <c r="I9" i="6"/>
  <c r="H9" i="6"/>
  <c r="M9" i="6" s="1"/>
  <c r="G9" i="6"/>
  <c r="F9" i="6"/>
  <c r="E9" i="6"/>
  <c r="J9" i="6" s="1"/>
  <c r="P8" i="6"/>
  <c r="O8" i="6"/>
  <c r="N8" i="6"/>
  <c r="K8" i="6"/>
  <c r="I8" i="6"/>
  <c r="H8" i="6"/>
  <c r="B36" i="1" s="1"/>
  <c r="G8" i="6"/>
  <c r="J8" i="6" s="1"/>
  <c r="F8" i="6"/>
  <c r="E8" i="6"/>
  <c r="P7" i="6"/>
  <c r="O7" i="6"/>
  <c r="N7" i="6"/>
  <c r="M7" i="6"/>
  <c r="R7" i="6" s="1"/>
  <c r="L7" i="6"/>
  <c r="K7" i="6"/>
  <c r="I7" i="6"/>
  <c r="H7" i="6"/>
  <c r="G7" i="6"/>
  <c r="F7" i="6"/>
  <c r="E7" i="6"/>
  <c r="J7" i="6" s="1"/>
  <c r="P6" i="6"/>
  <c r="O6" i="6"/>
  <c r="N6" i="6"/>
  <c r="M6" i="6"/>
  <c r="K6" i="6"/>
  <c r="I6" i="6"/>
  <c r="H6" i="6"/>
  <c r="L6" i="6" s="1"/>
  <c r="G6" i="6"/>
  <c r="F6" i="6"/>
  <c r="E6" i="6"/>
  <c r="J6" i="6" s="1"/>
  <c r="P5" i="6"/>
  <c r="O5" i="6"/>
  <c r="N5" i="6"/>
  <c r="M5" i="6"/>
  <c r="R5" i="6" s="1"/>
  <c r="L5" i="6"/>
  <c r="K5" i="6"/>
  <c r="I5" i="6"/>
  <c r="H5" i="6"/>
  <c r="G5" i="6"/>
  <c r="F5" i="6"/>
  <c r="E5" i="6"/>
  <c r="J5" i="6" s="1"/>
  <c r="P4" i="6"/>
  <c r="O4" i="6"/>
  <c r="N4" i="6"/>
  <c r="L4" i="6"/>
  <c r="K4" i="6"/>
  <c r="I4" i="6"/>
  <c r="H4" i="6"/>
  <c r="M4" i="6" s="1"/>
  <c r="G4" i="6"/>
  <c r="F4" i="6"/>
  <c r="J4" i="6" s="1"/>
  <c r="E4" i="6"/>
  <c r="P3" i="6"/>
  <c r="O3" i="6"/>
  <c r="N3" i="6"/>
  <c r="M3" i="6"/>
  <c r="K3" i="6"/>
  <c r="I3" i="6"/>
  <c r="H3" i="6"/>
  <c r="L3" i="6" s="1"/>
  <c r="G3" i="6"/>
  <c r="F3" i="6"/>
  <c r="E3" i="6"/>
  <c r="J3" i="6" s="1"/>
  <c r="P2" i="6"/>
  <c r="O2" i="6"/>
  <c r="N2" i="6"/>
  <c r="L2" i="6"/>
  <c r="K2" i="6"/>
  <c r="J2" i="6"/>
  <c r="I2" i="6"/>
  <c r="H2" i="6"/>
  <c r="M2" i="6" s="1"/>
  <c r="G2" i="6"/>
  <c r="F2" i="6"/>
  <c r="E2" i="6"/>
  <c r="S2" i="7" s="1"/>
  <c r="I58" i="1"/>
  <c r="A58" i="1"/>
  <c r="B32" i="1"/>
  <c r="B31" i="1"/>
  <c r="B30" i="1"/>
  <c r="B29" i="1"/>
  <c r="B28" i="1"/>
  <c r="B27" i="1"/>
  <c r="B26" i="1"/>
  <c r="A15" i="1"/>
  <c r="Q2" i="6" l="1"/>
  <c r="R2" i="6"/>
  <c r="R3" i="6"/>
  <c r="R9" i="6"/>
  <c r="Q9" i="6"/>
  <c r="Q15" i="6"/>
  <c r="S7" i="6"/>
  <c r="Q7" i="6"/>
  <c r="Q10" i="6"/>
  <c r="R10" i="6"/>
  <c r="R11" i="6"/>
  <c r="Q23" i="6"/>
  <c r="S2" i="6"/>
  <c r="Q18" i="6"/>
  <c r="S4" i="6"/>
  <c r="S10" i="6"/>
  <c r="Q17" i="6"/>
  <c r="Q20" i="6"/>
  <c r="R69" i="6"/>
  <c r="S12" i="6"/>
  <c r="R13" i="6"/>
  <c r="Q16" i="6"/>
  <c r="R93" i="6"/>
  <c r="R4" i="6"/>
  <c r="Q4" i="6"/>
  <c r="R6" i="6"/>
  <c r="S9" i="6"/>
  <c r="T2" i="7"/>
  <c r="S27" i="6"/>
  <c r="T4" i="7"/>
  <c r="AC4" i="7" s="1"/>
  <c r="AD4" i="7" s="1"/>
  <c r="R37" i="6"/>
  <c r="T8" i="7"/>
  <c r="AC8" i="7" s="1"/>
  <c r="Q3" i="6"/>
  <c r="S3" i="6" s="1"/>
  <c r="R12" i="6"/>
  <c r="Q12" i="6"/>
  <c r="Q19" i="6"/>
  <c r="Q11" i="6"/>
  <c r="S11" i="6" s="1"/>
  <c r="R88" i="6"/>
  <c r="Q29" i="6"/>
  <c r="S29" i="6" s="1"/>
  <c r="Q33" i="6"/>
  <c r="S33" i="6" s="1"/>
  <c r="M54" i="6"/>
  <c r="L54" i="6"/>
  <c r="Q57" i="6"/>
  <c r="R90" i="6"/>
  <c r="M102" i="6"/>
  <c r="L102" i="6"/>
  <c r="R103" i="6"/>
  <c r="Q132" i="6"/>
  <c r="M142" i="6"/>
  <c r="L142" i="6"/>
  <c r="M150" i="6"/>
  <c r="L150" i="6"/>
  <c r="S154" i="6"/>
  <c r="R155" i="6"/>
  <c r="Q155" i="6"/>
  <c r="R159" i="6"/>
  <c r="R169" i="6"/>
  <c r="Q169" i="6"/>
  <c r="Q258" i="6"/>
  <c r="B34" i="1"/>
  <c r="L27" i="6"/>
  <c r="J31" i="6"/>
  <c r="R36" i="6"/>
  <c r="J43" i="6"/>
  <c r="Q53" i="6"/>
  <c r="Q55" i="6"/>
  <c r="Q56" i="6"/>
  <c r="J68" i="6"/>
  <c r="J70" i="6"/>
  <c r="J76" i="6"/>
  <c r="J91" i="6"/>
  <c r="M99" i="6"/>
  <c r="J111" i="6"/>
  <c r="Q112" i="6"/>
  <c r="J119" i="6"/>
  <c r="Q120" i="6"/>
  <c r="Q127" i="6"/>
  <c r="Q128" i="6"/>
  <c r="Q137" i="6"/>
  <c r="R149" i="6"/>
  <c r="Q152" i="6"/>
  <c r="R153" i="6"/>
  <c r="Q153" i="6"/>
  <c r="S153" i="6" s="1"/>
  <c r="J159" i="6"/>
  <c r="Q187" i="6"/>
  <c r="J207" i="6"/>
  <c r="B37" i="1"/>
  <c r="Q32" i="6"/>
  <c r="S32" i="6" s="1"/>
  <c r="R33" i="6"/>
  <c r="Q34" i="6"/>
  <c r="S36" i="6"/>
  <c r="Q50" i="6"/>
  <c r="T6" i="7"/>
  <c r="AC6" i="7" s="1"/>
  <c r="M78" i="6"/>
  <c r="L78" i="6"/>
  <c r="J79" i="6"/>
  <c r="Q81" i="6"/>
  <c r="Q82" i="6"/>
  <c r="J83" i="6"/>
  <c r="R98" i="6"/>
  <c r="Q103" i="6"/>
  <c r="S103" i="6" s="1"/>
  <c r="Q104" i="6"/>
  <c r="S104" i="6" s="1"/>
  <c r="R108" i="6"/>
  <c r="Q109" i="6"/>
  <c r="M110" i="6"/>
  <c r="L110" i="6"/>
  <c r="M134" i="6"/>
  <c r="L134" i="6"/>
  <c r="Q135" i="6"/>
  <c r="Q136" i="6"/>
  <c r="S155" i="6"/>
  <c r="R164" i="6"/>
  <c r="Q164" i="6"/>
  <c r="J173" i="6"/>
  <c r="M190" i="6"/>
  <c r="L190" i="6"/>
  <c r="Q191" i="6"/>
  <c r="Q192" i="6"/>
  <c r="J198" i="6"/>
  <c r="J199" i="6"/>
  <c r="Q202" i="6"/>
  <c r="Q204" i="6"/>
  <c r="Q208" i="6"/>
  <c r="U2" i="7"/>
  <c r="V2" i="7" s="1"/>
  <c r="W2" i="7" s="1"/>
  <c r="X2" i="7" s="1"/>
  <c r="Q6" i="6"/>
  <c r="S6" i="6" s="1"/>
  <c r="L9" i="6"/>
  <c r="L17" i="6"/>
  <c r="Q22" i="6"/>
  <c r="J28" i="6"/>
  <c r="M30" i="6"/>
  <c r="R31" i="6"/>
  <c r="M51" i="6"/>
  <c r="J73" i="6"/>
  <c r="Q77" i="6"/>
  <c r="Q80" i="6"/>
  <c r="J92" i="6"/>
  <c r="J94" i="6"/>
  <c r="R97" i="6"/>
  <c r="J106" i="6"/>
  <c r="Q106" i="6" s="1"/>
  <c r="M107" i="6"/>
  <c r="M118" i="6"/>
  <c r="L118" i="6"/>
  <c r="M126" i="6"/>
  <c r="L126" i="6"/>
  <c r="Q131" i="6"/>
  <c r="J141" i="6"/>
  <c r="AD13" i="7"/>
  <c r="R148" i="6"/>
  <c r="Q148" i="6"/>
  <c r="S148" i="6" s="1"/>
  <c r="R154" i="6"/>
  <c r="Q154" i="6"/>
  <c r="M158" i="6"/>
  <c r="L158" i="6"/>
  <c r="S162" i="6"/>
  <c r="R163" i="6"/>
  <c r="Q163" i="6"/>
  <c r="Q179" i="6"/>
  <c r="L185" i="6"/>
  <c r="Q194" i="6"/>
  <c r="Q196" i="6"/>
  <c r="Q200" i="6"/>
  <c r="Q213" i="6"/>
  <c r="B35" i="1"/>
  <c r="Q5" i="6"/>
  <c r="S5" i="6" s="1"/>
  <c r="L8" i="6"/>
  <c r="Q13" i="6"/>
  <c r="S13" i="6" s="1"/>
  <c r="J14" i="6"/>
  <c r="L16" i="6"/>
  <c r="Q21" i="6"/>
  <c r="M24" i="6"/>
  <c r="Q26" i="6"/>
  <c r="R29" i="6"/>
  <c r="J41" i="6"/>
  <c r="J44" i="6"/>
  <c r="Q60" i="6"/>
  <c r="M62" i="6"/>
  <c r="L62" i="6"/>
  <c r="J63" i="6"/>
  <c r="Q69" i="6"/>
  <c r="S69" i="6" s="1"/>
  <c r="M70" i="6"/>
  <c r="L70" i="6"/>
  <c r="R71" i="6"/>
  <c r="J84" i="6"/>
  <c r="R96" i="6"/>
  <c r="J113" i="6"/>
  <c r="Q114" i="6"/>
  <c r="Q115" i="6"/>
  <c r="T11" i="7"/>
  <c r="AC11" i="7" s="1"/>
  <c r="Q121" i="6"/>
  <c r="Q122" i="6"/>
  <c r="Q123" i="6"/>
  <c r="Q133" i="6"/>
  <c r="R147" i="6"/>
  <c r="Q147" i="6"/>
  <c r="J156" i="6"/>
  <c r="R157" i="6"/>
  <c r="Q160" i="6"/>
  <c r="S160" i="6" s="1"/>
  <c r="R161" i="6"/>
  <c r="Q161" i="6"/>
  <c r="S161" i="6" s="1"/>
  <c r="J166" i="6"/>
  <c r="R167" i="6"/>
  <c r="Q172" i="6"/>
  <c r="J174" i="6"/>
  <c r="M182" i="6"/>
  <c r="L182" i="6"/>
  <c r="Q183" i="6"/>
  <c r="Q184" i="6"/>
  <c r="J188" i="6"/>
  <c r="M206" i="6"/>
  <c r="L206" i="6"/>
  <c r="Q210" i="6"/>
  <c r="M8" i="6"/>
  <c r="Q25" i="6"/>
  <c r="J26" i="6"/>
  <c r="Q27" i="6"/>
  <c r="J30" i="6"/>
  <c r="R35" i="6"/>
  <c r="Q35" i="6"/>
  <c r="S35" i="6" s="1"/>
  <c r="Q49" i="6"/>
  <c r="J51" i="6"/>
  <c r="J54" i="6"/>
  <c r="Q58" i="6"/>
  <c r="Q64" i="6"/>
  <c r="S64" i="6" s="1"/>
  <c r="R65" i="6"/>
  <c r="Q65" i="6"/>
  <c r="S65" i="6" s="1"/>
  <c r="R67" i="6"/>
  <c r="Q75" i="6"/>
  <c r="M86" i="6"/>
  <c r="L86" i="6"/>
  <c r="C37" i="1" s="1"/>
  <c r="J87" i="6"/>
  <c r="Q90" i="6"/>
  <c r="S90" i="6" s="1"/>
  <c r="T9" i="7"/>
  <c r="AC9" i="7" s="1"/>
  <c r="AD9" i="7" s="1"/>
  <c r="Q97" i="6"/>
  <c r="S101" i="6"/>
  <c r="J102" i="6"/>
  <c r="R105" i="6"/>
  <c r="J107" i="6"/>
  <c r="Q117" i="6"/>
  <c r="Q125" i="6"/>
  <c r="Q140" i="6"/>
  <c r="J142" i="6"/>
  <c r="J150" i="6"/>
  <c r="J157" i="6"/>
  <c r="S163" i="6"/>
  <c r="J167" i="6"/>
  <c r="Q186" i="6"/>
  <c r="J189" i="6"/>
  <c r="M198" i="6"/>
  <c r="L198" i="6"/>
  <c r="Q203" i="6"/>
  <c r="B33" i="1"/>
  <c r="R32" i="6"/>
  <c r="Q37" i="6"/>
  <c r="S37" i="6" s="1"/>
  <c r="M38" i="6"/>
  <c r="L38" i="6"/>
  <c r="J39" i="6"/>
  <c r="M40" i="6"/>
  <c r="M46" i="6"/>
  <c r="L46" i="6"/>
  <c r="Q47" i="6"/>
  <c r="Q48" i="6"/>
  <c r="Q59" i="6"/>
  <c r="R66" i="6"/>
  <c r="Q66" i="6"/>
  <c r="S66" i="6" s="1"/>
  <c r="Q71" i="6"/>
  <c r="S71" i="6" s="1"/>
  <c r="Q72" i="6"/>
  <c r="S72" i="6" s="1"/>
  <c r="R73" i="6"/>
  <c r="Q73" i="6"/>
  <c r="Q85" i="6"/>
  <c r="R92" i="6"/>
  <c r="Q93" i="6"/>
  <c r="S93" i="6" s="1"/>
  <c r="M94" i="6"/>
  <c r="L94" i="6"/>
  <c r="S95" i="6"/>
  <c r="R95" i="6"/>
  <c r="S96" i="6"/>
  <c r="R104" i="6"/>
  <c r="J116" i="6"/>
  <c r="Q116" i="6" s="1"/>
  <c r="J124" i="6"/>
  <c r="Q130" i="6"/>
  <c r="Q138" i="6"/>
  <c r="J143" i="6"/>
  <c r="Q145" i="6"/>
  <c r="S147" i="6"/>
  <c r="J151" i="6"/>
  <c r="R162" i="6"/>
  <c r="Q162" i="6"/>
  <c r="S168" i="6"/>
  <c r="S169" i="6"/>
  <c r="Q171" i="6"/>
  <c r="Q177" i="6"/>
  <c r="J180" i="6"/>
  <c r="Q195" i="6"/>
  <c r="U3" i="7"/>
  <c r="V3" i="7" s="1"/>
  <c r="S34" i="6"/>
  <c r="Q43" i="6"/>
  <c r="Q45" i="6"/>
  <c r="J52" i="6"/>
  <c r="J67" i="6"/>
  <c r="Q74" i="6"/>
  <c r="J75" i="6"/>
  <c r="J78" i="6"/>
  <c r="J81" i="6"/>
  <c r="Q88" i="6"/>
  <c r="S88" i="6" s="1"/>
  <c r="R89" i="6"/>
  <c r="Q89" i="6"/>
  <c r="S89" i="6" s="1"/>
  <c r="M91" i="6"/>
  <c r="S97" i="6"/>
  <c r="Q98" i="6"/>
  <c r="S98" i="6" s="1"/>
  <c r="Q100" i="6"/>
  <c r="S100" i="6" s="1"/>
  <c r="J105" i="6"/>
  <c r="J108" i="6"/>
  <c r="T10" i="7"/>
  <c r="S109" i="6"/>
  <c r="Q129" i="6"/>
  <c r="T12" i="7"/>
  <c r="Q139" i="6"/>
  <c r="R146" i="6"/>
  <c r="Q146" i="6"/>
  <c r="S152" i="6"/>
  <c r="J164" i="6"/>
  <c r="M166" i="6"/>
  <c r="L166" i="6"/>
  <c r="M174" i="6"/>
  <c r="L174" i="6"/>
  <c r="Q175" i="6"/>
  <c r="Q176" i="6"/>
  <c r="Q178" i="6"/>
  <c r="J181" i="6"/>
  <c r="J190" i="6"/>
  <c r="J204" i="6"/>
  <c r="T18" i="7"/>
  <c r="AC18" i="7" s="1"/>
  <c r="L33" i="6"/>
  <c r="L41" i="6"/>
  <c r="L49" i="6"/>
  <c r="U6" i="7"/>
  <c r="V6" i="7" s="1"/>
  <c r="W6" i="7" s="1"/>
  <c r="X6" i="7" s="1"/>
  <c r="L57" i="6"/>
  <c r="L65" i="6"/>
  <c r="L73" i="6"/>
  <c r="U8" i="7"/>
  <c r="V8" i="7" s="1"/>
  <c r="L81" i="6"/>
  <c r="L129" i="6"/>
  <c r="L137" i="6"/>
  <c r="L145" i="6"/>
  <c r="L153" i="6"/>
  <c r="L161" i="6"/>
  <c r="L177" i="6"/>
  <c r="U18" i="7"/>
  <c r="V18" i="7" s="1"/>
  <c r="Q216" i="6"/>
  <c r="Q220" i="6"/>
  <c r="Q224" i="6"/>
  <c r="Q234" i="6"/>
  <c r="Q250" i="6"/>
  <c r="Q271" i="6"/>
  <c r="Q272" i="6"/>
  <c r="T24" i="7"/>
  <c r="AC24" i="7" s="1"/>
  <c r="J38" i="6"/>
  <c r="J62" i="6"/>
  <c r="J86" i="6"/>
  <c r="J110" i="6"/>
  <c r="J134" i="6"/>
  <c r="Q141" i="6"/>
  <c r="L144" i="6"/>
  <c r="Q149" i="6"/>
  <c r="S149" i="6" s="1"/>
  <c r="Q157" i="6"/>
  <c r="J158" i="6"/>
  <c r="Q165" i="6"/>
  <c r="S165" i="6" s="1"/>
  <c r="Q173" i="6"/>
  <c r="J182" i="6"/>
  <c r="Q189" i="6"/>
  <c r="Q197" i="6"/>
  <c r="Q205" i="6"/>
  <c r="J206" i="6"/>
  <c r="Q211" i="6"/>
  <c r="J214" i="6"/>
  <c r="Q214" i="6" s="1"/>
  <c r="Q217" i="6"/>
  <c r="Q219" i="6"/>
  <c r="Q223" i="6"/>
  <c r="T20" i="7"/>
  <c r="AC20" i="7" s="1"/>
  <c r="Q238" i="6"/>
  <c r="T21" i="7"/>
  <c r="AC21" i="7" s="1"/>
  <c r="Q263" i="6"/>
  <c r="Q264" i="6"/>
  <c r="Q275" i="6"/>
  <c r="Q255" i="6"/>
  <c r="Q256" i="6"/>
  <c r="Q267" i="6"/>
  <c r="J212" i="6"/>
  <c r="Q235" i="6"/>
  <c r="Q247" i="6"/>
  <c r="Q248" i="6"/>
  <c r="T22" i="7"/>
  <c r="AC22" i="7" s="1"/>
  <c r="Q259" i="6"/>
  <c r="U5" i="7"/>
  <c r="V5" i="7" s="1"/>
  <c r="W5" i="7" s="1"/>
  <c r="X5" i="7" s="1"/>
  <c r="U9" i="7"/>
  <c r="V9" i="7" s="1"/>
  <c r="W9" i="7" s="1"/>
  <c r="X9" i="7" s="1"/>
  <c r="U11" i="7"/>
  <c r="V11" i="7" s="1"/>
  <c r="U13" i="7"/>
  <c r="V13" i="7" s="1"/>
  <c r="W13" i="7" s="1"/>
  <c r="X13" i="7" s="1"/>
  <c r="U15" i="7"/>
  <c r="V15" i="7" s="1"/>
  <c r="U17" i="7"/>
  <c r="V17" i="7" s="1"/>
  <c r="Q222" i="6"/>
  <c r="Q243" i="6"/>
  <c r="Q251" i="6"/>
  <c r="Q105" i="6"/>
  <c r="Q113" i="6"/>
  <c r="J146" i="6"/>
  <c r="J170" i="6"/>
  <c r="Q185" i="6"/>
  <c r="Q193" i="6"/>
  <c r="J194" i="6"/>
  <c r="Q201" i="6"/>
  <c r="Q209" i="6"/>
  <c r="L213" i="6"/>
  <c r="Q215" i="6"/>
  <c r="J216" i="6"/>
  <c r="Q228" i="6"/>
  <c r="Q232" i="6"/>
  <c r="Q240" i="6"/>
  <c r="Q274" i="6"/>
  <c r="Q280" i="6"/>
  <c r="T19" i="7"/>
  <c r="U20" i="7"/>
  <c r="V20" i="7" s="1"/>
  <c r="W20" i="7" s="1"/>
  <c r="X20" i="7" s="1"/>
  <c r="Q227" i="6"/>
  <c r="Q231" i="6"/>
  <c r="Q239" i="6"/>
  <c r="T23" i="7"/>
  <c r="AC23" i="7" s="1"/>
  <c r="Q279" i="6"/>
  <c r="Q282" i="6"/>
  <c r="L216" i="6"/>
  <c r="Q221" i="6"/>
  <c r="L224" i="6"/>
  <c r="M225" i="6"/>
  <c r="Q229" i="6"/>
  <c r="J230" i="6"/>
  <c r="L232" i="6"/>
  <c r="M233" i="6"/>
  <c r="Q237" i="6"/>
  <c r="L240" i="6"/>
  <c r="M241" i="6"/>
  <c r="Q245" i="6"/>
  <c r="L248" i="6"/>
  <c r="M249" i="6"/>
  <c r="Q253" i="6"/>
  <c r="J254" i="6"/>
  <c r="L256" i="6"/>
  <c r="M257" i="6"/>
  <c r="Q261" i="6"/>
  <c r="L264" i="6"/>
  <c r="M265" i="6"/>
  <c r="Q269" i="6"/>
  <c r="L272" i="6"/>
  <c r="M273" i="6"/>
  <c r="Q277" i="6"/>
  <c r="J278" i="6"/>
  <c r="L280" i="6"/>
  <c r="M281" i="6"/>
  <c r="T25" i="7"/>
  <c r="AC25" i="7" s="1"/>
  <c r="T26" i="7"/>
  <c r="AC26" i="7" s="1"/>
  <c r="S307" i="6"/>
  <c r="R309" i="6"/>
  <c r="Q309" i="6"/>
  <c r="S311" i="6"/>
  <c r="Q319" i="6"/>
  <c r="Q325" i="6"/>
  <c r="Q327" i="6"/>
  <c r="Q328" i="6"/>
  <c r="Q334" i="6"/>
  <c r="Q335" i="6"/>
  <c r="Q336" i="6"/>
  <c r="T29" i="7"/>
  <c r="AC29" i="7" s="1"/>
  <c r="Q343" i="6"/>
  <c r="Q344" i="6"/>
  <c r="Q345" i="6"/>
  <c r="L231" i="6"/>
  <c r="Q236" i="6"/>
  <c r="L239" i="6"/>
  <c r="Q244" i="6"/>
  <c r="L247" i="6"/>
  <c r="Q252" i="6"/>
  <c r="L255" i="6"/>
  <c r="Q260" i="6"/>
  <c r="L263" i="6"/>
  <c r="Q268" i="6"/>
  <c r="L271" i="6"/>
  <c r="Q276" i="6"/>
  <c r="L279" i="6"/>
  <c r="J285" i="6"/>
  <c r="R308" i="6"/>
  <c r="Q317" i="6"/>
  <c r="Q318" i="6"/>
  <c r="Q329" i="6"/>
  <c r="Q351" i="6"/>
  <c r="Q352" i="6"/>
  <c r="Q354" i="6"/>
  <c r="L284" i="6"/>
  <c r="Q296" i="6"/>
  <c r="Q297" i="6"/>
  <c r="R310" i="6"/>
  <c r="Q310" i="6"/>
  <c r="Q218" i="6"/>
  <c r="Q226" i="6"/>
  <c r="U21" i="7"/>
  <c r="V21" i="7" s="1"/>
  <c r="U23" i="7"/>
  <c r="V23" i="7" s="1"/>
  <c r="W23" i="7" s="1"/>
  <c r="X23" i="7" s="1"/>
  <c r="U25" i="7"/>
  <c r="V25" i="7" s="1"/>
  <c r="W25" i="7" s="1"/>
  <c r="X25" i="7" s="1"/>
  <c r="Q283" i="6"/>
  <c r="Q288" i="6"/>
  <c r="Q289" i="6"/>
  <c r="Q295" i="6"/>
  <c r="Q301" i="6"/>
  <c r="S308" i="6"/>
  <c r="Q311" i="6"/>
  <c r="R311" i="6"/>
  <c r="T27" i="7"/>
  <c r="AC27" i="7" s="1"/>
  <c r="AD27" i="7" s="1"/>
  <c r="S313" i="6"/>
  <c r="J218" i="6"/>
  <c r="J242" i="6"/>
  <c r="J266" i="6"/>
  <c r="Q285" i="6"/>
  <c r="Q287" i="6"/>
  <c r="Q293" i="6"/>
  <c r="Q294" i="6"/>
  <c r="Q303" i="6"/>
  <c r="S303" i="6" s="1"/>
  <c r="R303" i="6"/>
  <c r="R306" i="6"/>
  <c r="R312" i="6"/>
  <c r="Q312" i="6"/>
  <c r="S312" i="6" s="1"/>
  <c r="T30" i="7"/>
  <c r="AC30" i="7" s="1"/>
  <c r="Q284" i="6"/>
  <c r="Q286" i="6"/>
  <c r="R304" i="6"/>
  <c r="Q304" i="6"/>
  <c r="S309" i="6"/>
  <c r="T28" i="7"/>
  <c r="AC28" i="7" s="1"/>
  <c r="R313" i="6"/>
  <c r="Q313" i="6"/>
  <c r="Q341" i="6"/>
  <c r="U24" i="7"/>
  <c r="V24" i="7" s="1"/>
  <c r="S304" i="6"/>
  <c r="R305" i="6"/>
  <c r="Q305" i="6"/>
  <c r="S305" i="6" s="1"/>
  <c r="S310" i="6"/>
  <c r="Q320" i="6"/>
  <c r="Q321" i="6"/>
  <c r="Q349" i="6"/>
  <c r="U26" i="7"/>
  <c r="V26" i="7" s="1"/>
  <c r="L337" i="6"/>
  <c r="U30" i="7"/>
  <c r="V30" i="7" s="1"/>
  <c r="Q342" i="6"/>
  <c r="Q350" i="6"/>
  <c r="Q384" i="6"/>
  <c r="R414" i="6"/>
  <c r="T36" i="7"/>
  <c r="J302" i="6"/>
  <c r="L320" i="6"/>
  <c r="J326" i="6"/>
  <c r="L328" i="6"/>
  <c r="Q333" i="6"/>
  <c r="L336" i="6"/>
  <c r="M337" i="6"/>
  <c r="L344" i="6"/>
  <c r="J350" i="6"/>
  <c r="L352" i="6"/>
  <c r="Q362" i="6"/>
  <c r="Q387" i="6"/>
  <c r="M388" i="6"/>
  <c r="L388" i="6"/>
  <c r="Q393" i="6"/>
  <c r="Q403" i="6"/>
  <c r="M404" i="6"/>
  <c r="L404" i="6"/>
  <c r="M412" i="6"/>
  <c r="L412" i="6"/>
  <c r="Q424" i="6"/>
  <c r="Q425" i="6"/>
  <c r="L287" i="6"/>
  <c r="Q292" i="6"/>
  <c r="L295" i="6"/>
  <c r="Q300" i="6"/>
  <c r="L303" i="6"/>
  <c r="Q308" i="6"/>
  <c r="L311" i="6"/>
  <c r="Q316" i="6"/>
  <c r="L319" i="6"/>
  <c r="Q324" i="6"/>
  <c r="L327" i="6"/>
  <c r="Q332" i="6"/>
  <c r="L335" i="6"/>
  <c r="Q340" i="6"/>
  <c r="L343" i="6"/>
  <c r="Q348" i="6"/>
  <c r="L351" i="6"/>
  <c r="J357" i="6"/>
  <c r="J360" i="6"/>
  <c r="J367" i="6"/>
  <c r="Q370" i="6"/>
  <c r="J372" i="6"/>
  <c r="J375" i="6"/>
  <c r="L376" i="6"/>
  <c r="J379" i="6"/>
  <c r="Q386" i="6"/>
  <c r="J396" i="6"/>
  <c r="J397" i="6"/>
  <c r="Q400" i="6"/>
  <c r="Q402" i="6"/>
  <c r="Q409" i="6"/>
  <c r="S414" i="6"/>
  <c r="R416" i="6"/>
  <c r="Q416" i="6"/>
  <c r="S416" i="6" s="1"/>
  <c r="Q432" i="6"/>
  <c r="Q438" i="6"/>
  <c r="L286" i="6"/>
  <c r="Q291" i="6"/>
  <c r="L294" i="6"/>
  <c r="Q299" i="6"/>
  <c r="L302" i="6"/>
  <c r="Q307" i="6"/>
  <c r="L310" i="6"/>
  <c r="Q315" i="6"/>
  <c r="L318" i="6"/>
  <c r="Q323" i="6"/>
  <c r="L326" i="6"/>
  <c r="Q331" i="6"/>
  <c r="L334" i="6"/>
  <c r="Q339" i="6"/>
  <c r="Q347" i="6"/>
  <c r="Q356" i="6"/>
  <c r="Q363" i="6"/>
  <c r="J365" i="6"/>
  <c r="J368" i="6"/>
  <c r="Q378" i="6"/>
  <c r="J380" i="6"/>
  <c r="Q398" i="6"/>
  <c r="T35" i="7"/>
  <c r="AC35" i="7" s="1"/>
  <c r="R415" i="6"/>
  <c r="R417" i="6"/>
  <c r="Q417" i="6"/>
  <c r="S417" i="6" s="1"/>
  <c r="Q427" i="6"/>
  <c r="Q298" i="6"/>
  <c r="U27" i="7"/>
  <c r="V27" i="7" s="1"/>
  <c r="Q306" i="6"/>
  <c r="S306" i="6" s="1"/>
  <c r="Q314" i="6"/>
  <c r="Q322" i="6"/>
  <c r="U29" i="7"/>
  <c r="V29" i="7" s="1"/>
  <c r="Q330" i="6"/>
  <c r="Q346" i="6"/>
  <c r="Q353" i="6"/>
  <c r="Q359" i="6"/>
  <c r="J361" i="6"/>
  <c r="Q364" i="6"/>
  <c r="Q371" i="6"/>
  <c r="J373" i="6"/>
  <c r="J376" i="6"/>
  <c r="Q385" i="6"/>
  <c r="S415" i="6"/>
  <c r="Q434" i="6"/>
  <c r="J290" i="6"/>
  <c r="J314" i="6"/>
  <c r="J338" i="6"/>
  <c r="Q358" i="6"/>
  <c r="J369" i="6"/>
  <c r="Q372" i="6"/>
  <c r="J381" i="6"/>
  <c r="Q395" i="6"/>
  <c r="M396" i="6"/>
  <c r="L396" i="6"/>
  <c r="Q401" i="6"/>
  <c r="S410" i="6"/>
  <c r="Q435" i="6"/>
  <c r="Q366" i="6"/>
  <c r="Q368" i="6"/>
  <c r="Q374" i="6"/>
  <c r="T33" i="7"/>
  <c r="J388" i="6"/>
  <c r="J389" i="6"/>
  <c r="Q392" i="6"/>
  <c r="Q394" i="6"/>
  <c r="J404" i="6"/>
  <c r="J405" i="6"/>
  <c r="Q408" i="6"/>
  <c r="J411" i="6"/>
  <c r="J412" i="6"/>
  <c r="Q437" i="6"/>
  <c r="Q355" i="6"/>
  <c r="Q376" i="6"/>
  <c r="Q377" i="6"/>
  <c r="Q410" i="6"/>
  <c r="R410" i="6"/>
  <c r="S413" i="6"/>
  <c r="R419" i="6"/>
  <c r="Q419" i="6"/>
  <c r="S419" i="6" s="1"/>
  <c r="T37" i="7"/>
  <c r="AC37" i="7" s="1"/>
  <c r="Q433" i="6"/>
  <c r="R418" i="6"/>
  <c r="Q442" i="6"/>
  <c r="T40" i="7"/>
  <c r="Q487" i="6"/>
  <c r="Q488" i="6"/>
  <c r="Q489" i="6"/>
  <c r="L379" i="6"/>
  <c r="L387" i="6"/>
  <c r="L395" i="6"/>
  <c r="L403" i="6"/>
  <c r="L411" i="6"/>
  <c r="L419" i="6"/>
  <c r="L427" i="6"/>
  <c r="L435" i="6"/>
  <c r="J438" i="6"/>
  <c r="M440" i="6"/>
  <c r="L440" i="6"/>
  <c r="J441" i="6"/>
  <c r="Q441" i="6" s="1"/>
  <c r="Q495" i="6"/>
  <c r="Q496" i="6"/>
  <c r="Q497" i="6"/>
  <c r="L378" i="6"/>
  <c r="Q383" i="6"/>
  <c r="L386" i="6"/>
  <c r="Q391" i="6"/>
  <c r="L394" i="6"/>
  <c r="Q399" i="6"/>
  <c r="L402" i="6"/>
  <c r="Q407" i="6"/>
  <c r="L410" i="6"/>
  <c r="Q415" i="6"/>
  <c r="Q423" i="6"/>
  <c r="Q431" i="6"/>
  <c r="L434" i="6"/>
  <c r="Q447" i="6"/>
  <c r="Q448" i="6"/>
  <c r="Q449" i="6"/>
  <c r="Q414" i="6"/>
  <c r="L417" i="6"/>
  <c r="Q422" i="6"/>
  <c r="L425" i="6"/>
  <c r="Q430" i="6"/>
  <c r="Q445" i="6"/>
  <c r="T42" i="7"/>
  <c r="AC42" i="7" s="1"/>
  <c r="AD42" i="7" s="1"/>
  <c r="T44" i="7"/>
  <c r="AC44" i="7" s="1"/>
  <c r="AD44" i="7" s="1"/>
  <c r="S517" i="6"/>
  <c r="R517" i="6"/>
  <c r="Q413" i="6"/>
  <c r="L416" i="6"/>
  <c r="Q421" i="6"/>
  <c r="S421" i="6" s="1"/>
  <c r="J422" i="6"/>
  <c r="L424" i="6"/>
  <c r="Q429" i="6"/>
  <c r="L432" i="6"/>
  <c r="L438" i="6"/>
  <c r="T38" i="7"/>
  <c r="AC38" i="7" s="1"/>
  <c r="Q455" i="6"/>
  <c r="Q456" i="6"/>
  <c r="Q457" i="6"/>
  <c r="Q502" i="6"/>
  <c r="Q420" i="6"/>
  <c r="S420" i="6" s="1"/>
  <c r="Q428" i="6"/>
  <c r="Q463" i="6"/>
  <c r="Q464" i="6"/>
  <c r="J440" i="6"/>
  <c r="L441" i="6"/>
  <c r="Q471" i="6"/>
  <c r="Q472" i="6"/>
  <c r="R512" i="6"/>
  <c r="U35" i="7"/>
  <c r="V35" i="7" s="1"/>
  <c r="W35" i="7" s="1"/>
  <c r="X35" i="7" s="1"/>
  <c r="U37" i="7"/>
  <c r="V37" i="7" s="1"/>
  <c r="Q439" i="6"/>
  <c r="Q479" i="6"/>
  <c r="Q480" i="6"/>
  <c r="Q503" i="6"/>
  <c r="J449" i="6"/>
  <c r="J457" i="6"/>
  <c r="J465" i="6"/>
  <c r="J473" i="6"/>
  <c r="Q473" i="6" s="1"/>
  <c r="J481" i="6"/>
  <c r="Q504" i="6"/>
  <c r="Q509" i="6"/>
  <c r="S509" i="6" s="1"/>
  <c r="R509" i="6"/>
  <c r="Q514" i="6"/>
  <c r="J532" i="6"/>
  <c r="M534" i="6"/>
  <c r="L534" i="6"/>
  <c r="T46" i="7"/>
  <c r="AC46" i="7" s="1"/>
  <c r="J553" i="6"/>
  <c r="M563" i="6"/>
  <c r="L563" i="6"/>
  <c r="R566" i="6"/>
  <c r="Q594" i="6"/>
  <c r="Q505" i="6"/>
  <c r="S44" i="7"/>
  <c r="U44" i="7" s="1"/>
  <c r="V44" i="7" s="1"/>
  <c r="W44" i="7" s="1"/>
  <c r="X44" i="7" s="1"/>
  <c r="J506" i="6"/>
  <c r="J510" i="6"/>
  <c r="M523" i="6"/>
  <c r="Q533" i="6"/>
  <c r="Q536" i="6"/>
  <c r="Q538" i="6"/>
  <c r="Q544" i="6"/>
  <c r="J555" i="6"/>
  <c r="R574" i="6"/>
  <c r="L449" i="6"/>
  <c r="Q454" i="6"/>
  <c r="L457" i="6"/>
  <c r="Q462" i="6"/>
  <c r="L465" i="6"/>
  <c r="L473" i="6"/>
  <c r="Q478" i="6"/>
  <c r="L481" i="6"/>
  <c r="U42" i="7"/>
  <c r="V42" i="7" s="1"/>
  <c r="W42" i="7" s="1"/>
  <c r="X42" i="7" s="1"/>
  <c r="Q486" i="6"/>
  <c r="L489" i="6"/>
  <c r="L497" i="6"/>
  <c r="R511" i="6"/>
  <c r="S516" i="6"/>
  <c r="R516" i="6"/>
  <c r="J522" i="6"/>
  <c r="J540" i="6"/>
  <c r="Q560" i="6"/>
  <c r="R564" i="6"/>
  <c r="Q564" i="6"/>
  <c r="S564" i="6" s="1"/>
  <c r="S570" i="6"/>
  <c r="J446" i="6"/>
  <c r="L448" i="6"/>
  <c r="Q453" i="6"/>
  <c r="L456" i="6"/>
  <c r="Q461" i="6"/>
  <c r="L464" i="6"/>
  <c r="Q469" i="6"/>
  <c r="J470" i="6"/>
  <c r="L472" i="6"/>
  <c r="Q477" i="6"/>
  <c r="L480" i="6"/>
  <c r="Q485" i="6"/>
  <c r="L488" i="6"/>
  <c r="Q493" i="6"/>
  <c r="J494" i="6"/>
  <c r="L496" i="6"/>
  <c r="Q501" i="6"/>
  <c r="Q508" i="6"/>
  <c r="S508" i="6" s="1"/>
  <c r="J511" i="6"/>
  <c r="J519" i="6"/>
  <c r="J523" i="6"/>
  <c r="J526" i="6"/>
  <c r="M531" i="6"/>
  <c r="Q553" i="6"/>
  <c r="Q554" i="6"/>
  <c r="M555" i="6"/>
  <c r="L555" i="6"/>
  <c r="R567" i="6"/>
  <c r="S574" i="6"/>
  <c r="T49" i="7"/>
  <c r="AC49" i="7" s="1"/>
  <c r="AD49" i="7" s="1"/>
  <c r="L439" i="6"/>
  <c r="Q444" i="6"/>
  <c r="L447" i="6"/>
  <c r="Q452" i="6"/>
  <c r="L455" i="6"/>
  <c r="Q460" i="6"/>
  <c r="L463" i="6"/>
  <c r="Q468" i="6"/>
  <c r="L471" i="6"/>
  <c r="Q476" i="6"/>
  <c r="L479" i="6"/>
  <c r="Q484" i="6"/>
  <c r="L487" i="6"/>
  <c r="Q492" i="6"/>
  <c r="L495" i="6"/>
  <c r="Q500" i="6"/>
  <c r="L504" i="6"/>
  <c r="L505" i="6"/>
  <c r="M507" i="6"/>
  <c r="M510" i="6"/>
  <c r="L510" i="6"/>
  <c r="Q517" i="6"/>
  <c r="M518" i="6"/>
  <c r="L518" i="6"/>
  <c r="Q521" i="6"/>
  <c r="J545" i="6"/>
  <c r="Q545" i="6" s="1"/>
  <c r="J546" i="6"/>
  <c r="R569" i="6"/>
  <c r="Q569" i="6"/>
  <c r="S569" i="6" s="1"/>
  <c r="S572" i="6"/>
  <c r="R572" i="6"/>
  <c r="Q572" i="6"/>
  <c r="S573" i="6"/>
  <c r="J514" i="6"/>
  <c r="M515" i="6"/>
  <c r="Q520" i="6"/>
  <c r="J531" i="6"/>
  <c r="J537" i="6"/>
  <c r="Q539" i="6"/>
  <c r="Q552" i="6"/>
  <c r="J561" i="6"/>
  <c r="J562" i="6"/>
  <c r="R568" i="6"/>
  <c r="R570" i="6"/>
  <c r="Q570" i="6"/>
  <c r="S575" i="6"/>
  <c r="R577" i="6"/>
  <c r="Q577" i="6"/>
  <c r="S577" i="6" s="1"/>
  <c r="T50" i="7"/>
  <c r="AC50" i="7" s="1"/>
  <c r="AD50" i="7" s="1"/>
  <c r="Q450" i="6"/>
  <c r="Q458" i="6"/>
  <c r="Q466" i="6"/>
  <c r="Q474" i="6"/>
  <c r="Q482" i="6"/>
  <c r="Q490" i="6"/>
  <c r="Q498" i="6"/>
  <c r="J505" i="6"/>
  <c r="Q512" i="6"/>
  <c r="S512" i="6" s="1"/>
  <c r="R513" i="6"/>
  <c r="Q513" i="6"/>
  <c r="S513" i="6" s="1"/>
  <c r="Q524" i="6"/>
  <c r="M526" i="6"/>
  <c r="L526" i="6"/>
  <c r="Q529" i="6"/>
  <c r="R571" i="6"/>
  <c r="Q571" i="6"/>
  <c r="S571" i="6" s="1"/>
  <c r="Q578" i="6"/>
  <c r="Q585" i="6"/>
  <c r="Q586" i="6"/>
  <c r="Q587" i="6"/>
  <c r="Q525" i="6"/>
  <c r="Q528" i="6"/>
  <c r="Q546" i="6"/>
  <c r="M547" i="6"/>
  <c r="L547" i="6"/>
  <c r="J547" i="6"/>
  <c r="S568" i="6"/>
  <c r="Q580" i="6"/>
  <c r="S598" i="6"/>
  <c r="R565" i="6"/>
  <c r="R573" i="6"/>
  <c r="Q589" i="6"/>
  <c r="T51" i="7"/>
  <c r="AC51" i="7" s="1"/>
  <c r="AD51" i="7" s="1"/>
  <c r="Y13" i="7"/>
  <c r="Q19" i="7"/>
  <c r="R19" i="7"/>
  <c r="R45" i="7"/>
  <c r="Y49" i="7"/>
  <c r="P554" i="6"/>
  <c r="P562" i="6"/>
  <c r="R562" i="6" s="1"/>
  <c r="Q592" i="6"/>
  <c r="S592" i="6" s="1"/>
  <c r="M593" i="6"/>
  <c r="L593" i="6"/>
  <c r="J594" i="6"/>
  <c r="R5" i="7"/>
  <c r="Q5" i="7"/>
  <c r="J12" i="7"/>
  <c r="P16" i="7"/>
  <c r="F16" i="7"/>
  <c r="M16" i="7" s="1"/>
  <c r="E16" i="7"/>
  <c r="Y27" i="7"/>
  <c r="W27" i="7"/>
  <c r="X27" i="7" s="1"/>
  <c r="Q28" i="7"/>
  <c r="R28" i="7"/>
  <c r="U45" i="7"/>
  <c r="V45" i="7" s="1"/>
  <c r="W45" i="7" s="1"/>
  <c r="X45" i="7" s="1"/>
  <c r="P561" i="6"/>
  <c r="U49" i="7"/>
  <c r="V49" i="7" s="1"/>
  <c r="W49" i="7" s="1"/>
  <c r="X49" i="7" s="1"/>
  <c r="J579" i="6"/>
  <c r="J587" i="6"/>
  <c r="Q590" i="6"/>
  <c r="R591" i="6"/>
  <c r="M595" i="6"/>
  <c r="R599" i="6"/>
  <c r="Y5" i="7"/>
  <c r="R20" i="7"/>
  <c r="J530" i="6"/>
  <c r="J554" i="6"/>
  <c r="P560" i="6"/>
  <c r="J578" i="6"/>
  <c r="R594" i="6"/>
  <c r="Q597" i="6"/>
  <c r="S597" i="6" s="1"/>
  <c r="R601" i="6"/>
  <c r="Q601" i="6"/>
  <c r="S601" i="6" s="1"/>
  <c r="P8" i="7"/>
  <c r="F8" i="7"/>
  <c r="M8" i="7" s="1"/>
  <c r="E8" i="7"/>
  <c r="W17" i="7"/>
  <c r="X17" i="7" s="1"/>
  <c r="L19" i="7"/>
  <c r="J19" i="7"/>
  <c r="R25" i="7"/>
  <c r="Q25" i="7"/>
  <c r="Q37" i="7"/>
  <c r="R37" i="7"/>
  <c r="P559" i="6"/>
  <c r="Q568" i="6"/>
  <c r="L571" i="6"/>
  <c r="Q576" i="6"/>
  <c r="S576" i="6" s="1"/>
  <c r="L579" i="6"/>
  <c r="Q584" i="6"/>
  <c r="L587" i="6"/>
  <c r="J588" i="6"/>
  <c r="S51" i="7"/>
  <c r="J590" i="6"/>
  <c r="R600" i="6"/>
  <c r="Q600" i="6"/>
  <c r="R12" i="7"/>
  <c r="M17" i="7"/>
  <c r="Y17" i="7"/>
  <c r="P18" i="7"/>
  <c r="Q18" i="7" s="1"/>
  <c r="M24" i="7"/>
  <c r="Q543" i="6"/>
  <c r="L546" i="6"/>
  <c r="Q551" i="6"/>
  <c r="L554" i="6"/>
  <c r="P558" i="6"/>
  <c r="R558" i="6" s="1"/>
  <c r="Q559" i="6"/>
  <c r="L562" i="6"/>
  <c r="Q567" i="6"/>
  <c r="S567" i="6" s="1"/>
  <c r="L570" i="6"/>
  <c r="Q575" i="6"/>
  <c r="L578" i="6"/>
  <c r="Q583" i="6"/>
  <c r="L586" i="6"/>
  <c r="L591" i="6"/>
  <c r="R592" i="6"/>
  <c r="M6" i="7"/>
  <c r="Q9" i="7"/>
  <c r="P22" i="7"/>
  <c r="F22" i="7"/>
  <c r="M22" i="7" s="1"/>
  <c r="E22" i="7"/>
  <c r="L513" i="6"/>
  <c r="L521" i="6"/>
  <c r="L529" i="6"/>
  <c r="U46" i="7"/>
  <c r="V46" i="7" s="1"/>
  <c r="W46" i="7" s="1"/>
  <c r="X46" i="7" s="1"/>
  <c r="L537" i="6"/>
  <c r="L545" i="6"/>
  <c r="Q550" i="6"/>
  <c r="L553" i="6"/>
  <c r="U48" i="7"/>
  <c r="V48" i="7" s="1"/>
  <c r="P557" i="6"/>
  <c r="R557" i="6" s="1"/>
  <c r="Q558" i="6"/>
  <c r="L561" i="6"/>
  <c r="P565" i="6"/>
  <c r="S565" i="6" s="1"/>
  <c r="Q566" i="6"/>
  <c r="L569" i="6"/>
  <c r="Q574" i="6"/>
  <c r="L577" i="6"/>
  <c r="Q582" i="6"/>
  <c r="L585" i="6"/>
  <c r="R598" i="6"/>
  <c r="S600" i="6"/>
  <c r="R14" i="7"/>
  <c r="W18" i="7"/>
  <c r="X18" i="7" s="1"/>
  <c r="J518" i="6"/>
  <c r="J542" i="6"/>
  <c r="P556" i="6"/>
  <c r="S556" i="6" s="1"/>
  <c r="J566" i="6"/>
  <c r="L590" i="6"/>
  <c r="J591" i="6"/>
  <c r="J596" i="6"/>
  <c r="R597" i="6"/>
  <c r="L12" i="7"/>
  <c r="R13" i="7"/>
  <c r="Q13" i="7"/>
  <c r="M18" i="7"/>
  <c r="L3" i="7"/>
  <c r="Y4" i="7"/>
  <c r="F5" i="7"/>
  <c r="M5" i="7" s="1"/>
  <c r="P7" i="7"/>
  <c r="Q7" i="7" s="1"/>
  <c r="L11" i="7"/>
  <c r="Y12" i="7"/>
  <c r="F13" i="7"/>
  <c r="M13" i="7" s="1"/>
  <c r="P15" i="7"/>
  <c r="Q15" i="7" s="1"/>
  <c r="L18" i="7"/>
  <c r="L21" i="7"/>
  <c r="J26" i="7"/>
  <c r="Q34" i="7"/>
  <c r="R34" i="7"/>
  <c r="W37" i="7"/>
  <c r="X37" i="7" s="1"/>
  <c r="Y37" i="7"/>
  <c r="P39" i="7"/>
  <c r="F39" i="7"/>
  <c r="M39" i="7" s="1"/>
  <c r="E39" i="7"/>
  <c r="F40" i="7"/>
  <c r="M40" i="7" s="1"/>
  <c r="E40" i="7"/>
  <c r="R40" i="7"/>
  <c r="P40" i="7"/>
  <c r="Y46" i="7"/>
  <c r="P2" i="7"/>
  <c r="E3" i="7"/>
  <c r="P10" i="7"/>
  <c r="Q10" i="7" s="1"/>
  <c r="E11" i="7"/>
  <c r="E21" i="7"/>
  <c r="R23" i="7"/>
  <c r="W26" i="7"/>
  <c r="X26" i="7" s="1"/>
  <c r="P27" i="7"/>
  <c r="Q27" i="7" s="1"/>
  <c r="L35" i="7"/>
  <c r="J35" i="7"/>
  <c r="M50" i="7"/>
  <c r="R7" i="7"/>
  <c r="R15" i="7"/>
  <c r="F21" i="7"/>
  <c r="R24" i="7"/>
  <c r="P24" i="7"/>
  <c r="Q24" i="7" s="1"/>
  <c r="R27" i="7"/>
  <c r="P29" i="7"/>
  <c r="F29" i="7"/>
  <c r="M29" i="7" s="1"/>
  <c r="Q41" i="7"/>
  <c r="E24" i="7"/>
  <c r="L25" i="7"/>
  <c r="R26" i="7"/>
  <c r="L28" i="7"/>
  <c r="E29" i="7"/>
  <c r="M34" i="7"/>
  <c r="Y36" i="7"/>
  <c r="R36" i="7"/>
  <c r="Q36" i="7"/>
  <c r="M41" i="7"/>
  <c r="Y41" i="7"/>
  <c r="Q42" i="7"/>
  <c r="R42" i="7"/>
  <c r="Q599" i="6"/>
  <c r="S599" i="6" s="1"/>
  <c r="Y19" i="7"/>
  <c r="Q21" i="7"/>
  <c r="E30" i="7"/>
  <c r="P30" i="7"/>
  <c r="F30" i="7"/>
  <c r="M30" i="7" s="1"/>
  <c r="P31" i="7"/>
  <c r="E31" i="7"/>
  <c r="E32" i="7"/>
  <c r="R32" i="7"/>
  <c r="P32" i="7"/>
  <c r="L34" i="7"/>
  <c r="Q598" i="6"/>
  <c r="L601" i="6"/>
  <c r="Q3" i="7"/>
  <c r="E7" i="7"/>
  <c r="Q11" i="7"/>
  <c r="E15" i="7"/>
  <c r="R18" i="7"/>
  <c r="L20" i="7"/>
  <c r="F31" i="7"/>
  <c r="M31" i="7" s="1"/>
  <c r="F32" i="7"/>
  <c r="M32" i="7" s="1"/>
  <c r="M33" i="7"/>
  <c r="M43" i="7"/>
  <c r="R49" i="7"/>
  <c r="Q49" i="7"/>
  <c r="M23" i="7"/>
  <c r="L26" i="7"/>
  <c r="M35" i="7"/>
  <c r="R35" i="7"/>
  <c r="Q35" i="7"/>
  <c r="M42" i="7"/>
  <c r="Q50" i="7"/>
  <c r="R50" i="7"/>
  <c r="F38" i="7"/>
  <c r="M38" i="7" s="1"/>
  <c r="Y45" i="7"/>
  <c r="F46" i="7"/>
  <c r="M46" i="7" s="1"/>
  <c r="P48" i="7"/>
  <c r="Q48" i="7" s="1"/>
  <c r="P51" i="7"/>
  <c r="Q51" i="7" s="1"/>
  <c r="P38" i="7"/>
  <c r="Q43" i="7"/>
  <c r="P46" i="7"/>
  <c r="E47" i="7"/>
  <c r="R48" i="7"/>
  <c r="J43" i="7"/>
  <c r="F47" i="7"/>
  <c r="M47" i="7" s="1"/>
  <c r="F37" i="7"/>
  <c r="M37" i="7" s="1"/>
  <c r="Q44" i="7"/>
  <c r="F45" i="7"/>
  <c r="M45" i="7" s="1"/>
  <c r="P47" i="7"/>
  <c r="E48" i="7"/>
  <c r="E51" i="7"/>
  <c r="Q369" i="6" l="1"/>
  <c r="Q360" i="6"/>
  <c r="R166" i="6"/>
  <c r="Q166" i="6"/>
  <c r="Q188" i="6"/>
  <c r="Q63" i="6"/>
  <c r="S63" i="6" s="1"/>
  <c r="Q78" i="6"/>
  <c r="F36" i="1"/>
  <c r="P369" i="6"/>
  <c r="S369" i="6" s="1"/>
  <c r="P370" i="6"/>
  <c r="P362" i="6"/>
  <c r="P371" i="6"/>
  <c r="P363" i="6"/>
  <c r="P373" i="6"/>
  <c r="R373" i="6" s="1"/>
  <c r="P365" i="6"/>
  <c r="P366" i="6"/>
  <c r="P367" i="6"/>
  <c r="R367" i="6" s="1"/>
  <c r="P368" i="6"/>
  <c r="R368" i="6" s="1"/>
  <c r="P372" i="6"/>
  <c r="R372" i="6" s="1"/>
  <c r="P364" i="6"/>
  <c r="P253" i="6"/>
  <c r="P245" i="6"/>
  <c r="P246" i="6"/>
  <c r="P247" i="6"/>
  <c r="P248" i="6"/>
  <c r="P249" i="6"/>
  <c r="P250" i="6"/>
  <c r="P242" i="6"/>
  <c r="P251" i="6"/>
  <c r="P243" i="6"/>
  <c r="P252" i="6"/>
  <c r="P244" i="6"/>
  <c r="C30" i="1"/>
  <c r="Q190" i="6"/>
  <c r="P524" i="6"/>
  <c r="P525" i="6"/>
  <c r="P527" i="6"/>
  <c r="P519" i="6"/>
  <c r="P528" i="6"/>
  <c r="P520" i="6"/>
  <c r="P529" i="6"/>
  <c r="P521" i="6"/>
  <c r="P522" i="6"/>
  <c r="P523" i="6"/>
  <c r="P526" i="6"/>
  <c r="S526" i="6" s="1"/>
  <c r="P518" i="6"/>
  <c r="P334" i="6"/>
  <c r="P326" i="6"/>
  <c r="R326" i="6" s="1"/>
  <c r="P335" i="6"/>
  <c r="P327" i="6"/>
  <c r="P336" i="6"/>
  <c r="P328" i="6"/>
  <c r="P337" i="6"/>
  <c r="S337" i="6" s="1"/>
  <c r="P329" i="6"/>
  <c r="P330" i="6"/>
  <c r="P331" i="6"/>
  <c r="P332" i="6"/>
  <c r="P333" i="6"/>
  <c r="Q8" i="7"/>
  <c r="R8" i="7"/>
  <c r="S522" i="6"/>
  <c r="R522" i="6"/>
  <c r="Q522" i="6"/>
  <c r="Q254" i="6"/>
  <c r="P261" i="6"/>
  <c r="P262" i="6"/>
  <c r="P254" i="6"/>
  <c r="S254" i="6" s="1"/>
  <c r="P263" i="6"/>
  <c r="P255" i="6"/>
  <c r="P264" i="6"/>
  <c r="P256" i="6"/>
  <c r="P265" i="6"/>
  <c r="P257" i="6"/>
  <c r="P258" i="6"/>
  <c r="P259" i="6"/>
  <c r="P260" i="6"/>
  <c r="Y29" i="7"/>
  <c r="W29" i="7"/>
  <c r="X29" i="7" s="1"/>
  <c r="P464" i="6"/>
  <c r="P465" i="6"/>
  <c r="R465" i="6" s="1"/>
  <c r="P466" i="6"/>
  <c r="P458" i="6"/>
  <c r="P467" i="6"/>
  <c r="P459" i="6"/>
  <c r="P468" i="6"/>
  <c r="P460" i="6"/>
  <c r="P469" i="6"/>
  <c r="P461" i="6"/>
  <c r="P462" i="6"/>
  <c r="P463" i="6"/>
  <c r="M12" i="7"/>
  <c r="O126" i="6"/>
  <c r="O127" i="6"/>
  <c r="O128" i="6"/>
  <c r="O129" i="6"/>
  <c r="O130" i="6"/>
  <c r="O122" i="6"/>
  <c r="O131" i="6"/>
  <c r="O123" i="6"/>
  <c r="O132" i="6"/>
  <c r="O124" i="6"/>
  <c r="O125" i="6"/>
  <c r="O133" i="6"/>
  <c r="Q542" i="6"/>
  <c r="Q595" i="6"/>
  <c r="S595" i="6" s="1"/>
  <c r="R595" i="6"/>
  <c r="Q16" i="7"/>
  <c r="R518" i="6"/>
  <c r="Q518" i="6"/>
  <c r="R365" i="6"/>
  <c r="Q379" i="6"/>
  <c r="Q143" i="6"/>
  <c r="R84" i="6"/>
  <c r="O408" i="6"/>
  <c r="O400" i="6"/>
  <c r="O409" i="6"/>
  <c r="O401" i="6"/>
  <c r="O402" i="6"/>
  <c r="O404" i="6"/>
  <c r="O405" i="6"/>
  <c r="O406" i="6"/>
  <c r="O398" i="6"/>
  <c r="O407" i="6"/>
  <c r="O399" i="6"/>
  <c r="O403" i="6"/>
  <c r="Q2" i="7"/>
  <c r="R2" i="7"/>
  <c r="P47" i="6"/>
  <c r="P39" i="6"/>
  <c r="R39" i="6" s="1"/>
  <c r="P48" i="6"/>
  <c r="P49" i="6"/>
  <c r="P41" i="6"/>
  <c r="P42" i="6"/>
  <c r="P44" i="6"/>
  <c r="P45" i="6"/>
  <c r="P46" i="6"/>
  <c r="P38" i="6"/>
  <c r="P43" i="6"/>
  <c r="P40" i="6"/>
  <c r="S40" i="6" s="1"/>
  <c r="AD5" i="7"/>
  <c r="R10" i="7"/>
  <c r="R16" i="7"/>
  <c r="S557" i="6"/>
  <c r="R563" i="6"/>
  <c r="Q563" i="6"/>
  <c r="S563" i="6" s="1"/>
  <c r="AC33" i="7"/>
  <c r="AD33" i="7" s="1"/>
  <c r="U33" i="7"/>
  <c r="V33" i="7" s="1"/>
  <c r="W33" i="7" s="1"/>
  <c r="X33" i="7" s="1"/>
  <c r="Q338" i="6"/>
  <c r="R338" i="6"/>
  <c r="R38" i="6"/>
  <c r="Q38" i="6"/>
  <c r="R83" i="6"/>
  <c r="Q83" i="6"/>
  <c r="P409" i="6"/>
  <c r="P401" i="6"/>
  <c r="P402" i="6"/>
  <c r="P403" i="6"/>
  <c r="P405" i="6"/>
  <c r="P406" i="6"/>
  <c r="P398" i="6"/>
  <c r="P407" i="6"/>
  <c r="P399" i="6"/>
  <c r="P408" i="6"/>
  <c r="P400" i="6"/>
  <c r="P404" i="6"/>
  <c r="Q31" i="7"/>
  <c r="R31" i="7"/>
  <c r="Y47" i="7"/>
  <c r="P342" i="6"/>
  <c r="P343" i="6"/>
  <c r="P344" i="6"/>
  <c r="P345" i="6"/>
  <c r="P346" i="6"/>
  <c r="P338" i="6"/>
  <c r="S338" i="6" s="1"/>
  <c r="P347" i="6"/>
  <c r="P339" i="6"/>
  <c r="P348" i="6"/>
  <c r="P340" i="6"/>
  <c r="P349" i="6"/>
  <c r="P341" i="6"/>
  <c r="P393" i="6"/>
  <c r="P394" i="6"/>
  <c r="P386" i="6"/>
  <c r="P395" i="6"/>
  <c r="P387" i="6"/>
  <c r="P397" i="6"/>
  <c r="R397" i="6" s="1"/>
  <c r="P389" i="6"/>
  <c r="R389" i="6" s="1"/>
  <c r="P390" i="6"/>
  <c r="P391" i="6"/>
  <c r="P392" i="6"/>
  <c r="P388" i="6"/>
  <c r="S388" i="6" s="1"/>
  <c r="P396" i="6"/>
  <c r="S396" i="6" s="1"/>
  <c r="O118" i="6"/>
  <c r="O110" i="6"/>
  <c r="O119" i="6"/>
  <c r="O111" i="6"/>
  <c r="O120" i="6"/>
  <c r="O112" i="6"/>
  <c r="O121" i="6"/>
  <c r="O113" i="6"/>
  <c r="O114" i="6"/>
  <c r="O115" i="6"/>
  <c r="O116" i="6"/>
  <c r="O117" i="6"/>
  <c r="P191" i="6"/>
  <c r="P183" i="6"/>
  <c r="P192" i="6"/>
  <c r="P184" i="6"/>
  <c r="P193" i="6"/>
  <c r="P185" i="6"/>
  <c r="P186" i="6"/>
  <c r="P187" i="6"/>
  <c r="P188" i="6"/>
  <c r="R188" i="6" s="1"/>
  <c r="P189" i="6"/>
  <c r="R189" i="6" s="1"/>
  <c r="P190" i="6"/>
  <c r="R190" i="6" s="1"/>
  <c r="P182" i="6"/>
  <c r="AD17" i="7"/>
  <c r="AC19" i="7"/>
  <c r="U19" i="7"/>
  <c r="V19" i="7" s="1"/>
  <c r="W19" i="7" s="1"/>
  <c r="X19" i="7" s="1"/>
  <c r="R46" i="7"/>
  <c r="Q46" i="7"/>
  <c r="P442" i="6"/>
  <c r="P443" i="6"/>
  <c r="P444" i="6"/>
  <c r="P436" i="6"/>
  <c r="P445" i="6"/>
  <c r="P438" i="6"/>
  <c r="R438" i="6" s="1"/>
  <c r="P439" i="6"/>
  <c r="P437" i="6"/>
  <c r="P440" i="6"/>
  <c r="S440" i="6" s="1"/>
  <c r="P434" i="6"/>
  <c r="P435" i="6"/>
  <c r="P441" i="6"/>
  <c r="R441" i="6" s="1"/>
  <c r="M20" i="7"/>
  <c r="O228" i="6"/>
  <c r="O220" i="6"/>
  <c r="O229" i="6"/>
  <c r="O221" i="6"/>
  <c r="O222" i="6"/>
  <c r="O223" i="6"/>
  <c r="O224" i="6"/>
  <c r="O225" i="6"/>
  <c r="O226" i="6"/>
  <c r="O218" i="6"/>
  <c r="O227" i="6"/>
  <c r="O219" i="6"/>
  <c r="O392" i="6"/>
  <c r="O393" i="6"/>
  <c r="O394" i="6"/>
  <c r="O386" i="6"/>
  <c r="O396" i="6"/>
  <c r="O388" i="6"/>
  <c r="O397" i="6"/>
  <c r="O389" i="6"/>
  <c r="O390" i="6"/>
  <c r="O391" i="6"/>
  <c r="O387" i="6"/>
  <c r="O395" i="6"/>
  <c r="Y3" i="7"/>
  <c r="W3" i="7"/>
  <c r="X3" i="7" s="1"/>
  <c r="F10" i="1"/>
  <c r="R8" i="6"/>
  <c r="Q8" i="6"/>
  <c r="S8" i="6" s="1"/>
  <c r="R62" i="6"/>
  <c r="Q62" i="6"/>
  <c r="P433" i="6"/>
  <c r="P425" i="6"/>
  <c r="P426" i="6"/>
  <c r="P427" i="6"/>
  <c r="P428" i="6"/>
  <c r="P429" i="6"/>
  <c r="P430" i="6"/>
  <c r="P422" i="6"/>
  <c r="R422" i="6" s="1"/>
  <c r="P431" i="6"/>
  <c r="P423" i="6"/>
  <c r="P432" i="6"/>
  <c r="P424" i="6"/>
  <c r="Q38" i="7"/>
  <c r="R38" i="7"/>
  <c r="P480" i="6"/>
  <c r="P472" i="6"/>
  <c r="P481" i="6"/>
  <c r="R481" i="6" s="1"/>
  <c r="P473" i="6"/>
  <c r="R473" i="6" s="1"/>
  <c r="P474" i="6"/>
  <c r="P475" i="6"/>
  <c r="P476" i="6"/>
  <c r="P477" i="6"/>
  <c r="P478" i="6"/>
  <c r="P470" i="6"/>
  <c r="R470" i="6" s="1"/>
  <c r="P479" i="6"/>
  <c r="P471" i="6"/>
  <c r="P456" i="6"/>
  <c r="P448" i="6"/>
  <c r="P457" i="6"/>
  <c r="P449" i="6"/>
  <c r="P450" i="6"/>
  <c r="P451" i="6"/>
  <c r="P452" i="6"/>
  <c r="P453" i="6"/>
  <c r="P454" i="6"/>
  <c r="P446" i="6"/>
  <c r="P455" i="6"/>
  <c r="P447" i="6"/>
  <c r="O236" i="6"/>
  <c r="O237" i="6"/>
  <c r="O238" i="6"/>
  <c r="O230" i="6"/>
  <c r="O239" i="6"/>
  <c r="O231" i="6"/>
  <c r="O240" i="6"/>
  <c r="O232" i="6"/>
  <c r="O241" i="6"/>
  <c r="O233" i="6"/>
  <c r="O234" i="6"/>
  <c r="O235" i="6"/>
  <c r="U50" i="7"/>
  <c r="V50" i="7" s="1"/>
  <c r="W50" i="7" s="1"/>
  <c r="X50" i="7" s="1"/>
  <c r="P55" i="6"/>
  <c r="P56" i="6"/>
  <c r="P57" i="6"/>
  <c r="P58" i="6"/>
  <c r="P50" i="6"/>
  <c r="P60" i="6"/>
  <c r="P52" i="6"/>
  <c r="R52" i="6" s="1"/>
  <c r="P61" i="6"/>
  <c r="P53" i="6"/>
  <c r="P51" i="6"/>
  <c r="P54" i="6"/>
  <c r="P59" i="6"/>
  <c r="AD45" i="7"/>
  <c r="S494" i="6"/>
  <c r="Q494" i="6"/>
  <c r="R494" i="6"/>
  <c r="Q405" i="6"/>
  <c r="S405" i="6" s="1"/>
  <c r="R405" i="6"/>
  <c r="T32" i="7"/>
  <c r="S373" i="6"/>
  <c r="Q373" i="6"/>
  <c r="S375" i="6"/>
  <c r="Q375" i="6"/>
  <c r="S170" i="6"/>
  <c r="R170" i="6"/>
  <c r="Q170" i="6"/>
  <c r="AD18" i="7"/>
  <c r="R91" i="6"/>
  <c r="Q91" i="6"/>
  <c r="S91" i="6" s="1"/>
  <c r="R150" i="6"/>
  <c r="Q150" i="6"/>
  <c r="AD8" i="7"/>
  <c r="Y16" i="7"/>
  <c r="R561" i="6"/>
  <c r="S558" i="6"/>
  <c r="F27" i="1"/>
  <c r="S43" i="6"/>
  <c r="R43" i="6"/>
  <c r="P79" i="6"/>
  <c r="P80" i="6"/>
  <c r="P81" i="6"/>
  <c r="P82" i="6"/>
  <c r="P74" i="6"/>
  <c r="P84" i="6"/>
  <c r="P76" i="6"/>
  <c r="R76" i="6" s="1"/>
  <c r="P85" i="6"/>
  <c r="P77" i="6"/>
  <c r="P78" i="6"/>
  <c r="R78" i="6" s="1"/>
  <c r="P83" i="6"/>
  <c r="S83" i="6" s="1"/>
  <c r="P75" i="6"/>
  <c r="R75" i="6" s="1"/>
  <c r="Q22" i="7"/>
  <c r="R22" i="7"/>
  <c r="P175" i="6"/>
  <c r="P176" i="6"/>
  <c r="P177" i="6"/>
  <c r="P178" i="6"/>
  <c r="P170" i="6"/>
  <c r="P179" i="6"/>
  <c r="P171" i="6"/>
  <c r="P180" i="6"/>
  <c r="P172" i="6"/>
  <c r="P181" i="6"/>
  <c r="R181" i="6" s="1"/>
  <c r="P173" i="6"/>
  <c r="S173" i="6" s="1"/>
  <c r="P174" i="6"/>
  <c r="R556" i="6"/>
  <c r="T16" i="7"/>
  <c r="Q181" i="6"/>
  <c r="S78" i="6"/>
  <c r="R63" i="6"/>
  <c r="R51" i="7"/>
  <c r="P488" i="6"/>
  <c r="P489" i="6"/>
  <c r="P490" i="6"/>
  <c r="P482" i="6"/>
  <c r="P491" i="6"/>
  <c r="P483" i="6"/>
  <c r="P492" i="6"/>
  <c r="P484" i="6"/>
  <c r="P493" i="6"/>
  <c r="P485" i="6"/>
  <c r="P486" i="6"/>
  <c r="P487" i="6"/>
  <c r="Q39" i="7"/>
  <c r="R39" i="7"/>
  <c r="Q596" i="6"/>
  <c r="S596" i="6" s="1"/>
  <c r="R546" i="6"/>
  <c r="Q506" i="6"/>
  <c r="S506" i="6" s="1"/>
  <c r="Q281" i="6"/>
  <c r="P548" i="6"/>
  <c r="P549" i="6"/>
  <c r="P550" i="6"/>
  <c r="P542" i="6"/>
  <c r="R542" i="6" s="1"/>
  <c r="P551" i="6"/>
  <c r="P543" i="6"/>
  <c r="P552" i="6"/>
  <c r="P544" i="6"/>
  <c r="P553" i="6"/>
  <c r="P545" i="6"/>
  <c r="R545" i="6" s="1"/>
  <c r="P546" i="6"/>
  <c r="S546" i="6" s="1"/>
  <c r="P547" i="6"/>
  <c r="Y7" i="7"/>
  <c r="Y32" i="7"/>
  <c r="Y24" i="7"/>
  <c r="W24" i="7"/>
  <c r="X24" i="7" s="1"/>
  <c r="M21" i="7"/>
  <c r="S591" i="6"/>
  <c r="Q591" i="6"/>
  <c r="U51" i="7"/>
  <c r="V51" i="7" s="1"/>
  <c r="R559" i="6"/>
  <c r="S559" i="6"/>
  <c r="M11" i="7"/>
  <c r="Q45" i="7"/>
  <c r="Q507" i="6"/>
  <c r="S507" i="6" s="1"/>
  <c r="R507" i="6"/>
  <c r="Q380" i="6"/>
  <c r="AC36" i="7"/>
  <c r="AD36" i="7" s="1"/>
  <c r="U36" i="7"/>
  <c r="V36" i="7" s="1"/>
  <c r="W36" i="7" s="1"/>
  <c r="X36" i="7" s="1"/>
  <c r="R174" i="6"/>
  <c r="Q174" i="6"/>
  <c r="AC10" i="7"/>
  <c r="AD10" i="7" s="1"/>
  <c r="U10" i="7"/>
  <c r="V10" i="7" s="1"/>
  <c r="W10" i="7" s="1"/>
  <c r="X10" i="7" s="1"/>
  <c r="R180" i="6"/>
  <c r="Q180" i="6"/>
  <c r="S180" i="6" s="1"/>
  <c r="R94" i="6"/>
  <c r="Q94" i="6"/>
  <c r="S30" i="6"/>
  <c r="S156" i="6"/>
  <c r="R156" i="6"/>
  <c r="Q156" i="6"/>
  <c r="Y40" i="7"/>
  <c r="R560" i="6"/>
  <c r="S560" i="6"/>
  <c r="R593" i="6"/>
  <c r="Q593" i="6"/>
  <c r="S593" i="6" s="1"/>
  <c r="R515" i="6"/>
  <c r="Q515" i="6"/>
  <c r="S515" i="6" s="1"/>
  <c r="S39" i="6"/>
  <c r="Q39" i="6"/>
  <c r="R30" i="7"/>
  <c r="Q30" i="7"/>
  <c r="P503" i="6"/>
  <c r="P505" i="6"/>
  <c r="P496" i="6"/>
  <c r="P497" i="6"/>
  <c r="P498" i="6"/>
  <c r="P499" i="6"/>
  <c r="P504" i="6"/>
  <c r="P500" i="6"/>
  <c r="P501" i="6"/>
  <c r="P502" i="6"/>
  <c r="P494" i="6"/>
  <c r="P495" i="6"/>
  <c r="O286" i="6"/>
  <c r="O287" i="6"/>
  <c r="O288" i="6"/>
  <c r="O289" i="6"/>
  <c r="O282" i="6"/>
  <c r="O284" i="6"/>
  <c r="O283" i="6"/>
  <c r="O278" i="6"/>
  <c r="O279" i="6"/>
  <c r="O280" i="6"/>
  <c r="O281" i="6"/>
  <c r="O285" i="6"/>
  <c r="M25" i="7"/>
  <c r="O25" i="6"/>
  <c r="O16" i="6"/>
  <c r="O24" i="6"/>
  <c r="O17" i="6"/>
  <c r="O18" i="6"/>
  <c r="O19" i="6"/>
  <c r="O20" i="6"/>
  <c r="O21" i="6"/>
  <c r="O22" i="6"/>
  <c r="O14" i="6"/>
  <c r="O23" i="6"/>
  <c r="O15" i="6"/>
  <c r="M3" i="7"/>
  <c r="R596" i="6"/>
  <c r="Q537" i="6"/>
  <c r="R510" i="6"/>
  <c r="Q510" i="6"/>
  <c r="AC40" i="7"/>
  <c r="AD40" i="7" s="1"/>
  <c r="U40" i="7"/>
  <c r="V40" i="7" s="1"/>
  <c r="W40" i="7" s="1"/>
  <c r="X40" i="7" s="1"/>
  <c r="Q290" i="6"/>
  <c r="R41" i="6"/>
  <c r="W48" i="7"/>
  <c r="X48" i="7" s="1"/>
  <c r="Y48" i="7"/>
  <c r="P540" i="6"/>
  <c r="P532" i="6"/>
  <c r="R532" i="6" s="1"/>
  <c r="P541" i="6"/>
  <c r="P533" i="6"/>
  <c r="P535" i="6"/>
  <c r="P536" i="6"/>
  <c r="P537" i="6"/>
  <c r="R537" i="6" s="1"/>
  <c r="P538" i="6"/>
  <c r="P530" i="6"/>
  <c r="R530" i="6" s="1"/>
  <c r="P531" i="6"/>
  <c r="R531" i="6" s="1"/>
  <c r="P534" i="6"/>
  <c r="P539" i="6"/>
  <c r="P385" i="6"/>
  <c r="P377" i="6"/>
  <c r="P378" i="6"/>
  <c r="P379" i="6"/>
  <c r="S379" i="6" s="1"/>
  <c r="P381" i="6"/>
  <c r="P382" i="6"/>
  <c r="P374" i="6"/>
  <c r="P383" i="6"/>
  <c r="P375" i="6"/>
  <c r="R375" i="6" s="1"/>
  <c r="P384" i="6"/>
  <c r="P376" i="6"/>
  <c r="P380" i="6"/>
  <c r="R380" i="6" s="1"/>
  <c r="Y31" i="7"/>
  <c r="Y21" i="7"/>
  <c r="W21" i="7"/>
  <c r="X21" i="7" s="1"/>
  <c r="Q40" i="7"/>
  <c r="P143" i="6"/>
  <c r="S143" i="6" s="1"/>
  <c r="P135" i="6"/>
  <c r="P144" i="6"/>
  <c r="P136" i="6"/>
  <c r="P145" i="6"/>
  <c r="P137" i="6"/>
  <c r="P138" i="6"/>
  <c r="P139" i="6"/>
  <c r="P140" i="6"/>
  <c r="P141" i="6"/>
  <c r="R141" i="6" s="1"/>
  <c r="P134" i="6"/>
  <c r="P142" i="6"/>
  <c r="P199" i="6"/>
  <c r="R199" i="6" s="1"/>
  <c r="P200" i="6"/>
  <c r="P201" i="6"/>
  <c r="P202" i="6"/>
  <c r="P194" i="6"/>
  <c r="P203" i="6"/>
  <c r="P195" i="6"/>
  <c r="P204" i="6"/>
  <c r="R204" i="6" s="1"/>
  <c r="P196" i="6"/>
  <c r="P205" i="6"/>
  <c r="P197" i="6"/>
  <c r="P198" i="6"/>
  <c r="S198" i="6" s="1"/>
  <c r="Y22" i="7"/>
  <c r="Q588" i="6"/>
  <c r="Y8" i="7"/>
  <c r="W8" i="7"/>
  <c r="X8" i="7" s="1"/>
  <c r="S594" i="6"/>
  <c r="R526" i="6"/>
  <c r="Q526" i="6"/>
  <c r="Q562" i="6"/>
  <c r="S562" i="6" s="1"/>
  <c r="R555" i="6"/>
  <c r="Q555" i="6"/>
  <c r="Q519" i="6"/>
  <c r="S519" i="6" s="1"/>
  <c r="R519" i="6"/>
  <c r="AD46" i="7"/>
  <c r="R506" i="6"/>
  <c r="U28" i="7"/>
  <c r="V28" i="7" s="1"/>
  <c r="W28" i="7" s="1"/>
  <c r="X28" i="7" s="1"/>
  <c r="S242" i="6"/>
  <c r="R242" i="6"/>
  <c r="Q242" i="6"/>
  <c r="Q241" i="6"/>
  <c r="S190" i="6"/>
  <c r="AC12" i="7"/>
  <c r="U12" i="7"/>
  <c r="V12" i="7" s="1"/>
  <c r="W12" i="7" s="1"/>
  <c r="X12" i="7" s="1"/>
  <c r="R46" i="6"/>
  <c r="Q46" i="6"/>
  <c r="S554" i="6"/>
  <c r="S446" i="6"/>
  <c r="Q446" i="6"/>
  <c r="Q561" i="6"/>
  <c r="AD38" i="7"/>
  <c r="R440" i="6"/>
  <c r="Q440" i="6"/>
  <c r="S411" i="6"/>
  <c r="S381" i="6"/>
  <c r="Q381" i="6"/>
  <c r="R381" i="6"/>
  <c r="AD35" i="7"/>
  <c r="R404" i="6"/>
  <c r="Q404" i="6"/>
  <c r="R388" i="6"/>
  <c r="Q388" i="6"/>
  <c r="S302" i="6"/>
  <c r="Q411" i="6"/>
  <c r="Q302" i="6"/>
  <c r="R265" i="6"/>
  <c r="Q265" i="6"/>
  <c r="AD23" i="7"/>
  <c r="Q212" i="6"/>
  <c r="AD21" i="7"/>
  <c r="S164" i="6"/>
  <c r="S151" i="6"/>
  <c r="Q151" i="6"/>
  <c r="S189" i="6"/>
  <c r="T14" i="7"/>
  <c r="S157" i="6"/>
  <c r="S166" i="6"/>
  <c r="Q126" i="6"/>
  <c r="S94" i="6"/>
  <c r="R30" i="6"/>
  <c r="Q30" i="6"/>
  <c r="Q110" i="6"/>
  <c r="Q119" i="6"/>
  <c r="Q76" i="6"/>
  <c r="R54" i="6"/>
  <c r="Q54" i="6"/>
  <c r="S54" i="6" s="1"/>
  <c r="D15" i="1"/>
  <c r="F29" i="1"/>
  <c r="F35" i="1"/>
  <c r="Q531" i="6"/>
  <c r="T31" i="7"/>
  <c r="Q361" i="6"/>
  <c r="Q47" i="7"/>
  <c r="Y15" i="7"/>
  <c r="W15" i="7"/>
  <c r="X15" i="7" s="1"/>
  <c r="Q32" i="7"/>
  <c r="Y30" i="7"/>
  <c r="W30" i="7"/>
  <c r="X30" i="7" s="1"/>
  <c r="M28" i="7"/>
  <c r="AD28" i="7" s="1"/>
  <c r="O325" i="6"/>
  <c r="O317" i="6"/>
  <c r="O318" i="6"/>
  <c r="O319" i="6"/>
  <c r="O320" i="6"/>
  <c r="O321" i="6"/>
  <c r="O322" i="6"/>
  <c r="O314" i="6"/>
  <c r="O323" i="6"/>
  <c r="O315" i="6"/>
  <c r="O324" i="6"/>
  <c r="O316" i="6"/>
  <c r="Q29" i="7"/>
  <c r="R29" i="7"/>
  <c r="P588" i="6"/>
  <c r="S588" i="6" s="1"/>
  <c r="P589" i="6"/>
  <c r="P580" i="6"/>
  <c r="P581" i="6"/>
  <c r="P582" i="6"/>
  <c r="P583" i="6"/>
  <c r="P584" i="6"/>
  <c r="P585" i="6"/>
  <c r="P586" i="6"/>
  <c r="P578" i="6"/>
  <c r="R578" i="6" s="1"/>
  <c r="P587" i="6"/>
  <c r="S587" i="6" s="1"/>
  <c r="P579" i="6"/>
  <c r="R579" i="6" s="1"/>
  <c r="Y11" i="7"/>
  <c r="W11" i="7"/>
  <c r="X11" i="7" s="1"/>
  <c r="O198" i="6"/>
  <c r="O199" i="6"/>
  <c r="O200" i="6"/>
  <c r="O201" i="6"/>
  <c r="O202" i="6"/>
  <c r="O194" i="6"/>
  <c r="O203" i="6"/>
  <c r="O195" i="6"/>
  <c r="O204" i="6"/>
  <c r="O196" i="6"/>
  <c r="O197" i="6"/>
  <c r="O205" i="6"/>
  <c r="S518" i="6"/>
  <c r="P277" i="6"/>
  <c r="P269" i="6"/>
  <c r="P270" i="6"/>
  <c r="P271" i="6"/>
  <c r="P272" i="6"/>
  <c r="P273" i="6"/>
  <c r="P274" i="6"/>
  <c r="P266" i="6"/>
  <c r="R266" i="6" s="1"/>
  <c r="P275" i="6"/>
  <c r="P267" i="6"/>
  <c r="P276" i="6"/>
  <c r="P268" i="6"/>
  <c r="S590" i="6"/>
  <c r="M19" i="7"/>
  <c r="O213" i="6"/>
  <c r="O214" i="6"/>
  <c r="O217" i="6"/>
  <c r="O206" i="6"/>
  <c r="O207" i="6"/>
  <c r="O216" i="6"/>
  <c r="O212" i="6"/>
  <c r="O208" i="6"/>
  <c r="O215" i="6"/>
  <c r="O209" i="6"/>
  <c r="O210" i="6"/>
  <c r="O211" i="6"/>
  <c r="Q579" i="6"/>
  <c r="Q470" i="6"/>
  <c r="S470" i="6" s="1"/>
  <c r="R523" i="6"/>
  <c r="Q523" i="6"/>
  <c r="Q534" i="6"/>
  <c r="S438" i="6"/>
  <c r="AD37" i="7"/>
  <c r="R396" i="6"/>
  <c r="Q396" i="6"/>
  <c r="S368" i="6"/>
  <c r="R411" i="6"/>
  <c r="U22" i="7"/>
  <c r="V22" i="7" s="1"/>
  <c r="W22" i="7" s="1"/>
  <c r="X22" i="7" s="1"/>
  <c r="R302" i="6"/>
  <c r="AD29" i="7"/>
  <c r="R249" i="6"/>
  <c r="Q249" i="6"/>
  <c r="Q233" i="6"/>
  <c r="S62" i="6"/>
  <c r="S105" i="6"/>
  <c r="S52" i="6"/>
  <c r="Q52" i="6"/>
  <c r="Q40" i="6"/>
  <c r="R40" i="6"/>
  <c r="R151" i="6"/>
  <c r="Q67" i="6"/>
  <c r="S67" i="6" s="1"/>
  <c r="S26" i="6"/>
  <c r="Q206" i="6"/>
  <c r="R182" i="6"/>
  <c r="Q182" i="6"/>
  <c r="S182" i="6" s="1"/>
  <c r="S44" i="6"/>
  <c r="Q44" i="6"/>
  <c r="S92" i="6"/>
  <c r="Q92" i="6"/>
  <c r="Q28" i="6"/>
  <c r="S28" i="6" s="1"/>
  <c r="AD6" i="7"/>
  <c r="Q159" i="6"/>
  <c r="S159" i="6" s="1"/>
  <c r="S31" i="6"/>
  <c r="Q31" i="6"/>
  <c r="C26" i="1"/>
  <c r="C32" i="1"/>
  <c r="F30" i="1"/>
  <c r="R540" i="6"/>
  <c r="Q540" i="6"/>
  <c r="S540" i="6" s="1"/>
  <c r="S510" i="6"/>
  <c r="T47" i="7"/>
  <c r="S553" i="6"/>
  <c r="S532" i="6"/>
  <c r="Q532" i="6"/>
  <c r="T39" i="7"/>
  <c r="S457" i="6"/>
  <c r="S389" i="6"/>
  <c r="Q389" i="6"/>
  <c r="S376" i="6"/>
  <c r="S365" i="6"/>
  <c r="Q365" i="6"/>
  <c r="R337" i="6"/>
  <c r="Q337" i="6"/>
  <c r="S194" i="6"/>
  <c r="S38" i="6"/>
  <c r="S81" i="6"/>
  <c r="S150" i="6"/>
  <c r="R70" i="6"/>
  <c r="Q70" i="6"/>
  <c r="S70" i="6" s="1"/>
  <c r="S41" i="6"/>
  <c r="Q41" i="6"/>
  <c r="Q118" i="6"/>
  <c r="R142" i="6"/>
  <c r="Q142" i="6"/>
  <c r="R102" i="6"/>
  <c r="Q102" i="6"/>
  <c r="F33" i="1"/>
  <c r="F31" i="1"/>
  <c r="F37" i="1"/>
  <c r="C33" i="1"/>
  <c r="R26" i="6"/>
  <c r="C36" i="1"/>
  <c r="C34" i="1"/>
  <c r="C27" i="1"/>
  <c r="A19" i="1"/>
  <c r="S561" i="6"/>
  <c r="S514" i="6"/>
  <c r="S545" i="6"/>
  <c r="R554" i="6"/>
  <c r="S523" i="6"/>
  <c r="R514" i="6"/>
  <c r="T41" i="7"/>
  <c r="S449" i="6"/>
  <c r="Q481" i="6"/>
  <c r="S481" i="6" s="1"/>
  <c r="Q465" i="6"/>
  <c r="S465" i="6" s="1"/>
  <c r="U38" i="7"/>
  <c r="V38" i="7" s="1"/>
  <c r="W38" i="7" s="1"/>
  <c r="X38" i="7" s="1"/>
  <c r="S404" i="6"/>
  <c r="S357" i="6"/>
  <c r="Q357" i="6"/>
  <c r="S266" i="6"/>
  <c r="Q266" i="6"/>
  <c r="R273" i="6"/>
  <c r="Q273" i="6"/>
  <c r="R257" i="6"/>
  <c r="Q257" i="6"/>
  <c r="Q278" i="6"/>
  <c r="Q230" i="6"/>
  <c r="S75" i="6"/>
  <c r="S142" i="6"/>
  <c r="S107" i="6"/>
  <c r="S87" i="6"/>
  <c r="R87" i="6"/>
  <c r="Q87" i="6"/>
  <c r="S174" i="6"/>
  <c r="Q84" i="6"/>
  <c r="S84" i="6" s="1"/>
  <c r="R68" i="6"/>
  <c r="R194" i="6"/>
  <c r="S141" i="6"/>
  <c r="R107" i="6"/>
  <c r="Q107" i="6"/>
  <c r="T7" i="7"/>
  <c r="S73" i="6"/>
  <c r="Q14" i="6"/>
  <c r="R134" i="6"/>
  <c r="Q134" i="6"/>
  <c r="S134" i="6" s="1"/>
  <c r="R81" i="6"/>
  <c r="R28" i="6"/>
  <c r="Q111" i="6"/>
  <c r="C28" i="1"/>
  <c r="F26" i="1"/>
  <c r="F32" i="1"/>
  <c r="Q108" i="6"/>
  <c r="S108" i="6" s="1"/>
  <c r="Q124" i="6"/>
  <c r="AC2" i="7"/>
  <c r="AD2" i="7" s="1"/>
  <c r="F28" i="1"/>
  <c r="C29" i="1"/>
  <c r="C35" i="1"/>
  <c r="Q68" i="6"/>
  <c r="S68" i="6" s="1"/>
  <c r="Q24" i="6"/>
  <c r="R158" i="6"/>
  <c r="Q158" i="6"/>
  <c r="S158" i="6" s="1"/>
  <c r="S106" i="6"/>
  <c r="R106" i="6"/>
  <c r="R51" i="6"/>
  <c r="Q51" i="6"/>
  <c r="S51" i="6" s="1"/>
  <c r="R79" i="6"/>
  <c r="Q79" i="6"/>
  <c r="S79" i="6" s="1"/>
  <c r="Y51" i="7"/>
  <c r="W51" i="7"/>
  <c r="X51" i="7" s="1"/>
  <c r="O301" i="6"/>
  <c r="O293" i="6"/>
  <c r="O294" i="6"/>
  <c r="O295" i="6"/>
  <c r="O296" i="6"/>
  <c r="O297" i="6"/>
  <c r="O298" i="6"/>
  <c r="O290" i="6"/>
  <c r="O299" i="6"/>
  <c r="O291" i="6"/>
  <c r="O300" i="6"/>
  <c r="O292" i="6"/>
  <c r="P361" i="6"/>
  <c r="R361" i="6" s="1"/>
  <c r="P354" i="6"/>
  <c r="P355" i="6"/>
  <c r="P357" i="6"/>
  <c r="P358" i="6"/>
  <c r="P359" i="6"/>
  <c r="P350" i="6"/>
  <c r="S350" i="6" s="1"/>
  <c r="P351" i="6"/>
  <c r="P352" i="6"/>
  <c r="P360" i="6"/>
  <c r="S360" i="6" s="1"/>
  <c r="P353" i="6"/>
  <c r="P356" i="6"/>
  <c r="R47" i="7"/>
  <c r="Y39" i="7"/>
  <c r="Z39" i="7" s="1"/>
  <c r="AA39" i="7" s="1"/>
  <c r="AB39" i="7" s="1"/>
  <c r="S566" i="6"/>
  <c r="S578" i="6"/>
  <c r="R590" i="6"/>
  <c r="M26" i="7"/>
  <c r="AD26" i="7" s="1"/>
  <c r="R547" i="6"/>
  <c r="Q547" i="6"/>
  <c r="S547" i="6" s="1"/>
  <c r="Q530" i="6"/>
  <c r="S530" i="6" s="1"/>
  <c r="T43" i="7"/>
  <c r="S505" i="6"/>
  <c r="S531" i="6"/>
  <c r="R553" i="6"/>
  <c r="Q511" i="6"/>
  <c r="S511" i="6" s="1"/>
  <c r="S555" i="6"/>
  <c r="R505" i="6"/>
  <c r="S473" i="6"/>
  <c r="R457" i="6"/>
  <c r="R446" i="6"/>
  <c r="S422" i="6"/>
  <c r="R449" i="6"/>
  <c r="S441" i="6"/>
  <c r="R376" i="6"/>
  <c r="Q367" i="6"/>
  <c r="S367" i="6" s="1"/>
  <c r="T34" i="7"/>
  <c r="S397" i="6"/>
  <c r="Q397" i="6"/>
  <c r="S372" i="6"/>
  <c r="R412" i="6"/>
  <c r="Q412" i="6"/>
  <c r="S412" i="6" s="1"/>
  <c r="R357" i="6"/>
  <c r="S326" i="6"/>
  <c r="AD30" i="7"/>
  <c r="Q326" i="6"/>
  <c r="AD25" i="7"/>
  <c r="Q225" i="6"/>
  <c r="S146" i="6"/>
  <c r="AD22" i="7"/>
  <c r="AD20" i="7"/>
  <c r="AD24" i="7"/>
  <c r="S204" i="6"/>
  <c r="R198" i="6"/>
  <c r="Q198" i="6"/>
  <c r="S167" i="6"/>
  <c r="Q167" i="6"/>
  <c r="S102" i="6"/>
  <c r="R86" i="6"/>
  <c r="Q86" i="6"/>
  <c r="S86" i="6" s="1"/>
  <c r="AD11" i="7"/>
  <c r="R44" i="6"/>
  <c r="Q199" i="6"/>
  <c r="S199" i="6" s="1"/>
  <c r="Q207" i="6"/>
  <c r="R99" i="6"/>
  <c r="Q99" i="6"/>
  <c r="S99" i="6" s="1"/>
  <c r="U4" i="7"/>
  <c r="V4" i="7" s="1"/>
  <c r="W4" i="7" s="1"/>
  <c r="X4" i="7" s="1"/>
  <c r="C31" i="1"/>
  <c r="F34" i="1"/>
  <c r="AC41" i="7" l="1"/>
  <c r="AD41" i="7" s="1"/>
  <c r="U41" i="7"/>
  <c r="V41" i="7" s="1"/>
  <c r="W41" i="7" s="1"/>
  <c r="X41" i="7" s="1"/>
  <c r="R275" i="6"/>
  <c r="S275" i="6"/>
  <c r="R277" i="6"/>
  <c r="S277" i="6"/>
  <c r="Z11" i="7"/>
  <c r="AA11" i="7" s="1"/>
  <c r="AB11" i="7" s="1"/>
  <c r="S582" i="6"/>
  <c r="R582" i="6"/>
  <c r="S579" i="6"/>
  <c r="R203" i="6"/>
  <c r="S203" i="6"/>
  <c r="S135" i="6"/>
  <c r="R135" i="6"/>
  <c r="R538" i="6"/>
  <c r="S538" i="6"/>
  <c r="Z48" i="7"/>
  <c r="AA48" i="7" s="1"/>
  <c r="AB48" i="7" s="1"/>
  <c r="S498" i="6"/>
  <c r="R498" i="6"/>
  <c r="Z40" i="7"/>
  <c r="AA40" i="7" s="1"/>
  <c r="AB40" i="7" s="1"/>
  <c r="R549" i="6"/>
  <c r="S549" i="6"/>
  <c r="R587" i="6"/>
  <c r="S485" i="6"/>
  <c r="R485" i="6"/>
  <c r="R489" i="6"/>
  <c r="S489" i="6"/>
  <c r="S181" i="6"/>
  <c r="R171" i="6"/>
  <c r="S171" i="6"/>
  <c r="R74" i="6"/>
  <c r="S74" i="6"/>
  <c r="R59" i="6"/>
  <c r="S59" i="6"/>
  <c r="S58" i="6"/>
  <c r="R58" i="6"/>
  <c r="R450" i="6"/>
  <c r="S450" i="6"/>
  <c r="R478" i="6"/>
  <c r="S478" i="6"/>
  <c r="R480" i="6"/>
  <c r="S480" i="6"/>
  <c r="S430" i="6"/>
  <c r="R430" i="6"/>
  <c r="Z3" i="7"/>
  <c r="AA3" i="7" s="1"/>
  <c r="AB3" i="7" s="1"/>
  <c r="Z14" i="7"/>
  <c r="AA14" i="7" s="1"/>
  <c r="AB14" i="7" s="1"/>
  <c r="Z9" i="7"/>
  <c r="AA9" i="7" s="1"/>
  <c r="AB9" i="7" s="1"/>
  <c r="Z2" i="7"/>
  <c r="AA2" i="7" s="1"/>
  <c r="Z43" i="7"/>
  <c r="AA43" i="7" s="1"/>
  <c r="AB43" i="7" s="1"/>
  <c r="Z28" i="7"/>
  <c r="AA28" i="7" s="1"/>
  <c r="AB28" i="7" s="1"/>
  <c r="Z6" i="7"/>
  <c r="AA6" i="7" s="1"/>
  <c r="AB6" i="7" s="1"/>
  <c r="Z25" i="7"/>
  <c r="AA25" i="7" s="1"/>
  <c r="AB25" i="7" s="1"/>
  <c r="Z42" i="7"/>
  <c r="AA42" i="7" s="1"/>
  <c r="AB42" i="7" s="1"/>
  <c r="Z38" i="7"/>
  <c r="AA38" i="7" s="1"/>
  <c r="AB38" i="7" s="1"/>
  <c r="Z18" i="7"/>
  <c r="AA18" i="7" s="1"/>
  <c r="AB18" i="7" s="1"/>
  <c r="Z10" i="7"/>
  <c r="AA10" i="7" s="1"/>
  <c r="AB10" i="7" s="1"/>
  <c r="Z23" i="7"/>
  <c r="AA23" i="7" s="1"/>
  <c r="AB23" i="7" s="1"/>
  <c r="Z33" i="7"/>
  <c r="AA33" i="7" s="1"/>
  <c r="AB33" i="7" s="1"/>
  <c r="Z50" i="7"/>
  <c r="AA50" i="7" s="1"/>
  <c r="AB50" i="7" s="1"/>
  <c r="Z26" i="7"/>
  <c r="AA26" i="7" s="1"/>
  <c r="AB26" i="7" s="1"/>
  <c r="Z35" i="7"/>
  <c r="AA35" i="7" s="1"/>
  <c r="AB35" i="7" s="1"/>
  <c r="Z20" i="7"/>
  <c r="AA20" i="7" s="1"/>
  <c r="AB20" i="7" s="1"/>
  <c r="Z44" i="7"/>
  <c r="AA44" i="7" s="1"/>
  <c r="AB44" i="7" s="1"/>
  <c r="Z34" i="7"/>
  <c r="AA34" i="7" s="1"/>
  <c r="AB34" i="7" s="1"/>
  <c r="S191" i="6"/>
  <c r="R191" i="6"/>
  <c r="R391" i="6"/>
  <c r="S391" i="6"/>
  <c r="R393" i="6"/>
  <c r="S393" i="6"/>
  <c r="R346" i="6"/>
  <c r="S346" i="6"/>
  <c r="R173" i="6"/>
  <c r="R42" i="6"/>
  <c r="S42" i="6"/>
  <c r="R379" i="6"/>
  <c r="R462" i="6"/>
  <c r="S462" i="6"/>
  <c r="R466" i="6"/>
  <c r="S466" i="6"/>
  <c r="S257" i="6"/>
  <c r="R261" i="6"/>
  <c r="S261" i="6"/>
  <c r="S336" i="6"/>
  <c r="R336" i="6"/>
  <c r="R524" i="6"/>
  <c r="S524" i="6"/>
  <c r="R251" i="6"/>
  <c r="S251" i="6"/>
  <c r="R253" i="6"/>
  <c r="S253" i="6"/>
  <c r="S581" i="6"/>
  <c r="R581" i="6"/>
  <c r="Z15" i="7"/>
  <c r="AA15" i="7" s="1"/>
  <c r="AB15" i="7" s="1"/>
  <c r="Z22" i="7"/>
  <c r="AA22" i="7" s="1"/>
  <c r="AB22" i="7" s="1"/>
  <c r="R140" i="6"/>
  <c r="S140" i="6"/>
  <c r="S378" i="6"/>
  <c r="R378" i="6"/>
  <c r="S495" i="6"/>
  <c r="R495" i="6"/>
  <c r="R497" i="6"/>
  <c r="S497" i="6"/>
  <c r="Z24" i="7"/>
  <c r="AA24" i="7" s="1"/>
  <c r="AB24" i="7" s="1"/>
  <c r="S548" i="6"/>
  <c r="R548" i="6"/>
  <c r="S493" i="6"/>
  <c r="R493" i="6"/>
  <c r="S488" i="6"/>
  <c r="R488" i="6"/>
  <c r="AC16" i="7"/>
  <c r="AD16" i="7" s="1"/>
  <c r="U16" i="7"/>
  <c r="V16" i="7" s="1"/>
  <c r="W16" i="7" s="1"/>
  <c r="X16" i="7" s="1"/>
  <c r="R179" i="6"/>
  <c r="S179" i="6"/>
  <c r="S82" i="6"/>
  <c r="R82" i="6"/>
  <c r="S57" i="6"/>
  <c r="R57" i="6"/>
  <c r="S447" i="6"/>
  <c r="R447" i="6"/>
  <c r="S477" i="6"/>
  <c r="R477" i="6"/>
  <c r="R429" i="6"/>
  <c r="S429" i="6"/>
  <c r="P229" i="6"/>
  <c r="P221" i="6"/>
  <c r="P222" i="6"/>
  <c r="P223" i="6"/>
  <c r="P224" i="6"/>
  <c r="P225" i="6"/>
  <c r="P226" i="6"/>
  <c r="P218" i="6"/>
  <c r="P227" i="6"/>
  <c r="P219" i="6"/>
  <c r="P228" i="6"/>
  <c r="P220" i="6"/>
  <c r="R445" i="6"/>
  <c r="S445" i="6"/>
  <c r="AD19" i="7"/>
  <c r="S187" i="6"/>
  <c r="R187" i="6"/>
  <c r="R390" i="6"/>
  <c r="S390" i="6"/>
  <c r="R341" i="6"/>
  <c r="S341" i="6"/>
  <c r="R345" i="6"/>
  <c r="S345" i="6"/>
  <c r="R403" i="6"/>
  <c r="S403" i="6"/>
  <c r="S542" i="6"/>
  <c r="R461" i="6"/>
  <c r="S461" i="6"/>
  <c r="S265" i="6"/>
  <c r="S333" i="6"/>
  <c r="R333" i="6"/>
  <c r="R327" i="6"/>
  <c r="S327" i="6"/>
  <c r="R521" i="6"/>
  <c r="S521" i="6"/>
  <c r="Z45" i="7"/>
  <c r="AA45" i="7" s="1"/>
  <c r="AB45" i="7" s="1"/>
  <c r="Z12" i="7"/>
  <c r="AA12" i="7" s="1"/>
  <c r="AB12" i="7" s="1"/>
  <c r="R363" i="6"/>
  <c r="S363" i="6"/>
  <c r="R360" i="6"/>
  <c r="Z36" i="7"/>
  <c r="AA36" i="7" s="1"/>
  <c r="AB36" i="7" s="1"/>
  <c r="S358" i="6"/>
  <c r="R358" i="6"/>
  <c r="R274" i="6"/>
  <c r="S274" i="6"/>
  <c r="Z4" i="7"/>
  <c r="AA4" i="7" s="1"/>
  <c r="AB4" i="7" s="1"/>
  <c r="S580" i="6"/>
  <c r="R580" i="6"/>
  <c r="R202" i="6"/>
  <c r="S202" i="6"/>
  <c r="S139" i="6"/>
  <c r="R139" i="6"/>
  <c r="S384" i="6"/>
  <c r="R384" i="6"/>
  <c r="R377" i="6"/>
  <c r="S377" i="6"/>
  <c r="S536" i="6"/>
  <c r="R536" i="6"/>
  <c r="G19" i="1"/>
  <c r="R496" i="6"/>
  <c r="S496" i="6"/>
  <c r="Z32" i="7"/>
  <c r="AA32" i="7" s="1"/>
  <c r="AB32" i="7" s="1"/>
  <c r="R544" i="6"/>
  <c r="S544" i="6"/>
  <c r="S484" i="6"/>
  <c r="R484" i="6"/>
  <c r="S56" i="6"/>
  <c r="R56" i="6"/>
  <c r="R455" i="6"/>
  <c r="S455" i="6"/>
  <c r="S476" i="6"/>
  <c r="R476" i="6"/>
  <c r="S428" i="6"/>
  <c r="R428" i="6"/>
  <c r="R436" i="6"/>
  <c r="S436" i="6"/>
  <c r="S186" i="6"/>
  <c r="R186" i="6"/>
  <c r="R349" i="6"/>
  <c r="S349" i="6"/>
  <c r="S344" i="6"/>
  <c r="R344" i="6"/>
  <c r="R400" i="6"/>
  <c r="S400" i="6"/>
  <c r="R402" i="6"/>
  <c r="S402" i="6"/>
  <c r="R143" i="6"/>
  <c r="S49" i="6"/>
  <c r="R49" i="6"/>
  <c r="S469" i="6"/>
  <c r="R469" i="6"/>
  <c r="R464" i="6"/>
  <c r="S464" i="6"/>
  <c r="R256" i="6"/>
  <c r="S256" i="6"/>
  <c r="R254" i="6"/>
  <c r="S332" i="6"/>
  <c r="R332" i="6"/>
  <c r="S335" i="6"/>
  <c r="R335" i="6"/>
  <c r="S529" i="6"/>
  <c r="R529" i="6"/>
  <c r="R250" i="6"/>
  <c r="S250" i="6"/>
  <c r="S364" i="6"/>
  <c r="R364" i="6"/>
  <c r="R371" i="6"/>
  <c r="S371" i="6"/>
  <c r="AC47" i="7"/>
  <c r="AD47" i="7" s="1"/>
  <c r="U47" i="7"/>
  <c r="V47" i="7" s="1"/>
  <c r="W47" i="7" s="1"/>
  <c r="X47" i="7" s="1"/>
  <c r="P214" i="6"/>
  <c r="P215" i="6"/>
  <c r="P216" i="6"/>
  <c r="P217" i="6"/>
  <c r="P207" i="6"/>
  <c r="P212" i="6"/>
  <c r="P208" i="6"/>
  <c r="P209" i="6"/>
  <c r="P210" i="6"/>
  <c r="P213" i="6"/>
  <c r="P211" i="6"/>
  <c r="P206" i="6"/>
  <c r="S273" i="6"/>
  <c r="S589" i="6"/>
  <c r="R589" i="6"/>
  <c r="P318" i="6"/>
  <c r="P319" i="6"/>
  <c r="P320" i="6"/>
  <c r="P321" i="6"/>
  <c r="P322" i="6"/>
  <c r="P314" i="6"/>
  <c r="P323" i="6"/>
  <c r="P315" i="6"/>
  <c r="P324" i="6"/>
  <c r="P316" i="6"/>
  <c r="P325" i="6"/>
  <c r="P317" i="6"/>
  <c r="R588" i="6"/>
  <c r="S197" i="6"/>
  <c r="R197" i="6"/>
  <c r="S201" i="6"/>
  <c r="R201" i="6"/>
  <c r="S138" i="6"/>
  <c r="R138" i="6"/>
  <c r="S385" i="6"/>
  <c r="R385" i="6"/>
  <c r="S535" i="6"/>
  <c r="R535" i="6"/>
  <c r="S502" i="6"/>
  <c r="R502" i="6"/>
  <c r="S380" i="6"/>
  <c r="R552" i="6"/>
  <c r="S552" i="6"/>
  <c r="S492" i="6"/>
  <c r="R492" i="6"/>
  <c r="S178" i="6"/>
  <c r="R178" i="6"/>
  <c r="S80" i="6"/>
  <c r="R80" i="6"/>
  <c r="R53" i="6"/>
  <c r="S53" i="6"/>
  <c r="S55" i="6"/>
  <c r="R55" i="6"/>
  <c r="S448" i="6"/>
  <c r="R448" i="6"/>
  <c r="S475" i="6"/>
  <c r="R475" i="6"/>
  <c r="S424" i="6"/>
  <c r="R424" i="6"/>
  <c r="R427" i="6"/>
  <c r="S427" i="6"/>
  <c r="S435" i="6"/>
  <c r="R435" i="6"/>
  <c r="S444" i="6"/>
  <c r="R444" i="6"/>
  <c r="S185" i="6"/>
  <c r="R185" i="6"/>
  <c r="S340" i="6"/>
  <c r="R340" i="6"/>
  <c r="R343" i="6"/>
  <c r="S343" i="6"/>
  <c r="R408" i="6"/>
  <c r="S408" i="6"/>
  <c r="R401" i="6"/>
  <c r="S401" i="6"/>
  <c r="S48" i="6"/>
  <c r="R48" i="6"/>
  <c r="S460" i="6"/>
  <c r="R460" i="6"/>
  <c r="R264" i="6"/>
  <c r="S264" i="6"/>
  <c r="R331" i="6"/>
  <c r="S331" i="6"/>
  <c r="S520" i="6"/>
  <c r="R520" i="6"/>
  <c r="S249" i="6"/>
  <c r="S362" i="6"/>
  <c r="R362" i="6"/>
  <c r="R359" i="6"/>
  <c r="S359" i="6"/>
  <c r="P294" i="6"/>
  <c r="P295" i="6"/>
  <c r="P296" i="6"/>
  <c r="P297" i="6"/>
  <c r="P298" i="6"/>
  <c r="P290" i="6"/>
  <c r="P299" i="6"/>
  <c r="P291" i="6"/>
  <c r="P300" i="6"/>
  <c r="P292" i="6"/>
  <c r="P301" i="6"/>
  <c r="P293" i="6"/>
  <c r="R356" i="6"/>
  <c r="S356" i="6"/>
  <c r="R350" i="6"/>
  <c r="R272" i="6"/>
  <c r="S272" i="6"/>
  <c r="R586" i="6"/>
  <c r="S586" i="6"/>
  <c r="Z41" i="7"/>
  <c r="AA41" i="7" s="1"/>
  <c r="AB41" i="7" s="1"/>
  <c r="S361" i="6"/>
  <c r="S205" i="6"/>
  <c r="R205" i="6"/>
  <c r="R200" i="6"/>
  <c r="S200" i="6"/>
  <c r="R137" i="6"/>
  <c r="S137" i="6"/>
  <c r="Z21" i="7"/>
  <c r="AA21" i="7" s="1"/>
  <c r="AB21" i="7" s="1"/>
  <c r="S383" i="6"/>
  <c r="R383" i="6"/>
  <c r="R539" i="6"/>
  <c r="S539" i="6"/>
  <c r="R533" i="6"/>
  <c r="S533" i="6"/>
  <c r="S537" i="6"/>
  <c r="P286" i="6"/>
  <c r="P287" i="6"/>
  <c r="P288" i="6"/>
  <c r="P289" i="6"/>
  <c r="P282" i="6"/>
  <c r="P283" i="6"/>
  <c r="P284" i="6"/>
  <c r="P285" i="6"/>
  <c r="P278" i="6"/>
  <c r="P279" i="6"/>
  <c r="P280" i="6"/>
  <c r="P281" i="6"/>
  <c r="S501" i="6"/>
  <c r="R501" i="6"/>
  <c r="R503" i="6"/>
  <c r="S503" i="6"/>
  <c r="S543" i="6"/>
  <c r="R543" i="6"/>
  <c r="S483" i="6"/>
  <c r="R483" i="6"/>
  <c r="S177" i="6"/>
  <c r="R177" i="6"/>
  <c r="S77" i="6"/>
  <c r="R77" i="6"/>
  <c r="R61" i="6"/>
  <c r="S61" i="6"/>
  <c r="S454" i="6"/>
  <c r="R454" i="6"/>
  <c r="R456" i="6"/>
  <c r="S456" i="6"/>
  <c r="R474" i="6"/>
  <c r="S474" i="6"/>
  <c r="R432" i="6"/>
  <c r="S432" i="6"/>
  <c r="S426" i="6"/>
  <c r="R426" i="6"/>
  <c r="R434" i="6"/>
  <c r="S434" i="6"/>
  <c r="S443" i="6"/>
  <c r="R443" i="6"/>
  <c r="S193" i="6"/>
  <c r="R193" i="6"/>
  <c r="R387" i="6"/>
  <c r="S387" i="6"/>
  <c r="R348" i="6"/>
  <c r="S348" i="6"/>
  <c r="R342" i="6"/>
  <c r="S342" i="6"/>
  <c r="R399" i="6"/>
  <c r="S399" i="6"/>
  <c r="R409" i="6"/>
  <c r="S409" i="6"/>
  <c r="S468" i="6"/>
  <c r="R468" i="6"/>
  <c r="Z29" i="7"/>
  <c r="AA29" i="7" s="1"/>
  <c r="AB29" i="7" s="1"/>
  <c r="S255" i="6"/>
  <c r="R255" i="6"/>
  <c r="R330" i="6"/>
  <c r="S330" i="6"/>
  <c r="R334" i="6"/>
  <c r="S334" i="6"/>
  <c r="S528" i="6"/>
  <c r="R528" i="6"/>
  <c r="S248" i="6"/>
  <c r="R248" i="6"/>
  <c r="S370" i="6"/>
  <c r="R370" i="6"/>
  <c r="S188" i="6"/>
  <c r="R369" i="6"/>
  <c r="R353" i="6"/>
  <c r="S353" i="6"/>
  <c r="R355" i="6"/>
  <c r="S355" i="6"/>
  <c r="Z51" i="7"/>
  <c r="AA51" i="7" s="1"/>
  <c r="AB51" i="7" s="1"/>
  <c r="R354" i="6"/>
  <c r="S354" i="6"/>
  <c r="A10" i="1"/>
  <c r="AC7" i="7"/>
  <c r="AD7" i="7" s="1"/>
  <c r="U7" i="7"/>
  <c r="V7" i="7" s="1"/>
  <c r="W7" i="7" s="1"/>
  <c r="X7" i="7" s="1"/>
  <c r="Z27" i="7"/>
  <c r="AA27" i="7" s="1"/>
  <c r="AB27" i="7" s="1"/>
  <c r="R268" i="6"/>
  <c r="S268" i="6"/>
  <c r="R271" i="6"/>
  <c r="S271" i="6"/>
  <c r="R585" i="6"/>
  <c r="S585" i="6"/>
  <c r="AC31" i="7"/>
  <c r="AD31" i="7" s="1"/>
  <c r="U31" i="7"/>
  <c r="V31" i="7" s="1"/>
  <c r="W31" i="7" s="1"/>
  <c r="X31" i="7" s="1"/>
  <c r="AD12" i="7"/>
  <c r="Z8" i="7"/>
  <c r="AA8" i="7" s="1"/>
  <c r="AB8" i="7" s="1"/>
  <c r="S196" i="6"/>
  <c r="R196" i="6"/>
  <c r="S145" i="6"/>
  <c r="R145" i="6"/>
  <c r="Z19" i="7"/>
  <c r="AA19" i="7" s="1"/>
  <c r="AB19" i="7" s="1"/>
  <c r="R374" i="6"/>
  <c r="S374" i="6"/>
  <c r="S534" i="6"/>
  <c r="R541" i="6"/>
  <c r="S541" i="6"/>
  <c r="Z49" i="7"/>
  <c r="AA49" i="7" s="1"/>
  <c r="AB49" i="7" s="1"/>
  <c r="S500" i="6"/>
  <c r="R500" i="6"/>
  <c r="Z37" i="7"/>
  <c r="AA37" i="7" s="1"/>
  <c r="AB37" i="7" s="1"/>
  <c r="Z7" i="7"/>
  <c r="AA7" i="7" s="1"/>
  <c r="AB7" i="7" s="1"/>
  <c r="R551" i="6"/>
  <c r="S551" i="6"/>
  <c r="S491" i="6"/>
  <c r="R491" i="6"/>
  <c r="R176" i="6"/>
  <c r="S176" i="6"/>
  <c r="S85" i="6"/>
  <c r="R85" i="6"/>
  <c r="Z17" i="7"/>
  <c r="AA17" i="7" s="1"/>
  <c r="AB17" i="7" s="1"/>
  <c r="Z16" i="7"/>
  <c r="AA16" i="7" s="1"/>
  <c r="AB16" i="7" s="1"/>
  <c r="R453" i="6"/>
  <c r="S453" i="6"/>
  <c r="S471" i="6"/>
  <c r="R471" i="6"/>
  <c r="S423" i="6"/>
  <c r="R423" i="6"/>
  <c r="R425" i="6"/>
  <c r="S425" i="6"/>
  <c r="R442" i="6"/>
  <c r="S442" i="6"/>
  <c r="R184" i="6"/>
  <c r="S184" i="6"/>
  <c r="S395" i="6"/>
  <c r="R395" i="6"/>
  <c r="R339" i="6"/>
  <c r="S339" i="6"/>
  <c r="R407" i="6"/>
  <c r="S407" i="6"/>
  <c r="S46" i="6"/>
  <c r="R47" i="6"/>
  <c r="S47" i="6"/>
  <c r="S459" i="6"/>
  <c r="R459" i="6"/>
  <c r="R260" i="6"/>
  <c r="S260" i="6"/>
  <c r="S263" i="6"/>
  <c r="R263" i="6"/>
  <c r="S329" i="6"/>
  <c r="R329" i="6"/>
  <c r="R244" i="6"/>
  <c r="S244" i="6"/>
  <c r="S247" i="6"/>
  <c r="R247" i="6"/>
  <c r="AC39" i="7"/>
  <c r="AD39" i="7" s="1"/>
  <c r="U39" i="7"/>
  <c r="V39" i="7" s="1"/>
  <c r="W39" i="7" s="1"/>
  <c r="X39" i="7" s="1"/>
  <c r="S276" i="6"/>
  <c r="R276" i="6"/>
  <c r="R270" i="6"/>
  <c r="S270" i="6"/>
  <c r="R584" i="6"/>
  <c r="S584" i="6"/>
  <c r="Z30" i="7"/>
  <c r="AA30" i="7" s="1"/>
  <c r="AB30" i="7" s="1"/>
  <c r="AC14" i="7"/>
  <c r="AD14" i="7" s="1"/>
  <c r="U14" i="7"/>
  <c r="V14" i="7" s="1"/>
  <c r="W14" i="7" s="1"/>
  <c r="X14" i="7" s="1"/>
  <c r="S136" i="6"/>
  <c r="R136" i="6"/>
  <c r="R382" i="6"/>
  <c r="S382" i="6"/>
  <c r="S504" i="6"/>
  <c r="R504" i="6"/>
  <c r="Z46" i="7"/>
  <c r="AA46" i="7" s="1"/>
  <c r="AB46" i="7" s="1"/>
  <c r="S487" i="6"/>
  <c r="R487" i="6"/>
  <c r="R482" i="6"/>
  <c r="S482" i="6"/>
  <c r="R172" i="6"/>
  <c r="S172" i="6"/>
  <c r="S175" i="6"/>
  <c r="R175" i="6"/>
  <c r="S60" i="6"/>
  <c r="R60" i="6"/>
  <c r="S452" i="6"/>
  <c r="R452" i="6"/>
  <c r="S479" i="6"/>
  <c r="R479" i="6"/>
  <c r="R431" i="6"/>
  <c r="S431" i="6"/>
  <c r="R433" i="6"/>
  <c r="S433" i="6"/>
  <c r="R437" i="6"/>
  <c r="S437" i="6"/>
  <c r="S192" i="6"/>
  <c r="R192" i="6"/>
  <c r="S386" i="6"/>
  <c r="R386" i="6"/>
  <c r="S347" i="6"/>
  <c r="R347" i="6"/>
  <c r="Z47" i="7"/>
  <c r="AA47" i="7" s="1"/>
  <c r="AB47" i="7" s="1"/>
  <c r="R398" i="6"/>
  <c r="S398" i="6"/>
  <c r="Z13" i="7"/>
  <c r="AA13" i="7" s="1"/>
  <c r="AB13" i="7" s="1"/>
  <c r="S45" i="6"/>
  <c r="R45" i="6"/>
  <c r="P127" i="6"/>
  <c r="P128" i="6"/>
  <c r="P129" i="6"/>
  <c r="P130" i="6"/>
  <c r="P122" i="6"/>
  <c r="P131" i="6"/>
  <c r="P123" i="6"/>
  <c r="P132" i="6"/>
  <c r="P124" i="6"/>
  <c r="P133" i="6"/>
  <c r="P125" i="6"/>
  <c r="P126" i="6"/>
  <c r="S467" i="6"/>
  <c r="R467" i="6"/>
  <c r="R259" i="6"/>
  <c r="S259" i="6"/>
  <c r="R527" i="6"/>
  <c r="S527" i="6"/>
  <c r="S252" i="6"/>
  <c r="R252" i="6"/>
  <c r="R246" i="6"/>
  <c r="S246" i="6"/>
  <c r="S366" i="6"/>
  <c r="R366" i="6"/>
  <c r="S352" i="6"/>
  <c r="R352" i="6"/>
  <c r="AC34" i="7"/>
  <c r="AD34" i="7" s="1"/>
  <c r="U34" i="7"/>
  <c r="V34" i="7" s="1"/>
  <c r="W34" i="7" s="1"/>
  <c r="X34" i="7" s="1"/>
  <c r="AC43" i="7"/>
  <c r="AD43" i="7" s="1"/>
  <c r="U43" i="7"/>
  <c r="V43" i="7" s="1"/>
  <c r="W43" i="7" s="1"/>
  <c r="X43" i="7" s="1"/>
  <c r="R351" i="6"/>
  <c r="S351" i="6"/>
  <c r="R534" i="6"/>
  <c r="S267" i="6"/>
  <c r="R267" i="6"/>
  <c r="S269" i="6"/>
  <c r="R269" i="6"/>
  <c r="S583" i="6"/>
  <c r="R583" i="6"/>
  <c r="S76" i="6"/>
  <c r="S195" i="6"/>
  <c r="R195" i="6"/>
  <c r="R144" i="6"/>
  <c r="S144" i="6"/>
  <c r="Z31" i="7"/>
  <c r="AA31" i="7" s="1"/>
  <c r="AB31" i="7" s="1"/>
  <c r="P24" i="6"/>
  <c r="P17" i="6"/>
  <c r="P18" i="6"/>
  <c r="P19" i="6"/>
  <c r="P25" i="6"/>
  <c r="P20" i="6"/>
  <c r="P21" i="6"/>
  <c r="P22" i="6"/>
  <c r="P14" i="6"/>
  <c r="P23" i="6"/>
  <c r="P15" i="6"/>
  <c r="P16" i="6"/>
  <c r="AD3" i="7"/>
  <c r="S499" i="6"/>
  <c r="R499" i="6"/>
  <c r="P119" i="6"/>
  <c r="P111" i="6"/>
  <c r="P120" i="6"/>
  <c r="P112" i="6"/>
  <c r="P121" i="6"/>
  <c r="P113" i="6"/>
  <c r="P114" i="6"/>
  <c r="P115" i="6"/>
  <c r="P116" i="6"/>
  <c r="P117" i="6"/>
  <c r="P118" i="6"/>
  <c r="P110" i="6"/>
  <c r="P237" i="6"/>
  <c r="P238" i="6"/>
  <c r="P230" i="6"/>
  <c r="P239" i="6"/>
  <c r="P231" i="6"/>
  <c r="P240" i="6"/>
  <c r="P232" i="6"/>
  <c r="P241" i="6"/>
  <c r="P233" i="6"/>
  <c r="P234" i="6"/>
  <c r="P235" i="6"/>
  <c r="P236" i="6"/>
  <c r="S550" i="6"/>
  <c r="R550" i="6"/>
  <c r="S486" i="6"/>
  <c r="R486" i="6"/>
  <c r="S490" i="6"/>
  <c r="R490" i="6"/>
  <c r="AC32" i="7"/>
  <c r="AD32" i="7" s="1"/>
  <c r="U32" i="7"/>
  <c r="V32" i="7" s="1"/>
  <c r="W32" i="7" s="1"/>
  <c r="X32" i="7" s="1"/>
  <c r="S50" i="6"/>
  <c r="R50" i="6"/>
  <c r="S451" i="6"/>
  <c r="R451" i="6"/>
  <c r="S472" i="6"/>
  <c r="R472" i="6"/>
  <c r="R439" i="6"/>
  <c r="S439" i="6"/>
  <c r="S183" i="6"/>
  <c r="R183" i="6"/>
  <c r="S392" i="6"/>
  <c r="R392" i="6"/>
  <c r="R394" i="6"/>
  <c r="S394" i="6"/>
  <c r="R406" i="6"/>
  <c r="S406" i="6"/>
  <c r="R463" i="6"/>
  <c r="S463" i="6"/>
  <c r="S458" i="6"/>
  <c r="R458" i="6"/>
  <c r="R258" i="6"/>
  <c r="S258" i="6"/>
  <c r="R262" i="6"/>
  <c r="S262" i="6"/>
  <c r="R328" i="6"/>
  <c r="S328" i="6"/>
  <c r="R525" i="6"/>
  <c r="S525" i="6"/>
  <c r="S243" i="6"/>
  <c r="R243" i="6"/>
  <c r="R245" i="6"/>
  <c r="S245" i="6"/>
  <c r="Z5" i="7"/>
  <c r="AA5" i="7" s="1"/>
  <c r="AB5" i="7" s="1"/>
  <c r="R19" i="6" l="1"/>
  <c r="S19" i="6"/>
  <c r="R234" i="6"/>
  <c r="S234" i="6"/>
  <c r="R238" i="6"/>
  <c r="S238" i="6"/>
  <c r="R113" i="6"/>
  <c r="S113" i="6"/>
  <c r="R25" i="6"/>
  <c r="S25" i="6"/>
  <c r="S133" i="6"/>
  <c r="R133" i="6"/>
  <c r="S128" i="6"/>
  <c r="R128" i="6"/>
  <c r="E58" i="1"/>
  <c r="S278" i="6"/>
  <c r="R278" i="6"/>
  <c r="R286" i="6"/>
  <c r="S286" i="6"/>
  <c r="S293" i="6"/>
  <c r="R293" i="6"/>
  <c r="R297" i="6"/>
  <c r="S297" i="6"/>
  <c r="S323" i="6"/>
  <c r="R323" i="6"/>
  <c r="R212" i="6"/>
  <c r="S212" i="6"/>
  <c r="R220" i="6"/>
  <c r="S220" i="6"/>
  <c r="S223" i="6"/>
  <c r="R223" i="6"/>
  <c r="AB2" i="7"/>
  <c r="G62" i="1"/>
  <c r="D62" i="1"/>
  <c r="A62" i="1"/>
  <c r="R228" i="6"/>
  <c r="S228" i="6"/>
  <c r="S222" i="6"/>
  <c r="R222" i="6"/>
  <c r="R16" i="6"/>
  <c r="S16" i="6"/>
  <c r="R296" i="6"/>
  <c r="S296" i="6"/>
  <c r="S110" i="6"/>
  <c r="R110" i="6"/>
  <c r="R112" i="6"/>
  <c r="S112" i="6"/>
  <c r="R15" i="6"/>
  <c r="S15" i="6"/>
  <c r="R18" i="6"/>
  <c r="S18" i="6"/>
  <c r="R132" i="6"/>
  <c r="S132" i="6"/>
  <c r="S284" i="6"/>
  <c r="R284" i="6"/>
  <c r="S292" i="6"/>
  <c r="R292" i="6"/>
  <c r="R295" i="6"/>
  <c r="S295" i="6"/>
  <c r="S322" i="6"/>
  <c r="R322" i="6"/>
  <c r="S206" i="6"/>
  <c r="R206" i="6"/>
  <c r="S217" i="6"/>
  <c r="R217" i="6"/>
  <c r="S219" i="6"/>
  <c r="R219" i="6"/>
  <c r="R221" i="6"/>
  <c r="S221" i="6"/>
  <c r="S233" i="6"/>
  <c r="R233" i="6"/>
  <c r="R127" i="6"/>
  <c r="S127" i="6"/>
  <c r="R285" i="6"/>
  <c r="S285" i="6"/>
  <c r="S301" i="6"/>
  <c r="R301" i="6"/>
  <c r="S314" i="6"/>
  <c r="R314" i="6"/>
  <c r="R207" i="6"/>
  <c r="S207" i="6"/>
  <c r="S241" i="6"/>
  <c r="R241" i="6"/>
  <c r="S232" i="6"/>
  <c r="R232" i="6"/>
  <c r="S118" i="6"/>
  <c r="R118" i="6"/>
  <c r="R120" i="6"/>
  <c r="S120" i="6"/>
  <c r="S23" i="6"/>
  <c r="R23" i="6"/>
  <c r="S17" i="6"/>
  <c r="R17" i="6"/>
  <c r="R123" i="6"/>
  <c r="S123" i="6"/>
  <c r="S283" i="6"/>
  <c r="R283" i="6"/>
  <c r="S300" i="6"/>
  <c r="R300" i="6"/>
  <c r="S294" i="6"/>
  <c r="R294" i="6"/>
  <c r="S317" i="6"/>
  <c r="R317" i="6"/>
  <c r="R321" i="6"/>
  <c r="S321" i="6"/>
  <c r="R211" i="6"/>
  <c r="S211" i="6"/>
  <c r="R216" i="6"/>
  <c r="S216" i="6"/>
  <c r="R227" i="6"/>
  <c r="S227" i="6"/>
  <c r="R229" i="6"/>
  <c r="S229" i="6"/>
  <c r="S237" i="6"/>
  <c r="R237" i="6"/>
  <c r="S240" i="6"/>
  <c r="R240" i="6"/>
  <c r="S117" i="6"/>
  <c r="R117" i="6"/>
  <c r="S111" i="6"/>
  <c r="R111" i="6"/>
  <c r="D19" i="1"/>
  <c r="R14" i="6"/>
  <c r="I19" i="1" s="1"/>
  <c r="S14" i="6"/>
  <c r="S24" i="6"/>
  <c r="R24" i="6"/>
  <c r="R131" i="6"/>
  <c r="S131" i="6"/>
  <c r="S282" i="6"/>
  <c r="R282" i="6"/>
  <c r="R291" i="6"/>
  <c r="S291" i="6"/>
  <c r="S325" i="6"/>
  <c r="R325" i="6"/>
  <c r="S320" i="6"/>
  <c r="R320" i="6"/>
  <c r="R213" i="6"/>
  <c r="S213" i="6"/>
  <c r="S215" i="6"/>
  <c r="R215" i="6"/>
  <c r="R218" i="6"/>
  <c r="S218" i="6"/>
  <c r="R121" i="6"/>
  <c r="S121" i="6"/>
  <c r="S231" i="6"/>
  <c r="R231" i="6"/>
  <c r="R116" i="6"/>
  <c r="S116" i="6"/>
  <c r="S119" i="6"/>
  <c r="R119" i="6"/>
  <c r="S22" i="6"/>
  <c r="R22" i="6"/>
  <c r="S122" i="6"/>
  <c r="R122" i="6"/>
  <c r="S281" i="6"/>
  <c r="R281" i="6"/>
  <c r="R289" i="6"/>
  <c r="S289" i="6"/>
  <c r="R299" i="6"/>
  <c r="S299" i="6"/>
  <c r="S316" i="6"/>
  <c r="R316" i="6"/>
  <c r="R319" i="6"/>
  <c r="S319" i="6"/>
  <c r="R210" i="6"/>
  <c r="S210" i="6"/>
  <c r="R214" i="6"/>
  <c r="S214" i="6"/>
  <c r="S226" i="6"/>
  <c r="R226" i="6"/>
  <c r="R124" i="6"/>
  <c r="S124" i="6"/>
  <c r="S239" i="6"/>
  <c r="R239" i="6"/>
  <c r="S130" i="6"/>
  <c r="R130" i="6"/>
  <c r="S280" i="6"/>
  <c r="R280" i="6"/>
  <c r="S288" i="6"/>
  <c r="R288" i="6"/>
  <c r="S290" i="6"/>
  <c r="R290" i="6"/>
  <c r="S324" i="6"/>
  <c r="R324" i="6"/>
  <c r="R318" i="6"/>
  <c r="S318" i="6"/>
  <c r="S209" i="6"/>
  <c r="R209" i="6"/>
  <c r="S225" i="6"/>
  <c r="R225" i="6"/>
  <c r="R236" i="6"/>
  <c r="S236" i="6"/>
  <c r="R115" i="6"/>
  <c r="S115" i="6"/>
  <c r="S21" i="6"/>
  <c r="R21" i="6"/>
  <c r="S126" i="6"/>
  <c r="R126" i="6"/>
  <c r="R235" i="6"/>
  <c r="S235" i="6"/>
  <c r="R230" i="6"/>
  <c r="S230" i="6"/>
  <c r="S114" i="6"/>
  <c r="R114" i="6"/>
  <c r="S20" i="6"/>
  <c r="R20" i="6"/>
  <c r="S125" i="6"/>
  <c r="R125" i="6"/>
  <c r="S129" i="6"/>
  <c r="R129" i="6"/>
  <c r="S279" i="6"/>
  <c r="R279" i="6"/>
  <c r="S287" i="6"/>
  <c r="R287" i="6"/>
  <c r="S298" i="6"/>
  <c r="R298" i="6"/>
  <c r="S315" i="6"/>
  <c r="R315" i="6"/>
  <c r="S208" i="6"/>
  <c r="R208" i="6"/>
  <c r="R224" i="6"/>
  <c r="S224" i="6"/>
  <c r="A2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<sst xmlns="http://schemas.openxmlformats.org/spreadsheetml/2006/main" count="10168" uniqueCount="213">
  <si>
    <t>Inventory Management Dashboard</t>
  </si>
  <si>
    <t>Mobile accessories store - 1 year (Jan-Dec)</t>
  </si>
  <si>
    <t>Month:</t>
  </si>
  <si>
    <t>All</t>
  </si>
  <si>
    <t>Category:</t>
  </si>
  <si>
    <t>Product:</t>
  </si>
  <si>
    <t>Note: Cost Metrics, Stock/Reorder, Sales Analysis and Health Check below respond to these filters. Overall totals (Layer 1) never change.</t>
  </si>
  <si>
    <t>Layer 1  -  Overall Totals (always unfiltered)</t>
  </si>
  <si>
    <t>Total Stock Available (Units)</t>
  </si>
  <si>
    <t>Total Cost of Inventory (Rs)</t>
  </si>
  <si>
    <t>Layer 2  -  Cost Metrics (filtered)</t>
  </si>
  <si>
    <t>Ordering Cost / Order (Rs)</t>
  </si>
  <si>
    <t>Value at Cost (Filtered, Rs)</t>
  </si>
  <si>
    <t>Overstock / Slow-Moving Value (Filtered, Rs)</t>
  </si>
  <si>
    <t>Layer 3  -  Stock Availability &amp; Reorder Status (filtered)</t>
  </si>
  <si>
    <t>Current Stock (Units)</t>
  </si>
  <si>
    <t>Reorder Level (Units)</t>
  </si>
  <si>
    <t>Safety Stock (Units)</t>
  </si>
  <si>
    <t>Avg Days Until Reorder (ALARM if low)</t>
  </si>
  <si>
    <t>Products Needing Reorder Now (count, filtered)</t>
  </si>
  <si>
    <t>Tip: open the Calculations sheet and use the column filter arrows for the full row-by-row list.</t>
  </si>
  <si>
    <t>Layer 4  -  Sales Analysis (filtered, by month)</t>
  </si>
  <si>
    <t>Month</t>
  </si>
  <si>
    <t>Units Sold</t>
  </si>
  <si>
    <t>Cost (Rs)</t>
  </si>
  <si>
    <t>Category</t>
  </si>
  <si>
    <t>Cost Contribution (Rs)</t>
  </si>
  <si>
    <t>Jan</t>
  </si>
  <si>
    <t>Accessories</t>
  </si>
  <si>
    <t>Feb</t>
  </si>
  <si>
    <t>Audio</t>
  </si>
  <si>
    <t>Mar</t>
  </si>
  <si>
    <t>Cables</t>
  </si>
  <si>
    <t>Apr</t>
  </si>
  <si>
    <t>Cases</t>
  </si>
  <si>
    <t>May</t>
  </si>
  <si>
    <t>Chargers</t>
  </si>
  <si>
    <t>Jun</t>
  </si>
  <si>
    <t>Gaming</t>
  </si>
  <si>
    <t>Jul</t>
  </si>
  <si>
    <t>Peripherals</t>
  </si>
  <si>
    <t>Aug</t>
  </si>
  <si>
    <t>Power Banks</t>
  </si>
  <si>
    <t>Sep</t>
  </si>
  <si>
    <t>Screen Protection</t>
  </si>
  <si>
    <t>Oct</t>
  </si>
  <si>
    <t>Storage</t>
  </si>
  <si>
    <t>Nov</t>
  </si>
  <si>
    <t>Wearable Accessories</t>
  </si>
  <si>
    <t>Dec</t>
  </si>
  <si>
    <t>Wearables</t>
  </si>
  <si>
    <t>Layer 5  -  Health Check: Avg Sales/Day, Turnover Ratio, ABC Category (filtered)</t>
  </si>
  <si>
    <t>Avg Sales per Day (Units)</t>
  </si>
  <si>
    <t>Inventory Turnover Ratio</t>
  </si>
  <si>
    <t>ABC Class</t>
  </si>
  <si>
    <t>ABC value split (% of total value in filtered scope) - shown when Product = All</t>
  </si>
  <si>
    <t>Class A - % of Value</t>
  </si>
  <si>
    <t>Class B - % of Value</t>
  </si>
  <si>
    <t>Class C - % of Value</t>
  </si>
  <si>
    <t>Reviewing frequency policy:  Class A = Weekly   |   Class B = Monthly   |   Class C = Quarterly</t>
  </si>
  <si>
    <t>Product ID</t>
  </si>
  <si>
    <t>Product Name</t>
  </si>
  <si>
    <t>Supplier</t>
  </si>
  <si>
    <t>Lead Time (Days)</t>
  </si>
  <si>
    <t>Cost per Unit (Rs)</t>
  </si>
  <si>
    <t>Ordering Cost per Order (Rs)</t>
  </si>
  <si>
    <t>Holding Cost per Unit per Year (Rs)</t>
  </si>
  <si>
    <t>SKU001</t>
  </si>
  <si>
    <t>Wireless Earbuds Pro</t>
  </si>
  <si>
    <t>Shenzhen Tech Traders</t>
  </si>
  <si>
    <t>SKU002</t>
  </si>
  <si>
    <t>Bluetooth Speaker Mini</t>
  </si>
  <si>
    <t>Metro Electronics Wholesale</t>
  </si>
  <si>
    <t>SKU003</t>
  </si>
  <si>
    <t>Bluetooth Speaker XL</t>
  </si>
  <si>
    <t>SKU004</t>
  </si>
  <si>
    <t>Wired Earphones Basic</t>
  </si>
  <si>
    <t>Coastal Import Export</t>
  </si>
  <si>
    <t>SKU005</t>
  </si>
  <si>
    <t>Noise Cancelling Headphones</t>
  </si>
  <si>
    <t>Global Accessories Co.</t>
  </si>
  <si>
    <t>SKU006</t>
  </si>
  <si>
    <t>USB-C Charging Cable 1m</t>
  </si>
  <si>
    <t>SKU007</t>
  </si>
  <si>
    <t>USB-C Charging Cable 2m</t>
  </si>
  <si>
    <t>SKU008</t>
  </si>
  <si>
    <t>Lightning Cable 1m</t>
  </si>
  <si>
    <t>SKU009</t>
  </si>
  <si>
    <t>Micro USB Cable</t>
  </si>
  <si>
    <t>SKU010</t>
  </si>
  <si>
    <t>HDMI Cable 2m</t>
  </si>
  <si>
    <t>SKU011</t>
  </si>
  <si>
    <t>20W Fast Charger Adapter</t>
  </si>
  <si>
    <t>Prime Gadget Distributors</t>
  </si>
  <si>
    <t>SKU012</t>
  </si>
  <si>
    <t>65W GaN Charger</t>
  </si>
  <si>
    <t>SKU013</t>
  </si>
  <si>
    <t>Wireless Charging Pad</t>
  </si>
  <si>
    <t>SKU014</t>
  </si>
  <si>
    <t>Car Charger Dual Port</t>
  </si>
  <si>
    <t>SKU015</t>
  </si>
  <si>
    <t>Power Bank 10000mAh</t>
  </si>
  <si>
    <t>SKU016</t>
  </si>
  <si>
    <t>Power Bank 20000mAh</t>
  </si>
  <si>
    <t>SKU017</t>
  </si>
  <si>
    <t>Power Bank 5000mAh Slim</t>
  </si>
  <si>
    <t>SKU018</t>
  </si>
  <si>
    <t>Clear Phone Case - iPhone</t>
  </si>
  <si>
    <t>SKU019</t>
  </si>
  <si>
    <t>Clear Phone Case - Samsung</t>
  </si>
  <si>
    <t>SKU020</t>
  </si>
  <si>
    <t>Rugged Phone Case - iPhone</t>
  </si>
  <si>
    <t>SKU021</t>
  </si>
  <si>
    <t>Rugged Phone Case - Samsung</t>
  </si>
  <si>
    <t>SKU022</t>
  </si>
  <si>
    <t>Leather Wallet Case</t>
  </si>
  <si>
    <t>SKU023</t>
  </si>
  <si>
    <t>Tempered Glass Screen Protector</t>
  </si>
  <si>
    <t>SKU024</t>
  </si>
  <si>
    <t>Privacy Screen Protector</t>
  </si>
  <si>
    <t>SKU025</t>
  </si>
  <si>
    <t>Camera Lens Protector</t>
  </si>
  <si>
    <t>SKU026</t>
  </si>
  <si>
    <t>Phone Stand Adjustable</t>
  </si>
  <si>
    <t>SKU027</t>
  </si>
  <si>
    <t>Tablet Stand</t>
  </si>
  <si>
    <t>SKU028</t>
  </si>
  <si>
    <t>Car Phone Mount</t>
  </si>
  <si>
    <t>SKU029</t>
  </si>
  <si>
    <t>Ring Light with Stand</t>
  </si>
  <si>
    <t>SKU030</t>
  </si>
  <si>
    <t>Selfie Stick with Tripod</t>
  </si>
  <si>
    <t>SKU031</t>
  </si>
  <si>
    <t>Bluetooth Keyboard</t>
  </si>
  <si>
    <t>SKU032</t>
  </si>
  <si>
    <t>Wireless Mouse</t>
  </si>
  <si>
    <t>SKU033</t>
  </si>
  <si>
    <t>USB Hub 4-Port</t>
  </si>
  <si>
    <t>SKU034</t>
  </si>
  <si>
    <t>Laptop Cooling Pad</t>
  </si>
  <si>
    <t>SKU035</t>
  </si>
  <si>
    <t>Webcam 1080p</t>
  </si>
  <si>
    <t>SKU036</t>
  </si>
  <si>
    <t>Smartwatch Band - Silicone</t>
  </si>
  <si>
    <t>SKU037</t>
  </si>
  <si>
    <t>Smartwatch Band - Metal</t>
  </si>
  <si>
    <t>SKU038</t>
  </si>
  <si>
    <t>Smartwatch Screen Protector</t>
  </si>
  <si>
    <t>SKU039</t>
  </si>
  <si>
    <t>Fitness Tracker Basic</t>
  </si>
  <si>
    <t>SKU040</t>
  </si>
  <si>
    <t>Smartwatch Entry Model</t>
  </si>
  <si>
    <t>SKU041</t>
  </si>
  <si>
    <t>Memory Card 64GB</t>
  </si>
  <si>
    <t>SKU042</t>
  </si>
  <si>
    <t>Memory Card 128GB</t>
  </si>
  <si>
    <t>SKU043</t>
  </si>
  <si>
    <t>Pen Drive 32GB</t>
  </si>
  <si>
    <t>SKU044</t>
  </si>
  <si>
    <t>Pen Drive 64GB</t>
  </si>
  <si>
    <t>SKU045</t>
  </si>
  <si>
    <t>External SSD 500GB</t>
  </si>
  <si>
    <t>SKU046</t>
  </si>
  <si>
    <t>Gaming Controller Wired</t>
  </si>
  <si>
    <t>SKU047</t>
  </si>
  <si>
    <t>Gaming Controller Wireless</t>
  </si>
  <si>
    <t>SKU048</t>
  </si>
  <si>
    <t>Phone Cooling Fan Clip-on</t>
  </si>
  <si>
    <t>SKU049</t>
  </si>
  <si>
    <t>Popsocket Grip</t>
  </si>
  <si>
    <t>SKU050</t>
  </si>
  <si>
    <t>Anti-Theft Phone Pouch</t>
  </si>
  <si>
    <t>Product Category</t>
  </si>
  <si>
    <t>Returns from Customer</t>
  </si>
  <si>
    <t>Purchase</t>
  </si>
  <si>
    <t>Opening Stock</t>
  </si>
  <si>
    <t>Return to Supplier</t>
  </si>
  <si>
    <t>Sales</t>
  </si>
  <si>
    <t>Customer Returns</t>
  </si>
  <si>
    <t>Closing Stock</t>
  </si>
  <si>
    <t>Monthly Cost (Rs)</t>
  </si>
  <si>
    <t>Avg Daily Usage (Monthly)</t>
  </si>
  <si>
    <t>Safety Stock</t>
  </si>
  <si>
    <t>Reorder Level</t>
  </si>
  <si>
    <t>Days of Stock Remaining</t>
  </si>
  <si>
    <t>Days Until Reorder</t>
  </si>
  <si>
    <t>Stock Status</t>
  </si>
  <si>
    <t>Total Sales (Units)</t>
  </si>
  <si>
    <t>Total Cost (Rs)</t>
  </si>
  <si>
    <t>Avg Daily Usage (Annual)</t>
  </si>
  <si>
    <t>Max Monthly Sales</t>
  </si>
  <si>
    <t>Avg Monthly Sales</t>
  </si>
  <si>
    <t>StDev Monthly Sales</t>
  </si>
  <si>
    <t>CV (%)</t>
  </si>
  <si>
    <t>Ordering Cost (Rs)</t>
  </si>
  <si>
    <t>Holding Cost per Unit (Rs)</t>
  </si>
  <si>
    <t>EOQ (Units)</t>
  </si>
  <si>
    <t>Order Cycle Time (Days)</t>
  </si>
  <si>
    <t>Orders per Year</t>
  </si>
  <si>
    <t>Opening Stock (Jan)</t>
  </si>
  <si>
    <t>Closing Stock (Dec)</t>
  </si>
  <si>
    <t>Average Inventory (Units)</t>
  </si>
  <si>
    <t>Average Inventory Value (Rs)</t>
  </si>
  <si>
    <t>Turnover Ratio</t>
  </si>
  <si>
    <t>Days Inventory on Hand</t>
  </si>
  <si>
    <t>ABC Value (Rs)</t>
  </si>
  <si>
    <t>Cumulative % of Value</t>
  </si>
  <si>
    <t>Reviewing Frequency</t>
  </si>
  <si>
    <t>Current Stock (Latest)</t>
  </si>
  <si>
    <t>Current Status</t>
  </si>
  <si>
    <t>Month Options</t>
  </si>
  <si>
    <t>Category Options</t>
  </si>
  <si>
    <t>Product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</si>
</sst>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s&quot;#,##0"/>
    <numFmt numFmtId="165" formatCode="&quot;Rs&quot;#,##0.00"/>
    <numFmt numFmtId="166" formatCode="0.0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sz val="10"/>
      <color rgb="FF595959"/>
      <name val="Arial"/>
      <family val="2"/>
    </font>
    <font>
      <b/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2"/>
      <color rgb="FFFFFFFF"/>
      <name val="Arial"/>
      <family val="2"/>
    </font>
    <font>
      <b/>
      <sz val="14"/>
      <color rgb="FF1F386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9" fillId="0" borderId="0" xfId="0" applyFont="1"/>
    <xf numFmtId="9" fontId="6" fillId="4" borderId="1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 indent="1"/>
    </xf>
    <xf numFmtId="0" fontId="4" fillId="0" borderId="0" xfId="0" applyFont="1"/>
    <xf numFmtId="0" fontId="3" fillId="2" borderId="1" xfId="0" applyFont="1" applyFill="1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7" fillId="4" borderId="1" xfId="0" applyFont="1" applyFill="1" applyBorder="1"/>
    <xf numFmtId="0" fontId="8" fillId="0" borderId="1" xfId="0" applyFont="1" applyBorder="1"/>
    <xf numFmtId="164" fontId="8" fillId="0" borderId="1" xfId="0" applyNumberFormat="1" applyFont="1" applyBorder="1"/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64" fontId="11" fillId="0" borderId="1" xfId="0" applyNumberFormat="1" applyFont="1" applyBorder="1"/>
    <xf numFmtId="2" fontId="11" fillId="0" borderId="1" xfId="0" applyNumberFormat="1" applyFont="1" applyBorder="1"/>
    <xf numFmtId="1" fontId="11" fillId="0" borderId="1" xfId="0" applyNumberFormat="1" applyFont="1" applyBorder="1"/>
    <xf numFmtId="9" fontId="11" fillId="0" borderId="1" xfId="0" applyNumberFormat="1" applyFont="1" applyBorder="1"/>
    <xf numFmtId="165" fontId="11" fillId="0" borderId="1" xfId="0" applyNumberFormat="1" applyFont="1" applyBorder="1"/>
    <xf numFmtId="166" fontId="11" fillId="0" borderId="1" xfId="0" applyNumberFormat="1" applyFont="1" applyBorder="1"/>
    <xf numFmtId="0" fontId="5" fillId="3" borderId="0" xfId="0" applyFont="1" applyFill="1" applyAlignment="1">
      <alignment vertical="center"/>
    </xf>
    <xf numFmtId="164" fontId="12" fillId="0" borderId="1" xfId="0" applyNumberFormat="1" applyFont="1" applyBorder="1"/>
    <xf numFmtId="0" fontId="0" fillId="0" borderId="0" xfId="0" applyFont="1"/>
    <xf numFmtId="165" fontId="12" fillId="0" borderId="1" xfId="0" applyNumberFormat="1" applyFont="1" applyBorder="1"/>
    <xf numFmtId="0" fontId="1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Trend (filtered)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Units Sold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Dashboard!$B$26:$B$37</c:f>
              <c:numCache>
                <c:formatCode>General</c:formatCode>
                <c:ptCount val="12"/>
                <c:pt idx="0">
                  <c:v>477</c:v>
                </c:pt>
                <c:pt idx="1">
                  <c:v>465</c:v>
                </c:pt>
                <c:pt idx="2">
                  <c:v>458</c:v>
                </c:pt>
                <c:pt idx="3">
                  <c:v>447</c:v>
                </c:pt>
                <c:pt idx="4">
                  <c:v>434</c:v>
                </c:pt>
                <c:pt idx="5">
                  <c:v>451</c:v>
                </c:pt>
                <c:pt idx="6">
                  <c:v>482</c:v>
                </c:pt>
                <c:pt idx="7">
                  <c:v>433</c:v>
                </c:pt>
                <c:pt idx="8">
                  <c:v>470</c:v>
                </c:pt>
                <c:pt idx="9">
                  <c:v>735</c:v>
                </c:pt>
                <c:pt idx="10">
                  <c:v>520</c:v>
                </c:pt>
                <c:pt idx="11">
                  <c:v>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BE-4BF5-AFA7-EE8A3F28F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558200"/>
        <c:axId val="40490166"/>
      </c:lineChart>
      <c:catAx>
        <c:axId val="43558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90166"/>
        <c:crosses val="autoZero"/>
        <c:auto val="1"/>
        <c:lblAlgn val="ctr"/>
        <c:lblOffset val="100"/>
        <c:noMultiLvlLbl val="0"/>
      </c:catAx>
      <c:valAx>
        <c:axId val="40490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58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Contribution by Category (filtered)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Dashboard!$F$25</c:f>
              <c:strCache>
                <c:ptCount val="1"/>
                <c:pt idx="0">
                  <c:v>Cost Contribution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Dashboard!$E$26:$E$37</c:f>
              <c:strCache>
                <c:ptCount val="12"/>
                <c:pt idx="0">
                  <c:v>Accessories</c:v>
                </c:pt>
                <c:pt idx="1">
                  <c:v>Audio</c:v>
                </c:pt>
                <c:pt idx="2">
                  <c:v>Cables</c:v>
                </c:pt>
                <c:pt idx="3">
                  <c:v>Cases</c:v>
                </c:pt>
                <c:pt idx="4">
                  <c:v>Chargers</c:v>
                </c:pt>
                <c:pt idx="5">
                  <c:v>Gaming</c:v>
                </c:pt>
                <c:pt idx="6">
                  <c:v>Peripherals</c:v>
                </c:pt>
                <c:pt idx="7">
                  <c:v>Power Banks</c:v>
                </c:pt>
                <c:pt idx="8">
                  <c:v>Screen Protection</c:v>
                </c:pt>
                <c:pt idx="9">
                  <c:v>Storage</c:v>
                </c:pt>
                <c:pt idx="10">
                  <c:v>Wearable Accessories</c:v>
                </c:pt>
                <c:pt idx="11">
                  <c:v>Wearables</c:v>
                </c:pt>
              </c:strCache>
            </c:strRef>
          </c:cat>
          <c:val>
            <c:numRef>
              <c:f>Dashboard!$F$26:$F$37</c:f>
              <c:numCache>
                <c:formatCode>"Rs"#,##0</c:formatCode>
                <c:ptCount val="12"/>
                <c:pt idx="0">
                  <c:v>42100</c:v>
                </c:pt>
                <c:pt idx="1">
                  <c:v>1531100</c:v>
                </c:pt>
                <c:pt idx="2">
                  <c:v>109090</c:v>
                </c:pt>
                <c:pt idx="3">
                  <c:v>121950</c:v>
                </c:pt>
                <c:pt idx="4">
                  <c:v>209950</c:v>
                </c:pt>
                <c:pt idx="5">
                  <c:v>44000</c:v>
                </c:pt>
                <c:pt idx="6">
                  <c:v>79600</c:v>
                </c:pt>
                <c:pt idx="7">
                  <c:v>260400</c:v>
                </c:pt>
                <c:pt idx="8">
                  <c:v>27130</c:v>
                </c:pt>
                <c:pt idx="9">
                  <c:v>156650</c:v>
                </c:pt>
                <c:pt idx="10">
                  <c:v>23370</c:v>
                </c:pt>
                <c:pt idx="11">
                  <c:v>122400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0-4437-88F6-F594080BE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97013"/>
        <c:axId val="46381188"/>
      </c:barChart>
      <c:catAx>
        <c:axId val="31497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81188"/>
        <c:crosses val="autoZero"/>
        <c:auto val="1"/>
        <c:lblAlgn val="ctr"/>
        <c:lblOffset val="100"/>
        <c:noMultiLvlLbl val="0"/>
      </c:catAx>
      <c:valAx>
        <c:axId val="46381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97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11520</xdr:rowOff>
    </xdr:from>
    <xdr:to>
      <xdr:col>4</xdr:col>
      <xdr:colOff>606600</xdr:colOff>
      <xdr:row>51</xdr:row>
      <xdr:rowOff>54720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1196340</xdr:colOff>
      <xdr:row>37</xdr:row>
      <xdr:rowOff>179160</xdr:rowOff>
    </xdr:from>
    <xdr:to>
      <xdr:col>9</xdr:col>
      <xdr:colOff>694500</xdr:colOff>
      <xdr:row>51</xdr:row>
      <xdr:rowOff>39480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showGridLines="0" tabSelected="1" zoomScale="92" zoomScaleNormal="100" workbookViewId="0">
      <selection activeCell="H36" sqref="H36"/>
    </sheetView>
  </sheetViews>
  <sheetFormatPr defaultColWidth="8.6640625" defaultRowHeight="14.4" x14ac:dyDescent="0.3"/>
  <cols>
    <col min="1" max="1" width="26" customWidth="1"/>
    <col min="2" max="4" width="14" customWidth="1"/>
    <col min="5" max="5" width="22" customWidth="1"/>
    <col min="6" max="6" width="18" customWidth="1"/>
    <col min="7" max="8" width="14" customWidth="1"/>
    <col min="9" max="9" width="16" customWidth="1"/>
    <col min="10" max="10" width="14" customWidth="1"/>
    <col min="11" max="11" width="12" customWidth="1"/>
  </cols>
  <sheetData>
    <row r="1" spans="1:11" ht="21" x14ac:dyDescent="0.4">
      <c r="A1" s="12" t="s">
        <v>0</v>
      </c>
    </row>
    <row r="2" spans="1:11" x14ac:dyDescent="0.3">
      <c r="A2" s="13" t="s">
        <v>1</v>
      </c>
    </row>
    <row r="4" spans="1:11" x14ac:dyDescent="0.3">
      <c r="B4" s="13" t="s">
        <v>2</v>
      </c>
      <c r="C4" s="14" t="s">
        <v>27</v>
      </c>
      <c r="E4" s="13" t="s">
        <v>4</v>
      </c>
      <c r="F4" s="14" t="s">
        <v>34</v>
      </c>
      <c r="H4" s="13" t="s">
        <v>5</v>
      </c>
      <c r="I4" s="11" t="s">
        <v>3</v>
      </c>
      <c r="J4" s="11"/>
      <c r="K4" s="11"/>
    </row>
    <row r="6" spans="1:11" x14ac:dyDescent="0.3">
      <c r="A6" s="10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8" spans="1:11" ht="21.75" customHeight="1" x14ac:dyDescent="0.3">
      <c r="A8" s="26" t="s">
        <v>7</v>
      </c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3">
      <c r="A9" s="8" t="s">
        <v>8</v>
      </c>
      <c r="B9" s="8"/>
      <c r="C9" s="8"/>
      <c r="D9" s="8"/>
      <c r="F9" s="8" t="s">
        <v>9</v>
      </c>
      <c r="G9" s="8"/>
      <c r="H9" s="8"/>
      <c r="I9" s="8"/>
    </row>
    <row r="10" spans="1:11" ht="17.399999999999999" x14ac:dyDescent="0.3">
      <c r="A10" s="7">
        <f>SUM('Product Summary'!$T$2:$T$51)</f>
        <v>16933</v>
      </c>
      <c r="B10" s="7"/>
      <c r="C10" s="7"/>
      <c r="D10" s="7"/>
      <c r="F10" s="6">
        <f>SUM('Product Summary'!$E$2:$E$51)</f>
        <v>34893890</v>
      </c>
      <c r="G10" s="6"/>
      <c r="H10" s="6"/>
      <c r="I10" s="6"/>
    </row>
    <row r="12" spans="1:11" ht="21.75" customHeight="1" x14ac:dyDescent="0.3">
      <c r="A12" s="9" t="s">
        <v>10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4" spans="1:11" x14ac:dyDescent="0.3">
      <c r="A14" s="8" t="s">
        <v>11</v>
      </c>
      <c r="B14" s="8"/>
      <c r="D14" s="8" t="s">
        <v>12</v>
      </c>
      <c r="E14" s="8"/>
      <c r="F14" s="8"/>
      <c r="H14" s="8" t="s">
        <v>13</v>
      </c>
      <c r="I14" s="8"/>
      <c r="J14" s="8"/>
    </row>
    <row r="15" spans="1:11" ht="17.399999999999999" x14ac:dyDescent="0.3">
      <c r="A15" s="6">
        <f>AVERAGE('Item Master'!$G$2:$G$51)</f>
        <v>500</v>
      </c>
      <c r="B15" s="6"/>
      <c r="D15" s="6">
        <f>SUMPRODUCT((Calculations!$D$2:$D$601=IF($C$4="All",Calculations!$D$2:$D$601,$C$4))*(Calculations!$C$2:$C$601=IF($F$4="All",Calculations!$C$2:$C$601,$F$4))*(Calculations!$B$2:$B$601=IF($I$4="All",Calculations!$B$2:$B$601,$I$4))*(Calculations!$L$2:$L$601))</f>
        <v>121950</v>
      </c>
      <c r="E15" s="6"/>
      <c r="F15" s="6"/>
      <c r="H15" s="6" cm="1">
        <f t="array" ref="H15">SUMPRODUCT((Calculations!$D$2:$D$601=IF($C$4="All","Dec",$C$4))*(Calculations!$C$2:$C$601=IF($F$4="All",Calculations!$C$2:$C$601,$F$4))*(Calculations!$B$2:$B$601=IF($I$4="All",Calculations!$B$2:$B$601,$I$4))*(Calculations!$S$2:$S$601="OVERSTOCK")*(Calculations!$J$2:$J$601)*(Calculations!$K$2:$K$601))</f>
        <v>0</v>
      </c>
      <c r="I15" s="6"/>
      <c r="J15" s="6"/>
    </row>
    <row r="17" spans="1:11" ht="21.75" customHeight="1" x14ac:dyDescent="0.3">
      <c r="A17" s="9" t="s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8" t="s">
        <v>15</v>
      </c>
      <c r="B18" s="8"/>
      <c r="D18" s="8" t="s">
        <v>16</v>
      </c>
      <c r="E18" s="8"/>
      <c r="G18" s="8" t="s">
        <v>17</v>
      </c>
      <c r="H18" s="8"/>
      <c r="I18" s="8" t="s">
        <v>18</v>
      </c>
      <c r="J18" s="8"/>
    </row>
    <row r="19" spans="1:11" ht="17.399999999999999" x14ac:dyDescent="0.3">
      <c r="A19" s="7">
        <f>SUMPRODUCT((Calculations!$D$2:$D$601=IF($C$4="All","Dec",$C$4))*(Calculations!$C$2:$C$601=IF($F$4="All",Calculations!$C$2:$C$601,$F$4))*(Calculations!$B$2:$B$601=IF($I$4="All",Calculations!$B$2:$B$601,$I$4))*(Calculations!$J$2:$J$601))</f>
        <v>1414</v>
      </c>
      <c r="B19" s="7"/>
      <c r="D19" s="7">
        <f>SUMPRODUCT((Calculations!$D$2:$D$601=IF($C$4="All","Dec",$C$4))*(Calculations!$C$2:$C$601=IF($F$4="All",Calculations!$C$2:$C$601,$F$4))*(Calculations!$B$2:$B$601=IF($I$4="All",Calculations!$B$2:$B$601,$I$4))*(Calculations!$P$2:$P$601))</f>
        <v>130.42998477929984</v>
      </c>
      <c r="E19" s="7"/>
      <c r="G19" s="7">
        <f>SUMPRODUCT((Calculations!$D$2:$D$601=IF($C$4="All","Dec",$C$4))*(Calculations!$C$2:$C$601=IF($F$4="All",Calculations!$C$2:$C$601,$F$4))*(Calculations!$B$2:$B$601=IF($I$4="All",Calculations!$B$2:$B$601,$I$4))*(Calculations!$O$2:$O$601))</f>
        <v>46.188888888888883</v>
      </c>
      <c r="H19" s="7"/>
      <c r="I19" s="5">
        <f>IFERROR(SUMPRODUCT((Calculations!$D$2:$D$601=IF($C$4="All","Dec",$C$4))*(Calculations!$C$2:$C$601=IF($F$4="All",Calculations!$C$2:$C$601,$F$4))*(Calculations!$B$2:$B$601=IF($I$4="All",Calculations!$B$2:$B$601,$I$4))*(Calculations!$R$2:$R$601))/SUMPRODUCT((Calculations!$D$2:$D$601=IF($C$4="All","Dec",$C$4))*(Calculations!$C$2:$C$601=IF($F$4="All",Calculations!$C$2:$C$601,$F$4))*(Calculations!$B$2:$B$601=IF($I$4="All",Calculations!$B$2:$B$601,$I$4))*1),0)</f>
        <v>82.797910969399936</v>
      </c>
      <c r="J19" s="5"/>
    </row>
    <row r="21" spans="1:11" x14ac:dyDescent="0.3">
      <c r="A21" s="8" t="s">
        <v>19</v>
      </c>
      <c r="B21" s="8"/>
      <c r="C21" s="8"/>
    </row>
    <row r="22" spans="1:11" ht="17.399999999999999" x14ac:dyDescent="0.3">
      <c r="A22" s="7">
        <f>SUMPRODUCT((Calculations!$D$2:$D$601=IF($C$4="All","Dec",$C$4))*(Calculations!$C$2:$C$601=IF($F$4="All",Calculations!$C$2:$C$601,$F$4))*(Calculations!$B$2:$B$601=IF($I$4="All",Calculations!$B$2:$B$601,$I$4))*(Calculations!$S$2:$S$601="REORDER NOW"))</f>
        <v>0</v>
      </c>
      <c r="B22" s="7"/>
      <c r="C22" s="7"/>
      <c r="E22" s="10" t="s">
        <v>20</v>
      </c>
      <c r="F22" s="10"/>
      <c r="G22" s="10"/>
      <c r="H22" s="10"/>
      <c r="I22" s="10"/>
      <c r="J22" s="10"/>
      <c r="K22" s="10"/>
    </row>
    <row r="24" spans="1:11" ht="21.75" customHeight="1" x14ac:dyDescent="0.3">
      <c r="A24" s="9" t="s">
        <v>21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15" t="s">
        <v>22</v>
      </c>
      <c r="B25" s="15" t="s">
        <v>23</v>
      </c>
      <c r="C25" s="15" t="s">
        <v>24</v>
      </c>
      <c r="E25" s="15" t="s">
        <v>25</v>
      </c>
      <c r="F25" s="15" t="s">
        <v>26</v>
      </c>
    </row>
    <row r="26" spans="1:11" x14ac:dyDescent="0.3">
      <c r="A26" s="16" t="s">
        <v>27</v>
      </c>
      <c r="B26" s="16">
        <f>SUMPRODUCT((Calculations!$D$2:$D$601="Jan")*(Calculations!$C$2:$C$601=IF($F$4="All",Calculations!$C$2:$C$601,$F$4))*(Calculations!$B$2:$B$601=IF($I$4="All",Calculations!$B$2:$B$601,$I$4))*(Calculations!$H$2:$H$601))</f>
        <v>477</v>
      </c>
      <c r="C26" s="17">
        <f>SUMPRODUCT((Calculations!$D$2:$D$601="Jan")*(Calculations!$C$2:$C$601=IF($F$4="All",Calculations!$C$2:$C$601,$F$4))*(Calculations!$B$2:$B$601=IF($I$4="All",Calculations!$B$2:$B$601,$I$4))*(Calculations!$L$2:$L$601))</f>
        <v>121950</v>
      </c>
      <c r="E26" s="16" t="s">
        <v>28</v>
      </c>
      <c r="F26" s="17">
        <f>SUMPRODUCT((Calculations!$D$2:$D$601=IF($C$4="All",Calculations!$D$2:$D$601,$C$4))*(Calculations!$C$2:$C$601="Accessories")*(Calculations!$B$2:$B$601=IF($I$4="All",Calculations!$B$2:$B$601,$I$4))*(Calculations!$L$2:$L$601))</f>
        <v>42100</v>
      </c>
    </row>
    <row r="27" spans="1:11" x14ac:dyDescent="0.3">
      <c r="A27" s="16" t="s">
        <v>29</v>
      </c>
      <c r="B27" s="16">
        <f>SUMPRODUCT((Calculations!$D$2:$D$601="Feb")*(Calculations!$C$2:$C$601=IF($F$4="All",Calculations!$C$2:$C$601,$F$4))*(Calculations!$B$2:$B$601=IF($I$4="All",Calculations!$B$2:$B$601,$I$4))*(Calculations!$H$2:$H$601))</f>
        <v>465</v>
      </c>
      <c r="C27" s="17">
        <f>SUMPRODUCT((Calculations!$D$2:$D$601="Feb")*(Calculations!$C$2:$C$601=IF($F$4="All",Calculations!$C$2:$C$601,$F$4))*(Calculations!$B$2:$B$601=IF($I$4="All",Calculations!$B$2:$B$601,$I$4))*(Calculations!$L$2:$L$601))</f>
        <v>121250</v>
      </c>
      <c r="E27" s="16" t="s">
        <v>30</v>
      </c>
      <c r="F27" s="17">
        <f>SUMPRODUCT((Calculations!$D$2:$D$601=IF($C$4="All",Calculations!$D$2:$D$601,$C$4))*(Calculations!$C$2:$C$601="Audio")*(Calculations!$B$2:$B$601=IF($I$4="All",Calculations!$B$2:$B$601,$I$4))*(Calculations!$L$2:$L$601))</f>
        <v>1531100</v>
      </c>
    </row>
    <row r="28" spans="1:11" x14ac:dyDescent="0.3">
      <c r="A28" s="16" t="s">
        <v>31</v>
      </c>
      <c r="B28" s="16">
        <f>SUMPRODUCT((Calculations!$D$2:$D$601="Mar")*(Calculations!$C$2:$C$601=IF($F$4="All",Calculations!$C$2:$C$601,$F$4))*(Calculations!$B$2:$B$601=IF($I$4="All",Calculations!$B$2:$B$601,$I$4))*(Calculations!$H$2:$H$601))</f>
        <v>458</v>
      </c>
      <c r="C28" s="17">
        <f>SUMPRODUCT((Calculations!$D$2:$D$601="Mar")*(Calculations!$C$2:$C$601=IF($F$4="All",Calculations!$C$2:$C$601,$F$4))*(Calculations!$B$2:$B$601=IF($I$4="All",Calculations!$B$2:$B$601,$I$4))*(Calculations!$L$2:$L$601))</f>
        <v>118200</v>
      </c>
      <c r="E28" s="16" t="s">
        <v>32</v>
      </c>
      <c r="F28" s="17">
        <f>SUMPRODUCT((Calculations!$D$2:$D$601=IF($C$4="All",Calculations!$D$2:$D$601,$C$4))*(Calculations!$C$2:$C$601="Cables")*(Calculations!$B$2:$B$601=IF($I$4="All",Calculations!$B$2:$B$601,$I$4))*(Calculations!$L$2:$L$601))</f>
        <v>109090</v>
      </c>
    </row>
    <row r="29" spans="1:11" x14ac:dyDescent="0.3">
      <c r="A29" s="16" t="s">
        <v>33</v>
      </c>
      <c r="B29" s="16">
        <f>SUMPRODUCT((Calculations!$D$2:$D$601="Apr")*(Calculations!$C$2:$C$601=IF($F$4="All",Calculations!$C$2:$C$601,$F$4))*(Calculations!$B$2:$B$601=IF($I$4="All",Calculations!$B$2:$B$601,$I$4))*(Calculations!$H$2:$H$601))</f>
        <v>447</v>
      </c>
      <c r="C29" s="17">
        <f>SUMPRODUCT((Calculations!$D$2:$D$601="Apr")*(Calculations!$C$2:$C$601=IF($F$4="All",Calculations!$C$2:$C$601,$F$4))*(Calculations!$B$2:$B$601=IF($I$4="All",Calculations!$B$2:$B$601,$I$4))*(Calculations!$L$2:$L$601))</f>
        <v>117050</v>
      </c>
      <c r="E29" s="16" t="s">
        <v>34</v>
      </c>
      <c r="F29" s="17">
        <f>SUMPRODUCT((Calculations!$D$2:$D$601=IF($C$4="All",Calculations!$D$2:$D$601,$C$4))*(Calculations!$C$2:$C$601="Cases")*(Calculations!$B$2:$B$601=IF($I$4="All",Calculations!$B$2:$B$601,$I$4))*(Calculations!$L$2:$L$601))</f>
        <v>121950</v>
      </c>
    </row>
    <row r="30" spans="1:11" x14ac:dyDescent="0.3">
      <c r="A30" s="16" t="s">
        <v>35</v>
      </c>
      <c r="B30" s="16">
        <f>SUMPRODUCT((Calculations!$D$2:$D$601="May")*(Calculations!$C$2:$C$601=IF($F$4="All",Calculations!$C$2:$C$601,$F$4))*(Calculations!$B$2:$B$601=IF($I$4="All",Calculations!$B$2:$B$601,$I$4))*(Calculations!$H$2:$H$601))</f>
        <v>434</v>
      </c>
      <c r="C30" s="17">
        <f>SUMPRODUCT((Calculations!$D$2:$D$601="May")*(Calculations!$C$2:$C$601=IF($F$4="All",Calculations!$C$2:$C$601,$F$4))*(Calculations!$B$2:$B$601=IF($I$4="All",Calculations!$B$2:$B$601,$I$4))*(Calculations!$L$2:$L$601))</f>
        <v>116400</v>
      </c>
      <c r="E30" s="16" t="s">
        <v>36</v>
      </c>
      <c r="F30" s="17">
        <f>SUMPRODUCT((Calculations!$D$2:$D$601=IF($C$4="All",Calculations!$D$2:$D$601,$C$4))*(Calculations!$C$2:$C$601="Chargers")*(Calculations!$B$2:$B$601=IF($I$4="All",Calculations!$B$2:$B$601,$I$4))*(Calculations!$L$2:$L$601))</f>
        <v>209950</v>
      </c>
    </row>
    <row r="31" spans="1:11" x14ac:dyDescent="0.3">
      <c r="A31" s="16" t="s">
        <v>37</v>
      </c>
      <c r="B31" s="16">
        <f>SUMPRODUCT((Calculations!$D$2:$D$601="Jun")*(Calculations!$C$2:$C$601=IF($F$4="All",Calculations!$C$2:$C$601,$F$4))*(Calculations!$B$2:$B$601=IF($I$4="All",Calculations!$B$2:$B$601,$I$4))*(Calculations!$H$2:$H$601))</f>
        <v>451</v>
      </c>
      <c r="C31" s="17">
        <f>SUMPRODUCT((Calculations!$D$2:$D$601="Jun")*(Calculations!$C$2:$C$601=IF($F$4="All",Calculations!$C$2:$C$601,$F$4))*(Calculations!$B$2:$B$601=IF($I$4="All",Calculations!$B$2:$B$601,$I$4))*(Calculations!$L$2:$L$601))</f>
        <v>120950</v>
      </c>
      <c r="E31" s="16" t="s">
        <v>38</v>
      </c>
      <c r="F31" s="17">
        <f>SUMPRODUCT((Calculations!$D$2:$D$601=IF($C$4="All",Calculations!$D$2:$D$601,$C$4))*(Calculations!$C$2:$C$601="Gaming")*(Calculations!$B$2:$B$601=IF($I$4="All",Calculations!$B$2:$B$601,$I$4))*(Calculations!$L$2:$L$601))</f>
        <v>44000</v>
      </c>
    </row>
    <row r="32" spans="1:11" x14ac:dyDescent="0.3">
      <c r="A32" s="16" t="s">
        <v>39</v>
      </c>
      <c r="B32" s="16">
        <f>SUMPRODUCT((Calculations!$D$2:$D$601="Jul")*(Calculations!$C$2:$C$601=IF($F$4="All",Calculations!$C$2:$C$601,$F$4))*(Calculations!$B$2:$B$601=IF($I$4="All",Calculations!$B$2:$B$601,$I$4))*(Calculations!$H$2:$H$601))</f>
        <v>482</v>
      </c>
      <c r="C32" s="17">
        <f>SUMPRODUCT((Calculations!$D$2:$D$601="Jul")*(Calculations!$C$2:$C$601=IF($F$4="All",Calculations!$C$2:$C$601,$F$4))*(Calculations!$B$2:$B$601=IF($I$4="All",Calculations!$B$2:$B$601,$I$4))*(Calculations!$L$2:$L$601))</f>
        <v>122500</v>
      </c>
      <c r="E32" s="16" t="s">
        <v>40</v>
      </c>
      <c r="F32" s="17">
        <f>SUMPRODUCT((Calculations!$D$2:$D$601=IF($C$4="All",Calculations!$D$2:$D$601,$C$4))*(Calculations!$C$2:$C$601="Peripherals")*(Calculations!$B$2:$B$601=IF($I$4="All",Calculations!$B$2:$B$601,$I$4))*(Calculations!$L$2:$L$601))</f>
        <v>79600</v>
      </c>
    </row>
    <row r="33" spans="1:6" x14ac:dyDescent="0.3">
      <c r="A33" s="16" t="s">
        <v>41</v>
      </c>
      <c r="B33" s="16">
        <f>SUMPRODUCT((Calculations!$D$2:$D$601="Aug")*(Calculations!$C$2:$C$601=IF($F$4="All",Calculations!$C$2:$C$601,$F$4))*(Calculations!$B$2:$B$601=IF($I$4="All",Calculations!$B$2:$B$601,$I$4))*(Calculations!$H$2:$H$601))</f>
        <v>433</v>
      </c>
      <c r="C33" s="17">
        <f>SUMPRODUCT((Calculations!$D$2:$D$601="Aug")*(Calculations!$C$2:$C$601=IF($F$4="All",Calculations!$C$2:$C$601,$F$4))*(Calculations!$B$2:$B$601=IF($I$4="All",Calculations!$B$2:$B$601,$I$4))*(Calculations!$L$2:$L$601))</f>
        <v>116250</v>
      </c>
      <c r="E33" s="16" t="s">
        <v>42</v>
      </c>
      <c r="F33" s="17">
        <f>SUMPRODUCT((Calculations!$D$2:$D$601=IF($C$4="All",Calculations!$D$2:$D$601,$C$4))*(Calculations!$C$2:$C$601="Power Banks")*(Calculations!$B$2:$B$601=IF($I$4="All",Calculations!$B$2:$B$601,$I$4))*(Calculations!$L$2:$L$601))</f>
        <v>260400</v>
      </c>
    </row>
    <row r="34" spans="1:6" x14ac:dyDescent="0.3">
      <c r="A34" s="16" t="s">
        <v>43</v>
      </c>
      <c r="B34" s="16">
        <f>SUMPRODUCT((Calculations!$D$2:$D$601="Sep")*(Calculations!$C$2:$C$601=IF($F$4="All",Calculations!$C$2:$C$601,$F$4))*(Calculations!$B$2:$B$601=IF($I$4="All",Calculations!$B$2:$B$601,$I$4))*(Calculations!$H$2:$H$601))</f>
        <v>470</v>
      </c>
      <c r="C34" s="17">
        <f>SUMPRODUCT((Calculations!$D$2:$D$601="Sep")*(Calculations!$C$2:$C$601=IF($F$4="All",Calculations!$C$2:$C$601,$F$4))*(Calculations!$B$2:$B$601=IF($I$4="All",Calculations!$B$2:$B$601,$I$4))*(Calculations!$L$2:$L$601))</f>
        <v>123000</v>
      </c>
      <c r="E34" s="16" t="s">
        <v>44</v>
      </c>
      <c r="F34" s="17">
        <f>SUMPRODUCT((Calculations!$D$2:$D$601=IF($C$4="All",Calculations!$D$2:$D$601,$C$4))*(Calculations!$C$2:$C$601="Screen Protection")*(Calculations!$B$2:$B$601=IF($I$4="All",Calculations!$B$2:$B$601,$I$4))*(Calculations!$L$2:$L$601))</f>
        <v>27130</v>
      </c>
    </row>
    <row r="35" spans="1:6" x14ac:dyDescent="0.3">
      <c r="A35" s="16" t="s">
        <v>45</v>
      </c>
      <c r="B35" s="16">
        <f>SUMPRODUCT((Calculations!$D$2:$D$601="Oct")*(Calculations!$C$2:$C$601=IF($F$4="All",Calculations!$C$2:$C$601,$F$4))*(Calculations!$B$2:$B$601=IF($I$4="All",Calculations!$B$2:$B$601,$I$4))*(Calculations!$H$2:$H$601))</f>
        <v>735</v>
      </c>
      <c r="C35" s="17">
        <f>SUMPRODUCT((Calculations!$D$2:$D$601="Oct")*(Calculations!$C$2:$C$601=IF($F$4="All",Calculations!$C$2:$C$601,$F$4))*(Calculations!$B$2:$B$601=IF($I$4="All",Calculations!$B$2:$B$601,$I$4))*(Calculations!$L$2:$L$601))</f>
        <v>193950</v>
      </c>
      <c r="E35" s="16" t="s">
        <v>46</v>
      </c>
      <c r="F35" s="17">
        <f>SUMPRODUCT((Calculations!$D$2:$D$601=IF($C$4="All",Calculations!$D$2:$D$601,$C$4))*(Calculations!$C$2:$C$601="Storage")*(Calculations!$B$2:$B$601=IF($I$4="All",Calculations!$B$2:$B$601,$I$4))*(Calculations!$L$2:$L$601))</f>
        <v>156650</v>
      </c>
    </row>
    <row r="36" spans="1:6" x14ac:dyDescent="0.3">
      <c r="A36" s="16" t="s">
        <v>47</v>
      </c>
      <c r="B36" s="16">
        <f>SUMPRODUCT((Calculations!$D$2:$D$601="Nov")*(Calculations!$C$2:$C$601=IF($F$4="All",Calculations!$C$2:$C$601,$F$4))*(Calculations!$B$2:$B$601=IF($I$4="All",Calculations!$B$2:$B$601,$I$4))*(Calculations!$H$2:$H$601))</f>
        <v>520</v>
      </c>
      <c r="C36" s="17">
        <f>SUMPRODUCT((Calculations!$D$2:$D$601="Nov")*(Calculations!$C$2:$C$601=IF($F$4="All",Calculations!$C$2:$C$601,$F$4))*(Calculations!$B$2:$B$601=IF($I$4="All",Calculations!$B$2:$B$601,$I$4))*(Calculations!$L$2:$L$601))</f>
        <v>135500</v>
      </c>
      <c r="E36" s="16" t="s">
        <v>48</v>
      </c>
      <c r="F36" s="17">
        <f>SUMPRODUCT((Calculations!$D$2:$D$601=IF($C$4="All",Calculations!$D$2:$D$601,$C$4))*(Calculations!$C$2:$C$601="Wearable Accessories")*(Calculations!$B$2:$B$601=IF($I$4="All",Calculations!$B$2:$B$601,$I$4))*(Calculations!$L$2:$L$601))</f>
        <v>23370</v>
      </c>
    </row>
    <row r="37" spans="1:6" x14ac:dyDescent="0.3">
      <c r="A37" s="16" t="s">
        <v>49</v>
      </c>
      <c r="B37" s="16">
        <f>SUMPRODUCT((Calculations!$D$2:$D$601="Dec")*(Calculations!$C$2:$C$601=IF($F$4="All",Calculations!$C$2:$C$601,$F$4))*(Calculations!$B$2:$B$601=IF($I$4="All",Calculations!$B$2:$B$601,$I$4))*(Calculations!$H$2:$H$601))</f>
        <v>439</v>
      </c>
      <c r="C37" s="17">
        <f>SUMPRODUCT((Calculations!$D$2:$D$601="Dec")*(Calculations!$C$2:$C$601=IF($F$4="All",Calculations!$C$2:$C$601,$F$4))*(Calculations!$B$2:$B$601=IF($I$4="All",Calculations!$B$2:$B$601,$I$4))*(Calculations!$L$2:$L$601))</f>
        <v>113550</v>
      </c>
      <c r="E37" s="16" t="s">
        <v>50</v>
      </c>
      <c r="F37" s="17">
        <f>SUMPRODUCT((Calculations!$D$2:$D$601=IF($C$4="All",Calculations!$D$2:$D$601,$C$4))*(Calculations!$C$2:$C$601="Wearables")*(Calculations!$B$2:$B$601=IF($I$4="All",Calculations!$B$2:$B$601,$I$4))*(Calculations!$L$2:$L$601))</f>
        <v>122400</v>
      </c>
    </row>
    <row r="56" spans="1:11" ht="21.75" customHeight="1" x14ac:dyDescent="0.3">
      <c r="A56" s="9" t="s">
        <v>51</v>
      </c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3">
      <c r="A57" s="8" t="s">
        <v>52</v>
      </c>
      <c r="B57" s="8"/>
      <c r="C57" s="8"/>
      <c r="E57" s="8" t="s">
        <v>53</v>
      </c>
      <c r="F57" s="8"/>
      <c r="G57" s="8"/>
      <c r="I57" s="8" t="s">
        <v>54</v>
      </c>
      <c r="J57" s="8"/>
    </row>
    <row r="58" spans="1:11" ht="17.399999999999999" x14ac:dyDescent="0.3">
      <c r="A58" s="4">
        <f>IF($I$4="All",IFERROR(SUMPRODUCT(('Product Summary'!$C$2:$C$51=IF($F$4="All",'Product Summary'!$C$2:$C$51,$F$4))*('Product Summary'!$D$2:$D$51))/365,0),INDEX('Product Summary'!$F$2:$F$51,MATCH($I$4,'Product Summary'!$B$2:$B$51,0)))</f>
        <v>15.920547945205479</v>
      </c>
      <c r="B58" s="4"/>
      <c r="C58" s="4"/>
      <c r="E58" s="4">
        <f>IF($I$4="All",IFERROR(SUMPRODUCT(('Product Summary'!$C$2:$C$51=IF($F$4="All",'Product Summary'!$C$2:$C$51,$F$4))*('Product Summary'!$E$2:$E$51))/SUMPRODUCT(('Product Summary'!$C$2:$C$51=IF($F$4="All",'Product Summary'!$C$2:$C$51,$F$4))*('Product Summary'!$V$2:$V$51)),0),INDEX('Product Summary'!$W$2:$W$51,MATCH($I$4,'Product Summary'!$B$2:$B$51,0)))</f>
        <v>3.1815661453156876</v>
      </c>
      <c r="F58" s="4"/>
      <c r="G58" s="4"/>
      <c r="I58" s="3" t="str">
        <f>IF($I$4="All","See % split below",INDEX('Product Summary'!$AA$2:$AA$51,MATCH($I$4,'Product Summary'!$B$2:$B$51,0)))</f>
        <v>See % split below</v>
      </c>
      <c r="J58" s="3"/>
    </row>
    <row r="60" spans="1:11" x14ac:dyDescent="0.3">
      <c r="A60" s="10" t="s">
        <v>55</v>
      </c>
      <c r="B60" s="10"/>
      <c r="C60" s="10"/>
      <c r="D60" s="10"/>
      <c r="E60" s="10"/>
      <c r="F60" s="10"/>
      <c r="G60" s="10"/>
      <c r="H60" s="10"/>
      <c r="I60" s="10"/>
      <c r="J60" s="10"/>
    </row>
    <row r="61" spans="1:11" x14ac:dyDescent="0.3">
      <c r="A61" s="8" t="s">
        <v>56</v>
      </c>
      <c r="B61" s="8"/>
      <c r="D61" s="8" t="s">
        <v>57</v>
      </c>
      <c r="E61" s="8"/>
      <c r="G61" s="8" t="s">
        <v>58</v>
      </c>
      <c r="H61" s="8"/>
    </row>
    <row r="62" spans="1:11" ht="17.399999999999999" x14ac:dyDescent="0.3">
      <c r="A62" s="2">
        <f>IFERROR(SUMPRODUCT(('Product Summary'!$C$2:$C$51=IF($F$4="All",'Product Summary'!$C$2:$C$51,$F$4))*('Product Summary'!$AA$2:$AA$51="A")*('Product Summary'!$Y$2:$Y$51))/SUMPRODUCT(('Product Summary'!$C$2:$C$51=IF($F$4="All",'Product Summary'!$C$2:$C$51,$F$4))*('Product Summary'!$Y$2:$Y$51)),0)</f>
        <v>0</v>
      </c>
      <c r="B62" s="2"/>
      <c r="D62" s="2">
        <f>IFERROR(SUMPRODUCT(('Product Summary'!$C$2:$C$51=IF($F$4="All",'Product Summary'!$C$2:$C$51,$F$4))*('Product Summary'!$AA$2:$AA$51="B")*('Product Summary'!$Y$2:$Y$51))/SUMPRODUCT(('Product Summary'!$C$2:$C$51=IF($F$4="All",'Product Summary'!$C$2:$C$51,$F$4))*('Product Summary'!$Y$2:$Y$51)),0)</f>
        <v>1</v>
      </c>
      <c r="E62" s="2"/>
      <c r="G62" s="2">
        <f>IFERROR(SUMPRODUCT(('Product Summary'!$C$2:$C$51=IF($F$4="All",'Product Summary'!$C$2:$C$51,$F$4))*('Product Summary'!$AA$2:$AA$51="C")*('Product Summary'!$Y$2:$Y$51))/SUMPRODUCT(('Product Summary'!$C$2:$C$51=IF($F$4="All",'Product Summary'!$C$2:$C$51,$F$4))*('Product Summary'!$Y$2:$Y$51)),0)</f>
        <v>0</v>
      </c>
      <c r="H62" s="2"/>
    </row>
    <row r="64" spans="1:11" x14ac:dyDescent="0.3">
      <c r="A64" s="1" t="s">
        <v>59</v>
      </c>
      <c r="B64" s="1"/>
      <c r="C64" s="1"/>
      <c r="D64" s="1"/>
      <c r="E64" s="1"/>
      <c r="F64" s="1"/>
      <c r="G64" s="1"/>
      <c r="H64" s="1"/>
      <c r="I64" s="1"/>
      <c r="J64" s="1"/>
    </row>
  </sheetData>
  <mergeCells count="42">
    <mergeCell ref="A62:B62"/>
    <mergeCell ref="D62:E62"/>
    <mergeCell ref="G62:H62"/>
    <mergeCell ref="A64:J64"/>
    <mergeCell ref="A8:K8"/>
    <mergeCell ref="A12:K12"/>
    <mergeCell ref="A17:K17"/>
    <mergeCell ref="A24:K24"/>
    <mergeCell ref="A56:K56"/>
    <mergeCell ref="A58:C58"/>
    <mergeCell ref="E58:G58"/>
    <mergeCell ref="I58:J58"/>
    <mergeCell ref="A60:J60"/>
    <mergeCell ref="A61:B61"/>
    <mergeCell ref="D61:E61"/>
    <mergeCell ref="G61:H61"/>
    <mergeCell ref="A22:C22"/>
    <mergeCell ref="E22:K22"/>
    <mergeCell ref="A57:C57"/>
    <mergeCell ref="E57:G57"/>
    <mergeCell ref="I57:J57"/>
    <mergeCell ref="A19:B19"/>
    <mergeCell ref="D19:E19"/>
    <mergeCell ref="G19:H19"/>
    <mergeCell ref="I19:J19"/>
    <mergeCell ref="A21:C21"/>
    <mergeCell ref="A15:B15"/>
    <mergeCell ref="D15:F15"/>
    <mergeCell ref="H15:J15"/>
    <mergeCell ref="A18:B18"/>
    <mergeCell ref="D18:E18"/>
    <mergeCell ref="G18:H18"/>
    <mergeCell ref="I18:J18"/>
    <mergeCell ref="A10:D10"/>
    <mergeCell ref="F10:I10"/>
    <mergeCell ref="A14:B14"/>
    <mergeCell ref="D14:F14"/>
    <mergeCell ref="H14:J14"/>
    <mergeCell ref="I4:K4"/>
    <mergeCell ref="A6:K6"/>
    <mergeCell ref="A9:D9"/>
    <mergeCell ref="F9:I9"/>
  </mergeCells>
  <conditionalFormatting sqref="I19">
    <cfRule type="expression" dxfId="11" priority="2">
      <formula>I19&lt;=7</formula>
    </cfRule>
    <cfRule type="expression" dxfId="10" priority="3">
      <formula>I19&gt;30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Lists!$A$2:$A$14</xm:f>
          </x14:formula1>
          <x14:formula2>
            <xm:f>0</xm:f>
          </x14:formula2>
          <xm:sqref>C4</xm:sqref>
        </x14:dataValidation>
        <x14:dataValidation type="list" xr:uid="{00000000-0002-0000-0000-000001000000}">
          <x14:formula1>
            <xm:f>Lists!$B$2:$B$13</xm:f>
          </x14:formula1>
          <x14:formula2>
            <xm:f>0</xm:f>
          </x14:formula2>
          <xm:sqref>F4</xm:sqref>
        </x14:dataValidation>
        <x14:dataValidation type="list" xr:uid="{00000000-0002-0000-0000-000002000000}">
          <x14:formula1>
            <xm:f>Lists!$C$2:$C$51</xm:f>
          </x14:formula1>
          <x14:formula2>
            <xm:f>0</xm:f>
          </x14:formula2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zoomScaleNormal="100" workbookViewId="0">
      <pane ySplit="1" topLeftCell="A2" activePane="bottomLeft" state="frozen"/>
      <selection pane="bottomLeft" activeCell="J10" sqref="J10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8" customWidth="1"/>
    <col min="4" max="4" width="24" customWidth="1"/>
    <col min="5" max="5" width="14" customWidth="1"/>
    <col min="6" max="6" width="16" customWidth="1"/>
    <col min="7" max="7" width="20" style="28" customWidth="1"/>
    <col min="8" max="8" width="24" style="28" customWidth="1"/>
  </cols>
  <sheetData>
    <row r="1" spans="1:8" ht="27.75" customHeight="1" x14ac:dyDescent="0.3">
      <c r="A1" s="18" t="s">
        <v>60</v>
      </c>
      <c r="B1" s="18" t="s">
        <v>61</v>
      </c>
      <c r="C1" s="18" t="s">
        <v>25</v>
      </c>
      <c r="D1" s="18" t="s">
        <v>62</v>
      </c>
      <c r="E1" s="18" t="s">
        <v>63</v>
      </c>
      <c r="F1" s="18" t="s">
        <v>64</v>
      </c>
      <c r="G1" s="30" t="s">
        <v>65</v>
      </c>
      <c r="H1" s="30" t="s">
        <v>66</v>
      </c>
    </row>
    <row r="2" spans="1:8" x14ac:dyDescent="0.3">
      <c r="A2" s="19" t="s">
        <v>67</v>
      </c>
      <c r="B2" s="19" t="s">
        <v>68</v>
      </c>
      <c r="C2" s="19" t="s">
        <v>30</v>
      </c>
      <c r="D2" s="19" t="s">
        <v>69</v>
      </c>
      <c r="E2" s="19">
        <v>5</v>
      </c>
      <c r="F2" s="20">
        <v>1800</v>
      </c>
      <c r="G2" s="27">
        <v>500</v>
      </c>
      <c r="H2" s="29">
        <v>360</v>
      </c>
    </row>
    <row r="3" spans="1:8" x14ac:dyDescent="0.3">
      <c r="A3" s="19" t="s">
        <v>70</v>
      </c>
      <c r="B3" s="19" t="s">
        <v>71</v>
      </c>
      <c r="C3" s="19" t="s">
        <v>30</v>
      </c>
      <c r="D3" s="19" t="s">
        <v>72</v>
      </c>
      <c r="E3" s="19">
        <v>3</v>
      </c>
      <c r="F3" s="20">
        <v>1200</v>
      </c>
      <c r="G3" s="27">
        <v>500</v>
      </c>
      <c r="H3" s="29">
        <v>240</v>
      </c>
    </row>
    <row r="4" spans="1:8" x14ac:dyDescent="0.3">
      <c r="A4" s="19" t="s">
        <v>73</v>
      </c>
      <c r="B4" s="19" t="s">
        <v>74</v>
      </c>
      <c r="C4" s="19" t="s">
        <v>30</v>
      </c>
      <c r="D4" s="19" t="s">
        <v>69</v>
      </c>
      <c r="E4" s="19">
        <v>5</v>
      </c>
      <c r="F4" s="20">
        <v>2200</v>
      </c>
      <c r="G4" s="27">
        <v>500</v>
      </c>
      <c r="H4" s="29">
        <v>440</v>
      </c>
    </row>
    <row r="5" spans="1:8" x14ac:dyDescent="0.3">
      <c r="A5" s="19" t="s">
        <v>75</v>
      </c>
      <c r="B5" s="19" t="s">
        <v>76</v>
      </c>
      <c r="C5" s="19" t="s">
        <v>30</v>
      </c>
      <c r="D5" s="19" t="s">
        <v>77</v>
      </c>
      <c r="E5" s="19">
        <v>14</v>
      </c>
      <c r="F5" s="20">
        <v>150</v>
      </c>
      <c r="G5" s="27">
        <v>500</v>
      </c>
      <c r="H5" s="29">
        <v>30</v>
      </c>
    </row>
    <row r="6" spans="1:8" x14ac:dyDescent="0.3">
      <c r="A6" s="19" t="s">
        <v>78</v>
      </c>
      <c r="B6" s="19" t="s">
        <v>79</v>
      </c>
      <c r="C6" s="19" t="s">
        <v>30</v>
      </c>
      <c r="D6" s="19" t="s">
        <v>80</v>
      </c>
      <c r="E6" s="19">
        <v>7</v>
      </c>
      <c r="F6" s="20">
        <v>3500</v>
      </c>
      <c r="G6" s="27">
        <v>500</v>
      </c>
      <c r="H6" s="29">
        <v>700</v>
      </c>
    </row>
    <row r="7" spans="1:8" x14ac:dyDescent="0.3">
      <c r="A7" s="19" t="s">
        <v>81</v>
      </c>
      <c r="B7" s="19" t="s">
        <v>82</v>
      </c>
      <c r="C7" s="19" t="s">
        <v>32</v>
      </c>
      <c r="D7" s="19" t="s">
        <v>69</v>
      </c>
      <c r="E7" s="19">
        <v>5</v>
      </c>
      <c r="F7" s="20">
        <v>90</v>
      </c>
      <c r="G7" s="27">
        <v>500</v>
      </c>
      <c r="H7" s="29">
        <v>18</v>
      </c>
    </row>
    <row r="8" spans="1:8" x14ac:dyDescent="0.3">
      <c r="A8" s="19" t="s">
        <v>83</v>
      </c>
      <c r="B8" s="19" t="s">
        <v>84</v>
      </c>
      <c r="C8" s="19" t="s">
        <v>32</v>
      </c>
      <c r="D8" s="19" t="s">
        <v>69</v>
      </c>
      <c r="E8" s="19">
        <v>5</v>
      </c>
      <c r="F8" s="20">
        <v>130</v>
      </c>
      <c r="G8" s="27">
        <v>500</v>
      </c>
      <c r="H8" s="29">
        <v>26</v>
      </c>
    </row>
    <row r="9" spans="1:8" x14ac:dyDescent="0.3">
      <c r="A9" s="19" t="s">
        <v>85</v>
      </c>
      <c r="B9" s="19" t="s">
        <v>86</v>
      </c>
      <c r="C9" s="19" t="s">
        <v>32</v>
      </c>
      <c r="D9" s="19" t="s">
        <v>72</v>
      </c>
      <c r="E9" s="19">
        <v>3</v>
      </c>
      <c r="F9" s="20">
        <v>150</v>
      </c>
      <c r="G9" s="27">
        <v>500</v>
      </c>
      <c r="H9" s="29">
        <v>30</v>
      </c>
    </row>
    <row r="10" spans="1:8" x14ac:dyDescent="0.3">
      <c r="A10" s="19" t="s">
        <v>87</v>
      </c>
      <c r="B10" s="19" t="s">
        <v>88</v>
      </c>
      <c r="C10" s="19" t="s">
        <v>32</v>
      </c>
      <c r="D10" s="19" t="s">
        <v>77</v>
      </c>
      <c r="E10" s="19">
        <v>14</v>
      </c>
      <c r="F10" s="20">
        <v>60</v>
      </c>
      <c r="G10" s="27">
        <v>500</v>
      </c>
      <c r="H10" s="29">
        <v>12</v>
      </c>
    </row>
    <row r="11" spans="1:8" x14ac:dyDescent="0.3">
      <c r="A11" s="19" t="s">
        <v>89</v>
      </c>
      <c r="B11" s="19" t="s">
        <v>90</v>
      </c>
      <c r="C11" s="19" t="s">
        <v>32</v>
      </c>
      <c r="D11" s="19" t="s">
        <v>80</v>
      </c>
      <c r="E11" s="19">
        <v>7</v>
      </c>
      <c r="F11" s="20">
        <v>200</v>
      </c>
      <c r="G11" s="27">
        <v>500</v>
      </c>
      <c r="H11" s="29">
        <v>40</v>
      </c>
    </row>
    <row r="12" spans="1:8" x14ac:dyDescent="0.3">
      <c r="A12" s="19" t="s">
        <v>91</v>
      </c>
      <c r="B12" s="19" t="s">
        <v>92</v>
      </c>
      <c r="C12" s="19" t="s">
        <v>36</v>
      </c>
      <c r="D12" s="19" t="s">
        <v>93</v>
      </c>
      <c r="E12" s="19">
        <v>10</v>
      </c>
      <c r="F12" s="20">
        <v>400</v>
      </c>
      <c r="G12" s="27">
        <v>500</v>
      </c>
      <c r="H12" s="29">
        <v>80</v>
      </c>
    </row>
    <row r="13" spans="1:8" x14ac:dyDescent="0.3">
      <c r="A13" s="19" t="s">
        <v>94</v>
      </c>
      <c r="B13" s="19" t="s">
        <v>95</v>
      </c>
      <c r="C13" s="19" t="s">
        <v>36</v>
      </c>
      <c r="D13" s="19" t="s">
        <v>69</v>
      </c>
      <c r="E13" s="19">
        <v>5</v>
      </c>
      <c r="F13" s="20">
        <v>1100</v>
      </c>
      <c r="G13" s="27">
        <v>500</v>
      </c>
      <c r="H13" s="29">
        <v>220</v>
      </c>
    </row>
    <row r="14" spans="1:8" x14ac:dyDescent="0.3">
      <c r="A14" s="19" t="s">
        <v>96</v>
      </c>
      <c r="B14" s="19" t="s">
        <v>97</v>
      </c>
      <c r="C14" s="19" t="s">
        <v>36</v>
      </c>
      <c r="D14" s="19" t="s">
        <v>69</v>
      </c>
      <c r="E14" s="19">
        <v>5</v>
      </c>
      <c r="F14" s="20">
        <v>700</v>
      </c>
      <c r="G14" s="27">
        <v>500</v>
      </c>
      <c r="H14" s="29">
        <v>140</v>
      </c>
    </row>
    <row r="15" spans="1:8" x14ac:dyDescent="0.3">
      <c r="A15" s="19" t="s">
        <v>98</v>
      </c>
      <c r="B15" s="19" t="s">
        <v>99</v>
      </c>
      <c r="C15" s="19" t="s">
        <v>36</v>
      </c>
      <c r="D15" s="19" t="s">
        <v>69</v>
      </c>
      <c r="E15" s="19">
        <v>5</v>
      </c>
      <c r="F15" s="20">
        <v>250</v>
      </c>
      <c r="G15" s="27">
        <v>500</v>
      </c>
      <c r="H15" s="29">
        <v>50</v>
      </c>
    </row>
    <row r="16" spans="1:8" x14ac:dyDescent="0.3">
      <c r="A16" s="19" t="s">
        <v>100</v>
      </c>
      <c r="B16" s="19" t="s">
        <v>101</v>
      </c>
      <c r="C16" s="19" t="s">
        <v>42</v>
      </c>
      <c r="D16" s="19" t="s">
        <v>72</v>
      </c>
      <c r="E16" s="19">
        <v>3</v>
      </c>
      <c r="F16" s="20">
        <v>900</v>
      </c>
      <c r="G16" s="27">
        <v>500</v>
      </c>
      <c r="H16" s="29">
        <v>180</v>
      </c>
    </row>
    <row r="17" spans="1:8" x14ac:dyDescent="0.3">
      <c r="A17" s="19" t="s">
        <v>102</v>
      </c>
      <c r="B17" s="19" t="s">
        <v>103</v>
      </c>
      <c r="C17" s="19" t="s">
        <v>42</v>
      </c>
      <c r="D17" s="19" t="s">
        <v>69</v>
      </c>
      <c r="E17" s="19">
        <v>5</v>
      </c>
      <c r="F17" s="20">
        <v>1500</v>
      </c>
      <c r="G17" s="27">
        <v>500</v>
      </c>
      <c r="H17" s="29">
        <v>300</v>
      </c>
    </row>
    <row r="18" spans="1:8" x14ac:dyDescent="0.3">
      <c r="A18" s="19" t="s">
        <v>104</v>
      </c>
      <c r="B18" s="19" t="s">
        <v>105</v>
      </c>
      <c r="C18" s="19" t="s">
        <v>42</v>
      </c>
      <c r="D18" s="19" t="s">
        <v>72</v>
      </c>
      <c r="E18" s="19">
        <v>3</v>
      </c>
      <c r="F18" s="20">
        <v>600</v>
      </c>
      <c r="G18" s="27">
        <v>500</v>
      </c>
      <c r="H18" s="29">
        <v>120</v>
      </c>
    </row>
    <row r="19" spans="1:8" x14ac:dyDescent="0.3">
      <c r="A19" s="19" t="s">
        <v>106</v>
      </c>
      <c r="B19" s="19" t="s">
        <v>107</v>
      </c>
      <c r="C19" s="19" t="s">
        <v>34</v>
      </c>
      <c r="D19" s="19" t="s">
        <v>69</v>
      </c>
      <c r="E19" s="19">
        <v>5</v>
      </c>
      <c r="F19" s="20">
        <v>150</v>
      </c>
      <c r="G19" s="27">
        <v>500</v>
      </c>
      <c r="H19" s="29">
        <v>30</v>
      </c>
    </row>
    <row r="20" spans="1:8" x14ac:dyDescent="0.3">
      <c r="A20" s="19" t="s">
        <v>108</v>
      </c>
      <c r="B20" s="19" t="s">
        <v>109</v>
      </c>
      <c r="C20" s="19" t="s">
        <v>34</v>
      </c>
      <c r="D20" s="19" t="s">
        <v>69</v>
      </c>
      <c r="E20" s="19">
        <v>5</v>
      </c>
      <c r="F20" s="20">
        <v>150</v>
      </c>
      <c r="G20" s="27">
        <v>500</v>
      </c>
      <c r="H20" s="29">
        <v>30</v>
      </c>
    </row>
    <row r="21" spans="1:8" x14ac:dyDescent="0.3">
      <c r="A21" s="19" t="s">
        <v>110</v>
      </c>
      <c r="B21" s="19" t="s">
        <v>111</v>
      </c>
      <c r="C21" s="19" t="s">
        <v>34</v>
      </c>
      <c r="D21" s="19" t="s">
        <v>72</v>
      </c>
      <c r="E21" s="19">
        <v>3</v>
      </c>
      <c r="F21" s="20">
        <v>350</v>
      </c>
      <c r="G21" s="27">
        <v>500</v>
      </c>
      <c r="H21" s="29">
        <v>70</v>
      </c>
    </row>
    <row r="22" spans="1:8" x14ac:dyDescent="0.3">
      <c r="A22" s="19" t="s">
        <v>112</v>
      </c>
      <c r="B22" s="19" t="s">
        <v>113</v>
      </c>
      <c r="C22" s="19" t="s">
        <v>34</v>
      </c>
      <c r="D22" s="19" t="s">
        <v>69</v>
      </c>
      <c r="E22" s="19">
        <v>5</v>
      </c>
      <c r="F22" s="20">
        <v>350</v>
      </c>
      <c r="G22" s="27">
        <v>500</v>
      </c>
      <c r="H22" s="29">
        <v>70</v>
      </c>
    </row>
    <row r="23" spans="1:8" x14ac:dyDescent="0.3">
      <c r="A23" s="19" t="s">
        <v>114</v>
      </c>
      <c r="B23" s="19" t="s">
        <v>115</v>
      </c>
      <c r="C23" s="19" t="s">
        <v>34</v>
      </c>
      <c r="D23" s="19" t="s">
        <v>93</v>
      </c>
      <c r="E23" s="19">
        <v>10</v>
      </c>
      <c r="F23" s="20">
        <v>450</v>
      </c>
      <c r="G23" s="27">
        <v>500</v>
      </c>
      <c r="H23" s="29">
        <v>90</v>
      </c>
    </row>
    <row r="24" spans="1:8" x14ac:dyDescent="0.3">
      <c r="A24" s="19" t="s">
        <v>116</v>
      </c>
      <c r="B24" s="19" t="s">
        <v>117</v>
      </c>
      <c r="C24" s="19" t="s">
        <v>44</v>
      </c>
      <c r="D24" s="19" t="s">
        <v>77</v>
      </c>
      <c r="E24" s="19">
        <v>14</v>
      </c>
      <c r="F24" s="20">
        <v>80</v>
      </c>
      <c r="G24" s="27">
        <v>500</v>
      </c>
      <c r="H24" s="29">
        <v>16</v>
      </c>
    </row>
    <row r="25" spans="1:8" x14ac:dyDescent="0.3">
      <c r="A25" s="19" t="s">
        <v>118</v>
      </c>
      <c r="B25" s="19" t="s">
        <v>119</v>
      </c>
      <c r="C25" s="19" t="s">
        <v>44</v>
      </c>
      <c r="D25" s="19" t="s">
        <v>93</v>
      </c>
      <c r="E25" s="19">
        <v>10</v>
      </c>
      <c r="F25" s="20">
        <v>150</v>
      </c>
      <c r="G25" s="27">
        <v>500</v>
      </c>
      <c r="H25" s="29">
        <v>30</v>
      </c>
    </row>
    <row r="26" spans="1:8" x14ac:dyDescent="0.3">
      <c r="A26" s="19" t="s">
        <v>120</v>
      </c>
      <c r="B26" s="19" t="s">
        <v>121</v>
      </c>
      <c r="C26" s="19" t="s">
        <v>44</v>
      </c>
      <c r="D26" s="19" t="s">
        <v>69</v>
      </c>
      <c r="E26" s="19">
        <v>5</v>
      </c>
      <c r="F26" s="20">
        <v>100</v>
      </c>
      <c r="G26" s="27">
        <v>500</v>
      </c>
      <c r="H26" s="29">
        <v>20</v>
      </c>
    </row>
    <row r="27" spans="1:8" x14ac:dyDescent="0.3">
      <c r="A27" s="19" t="s">
        <v>122</v>
      </c>
      <c r="B27" s="19" t="s">
        <v>123</v>
      </c>
      <c r="C27" s="19" t="s">
        <v>28</v>
      </c>
      <c r="D27" s="19" t="s">
        <v>77</v>
      </c>
      <c r="E27" s="19">
        <v>14</v>
      </c>
      <c r="F27" s="20">
        <v>120</v>
      </c>
      <c r="G27" s="27">
        <v>500</v>
      </c>
      <c r="H27" s="29">
        <v>24</v>
      </c>
    </row>
    <row r="28" spans="1:8" x14ac:dyDescent="0.3">
      <c r="A28" s="19" t="s">
        <v>124</v>
      </c>
      <c r="B28" s="19" t="s">
        <v>125</v>
      </c>
      <c r="C28" s="19" t="s">
        <v>28</v>
      </c>
      <c r="D28" s="19" t="s">
        <v>72</v>
      </c>
      <c r="E28" s="19">
        <v>3</v>
      </c>
      <c r="F28" s="20">
        <v>250</v>
      </c>
      <c r="G28" s="27">
        <v>500</v>
      </c>
      <c r="H28" s="29">
        <v>50</v>
      </c>
    </row>
    <row r="29" spans="1:8" x14ac:dyDescent="0.3">
      <c r="A29" s="19" t="s">
        <v>126</v>
      </c>
      <c r="B29" s="19" t="s">
        <v>127</v>
      </c>
      <c r="C29" s="19" t="s">
        <v>28</v>
      </c>
      <c r="D29" s="19" t="s">
        <v>69</v>
      </c>
      <c r="E29" s="19">
        <v>5</v>
      </c>
      <c r="F29" s="20">
        <v>300</v>
      </c>
      <c r="G29" s="27">
        <v>500</v>
      </c>
      <c r="H29" s="29">
        <v>60</v>
      </c>
    </row>
    <row r="30" spans="1:8" x14ac:dyDescent="0.3">
      <c r="A30" s="19" t="s">
        <v>128</v>
      </c>
      <c r="B30" s="19" t="s">
        <v>129</v>
      </c>
      <c r="C30" s="19" t="s">
        <v>28</v>
      </c>
      <c r="D30" s="19" t="s">
        <v>80</v>
      </c>
      <c r="E30" s="19">
        <v>7</v>
      </c>
      <c r="F30" s="20">
        <v>600</v>
      </c>
      <c r="G30" s="27">
        <v>500</v>
      </c>
      <c r="H30" s="29">
        <v>120</v>
      </c>
    </row>
    <row r="31" spans="1:8" x14ac:dyDescent="0.3">
      <c r="A31" s="19" t="s">
        <v>130</v>
      </c>
      <c r="B31" s="19" t="s">
        <v>131</v>
      </c>
      <c r="C31" s="19" t="s">
        <v>28</v>
      </c>
      <c r="D31" s="19" t="s">
        <v>69</v>
      </c>
      <c r="E31" s="19">
        <v>5</v>
      </c>
      <c r="F31" s="20">
        <v>350</v>
      </c>
      <c r="G31" s="27">
        <v>500</v>
      </c>
      <c r="H31" s="29">
        <v>70</v>
      </c>
    </row>
    <row r="32" spans="1:8" x14ac:dyDescent="0.3">
      <c r="A32" s="19" t="s">
        <v>132</v>
      </c>
      <c r="B32" s="19" t="s">
        <v>133</v>
      </c>
      <c r="C32" s="19" t="s">
        <v>40</v>
      </c>
      <c r="D32" s="19" t="s">
        <v>93</v>
      </c>
      <c r="E32" s="19">
        <v>10</v>
      </c>
      <c r="F32" s="20">
        <v>900</v>
      </c>
      <c r="G32" s="27">
        <v>500</v>
      </c>
      <c r="H32" s="29">
        <v>180</v>
      </c>
    </row>
    <row r="33" spans="1:8" x14ac:dyDescent="0.3">
      <c r="A33" s="19" t="s">
        <v>134</v>
      </c>
      <c r="B33" s="19" t="s">
        <v>135</v>
      </c>
      <c r="C33" s="19" t="s">
        <v>40</v>
      </c>
      <c r="D33" s="19" t="s">
        <v>69</v>
      </c>
      <c r="E33" s="19">
        <v>5</v>
      </c>
      <c r="F33" s="20">
        <v>500</v>
      </c>
      <c r="G33" s="27">
        <v>500</v>
      </c>
      <c r="H33" s="29">
        <v>100</v>
      </c>
    </row>
    <row r="34" spans="1:8" x14ac:dyDescent="0.3">
      <c r="A34" s="19" t="s">
        <v>136</v>
      </c>
      <c r="B34" s="19" t="s">
        <v>137</v>
      </c>
      <c r="C34" s="19" t="s">
        <v>40</v>
      </c>
      <c r="D34" s="19" t="s">
        <v>80</v>
      </c>
      <c r="E34" s="19">
        <v>7</v>
      </c>
      <c r="F34" s="20">
        <v>400</v>
      </c>
      <c r="G34" s="27">
        <v>500</v>
      </c>
      <c r="H34" s="29">
        <v>80</v>
      </c>
    </row>
    <row r="35" spans="1:8" x14ac:dyDescent="0.3">
      <c r="A35" s="19" t="s">
        <v>138</v>
      </c>
      <c r="B35" s="19" t="s">
        <v>139</v>
      </c>
      <c r="C35" s="19" t="s">
        <v>40</v>
      </c>
      <c r="D35" s="19" t="s">
        <v>69</v>
      </c>
      <c r="E35" s="19">
        <v>5</v>
      </c>
      <c r="F35" s="20">
        <v>800</v>
      </c>
      <c r="G35" s="27">
        <v>500</v>
      </c>
      <c r="H35" s="29">
        <v>160</v>
      </c>
    </row>
    <row r="36" spans="1:8" x14ac:dyDescent="0.3">
      <c r="A36" s="19" t="s">
        <v>140</v>
      </c>
      <c r="B36" s="19" t="s">
        <v>141</v>
      </c>
      <c r="C36" s="19" t="s">
        <v>40</v>
      </c>
      <c r="D36" s="19" t="s">
        <v>93</v>
      </c>
      <c r="E36" s="19">
        <v>10</v>
      </c>
      <c r="F36" s="20">
        <v>1400</v>
      </c>
      <c r="G36" s="27">
        <v>500</v>
      </c>
      <c r="H36" s="29">
        <v>280</v>
      </c>
    </row>
    <row r="37" spans="1:8" x14ac:dyDescent="0.3">
      <c r="A37" s="19" t="s">
        <v>142</v>
      </c>
      <c r="B37" s="19" t="s">
        <v>143</v>
      </c>
      <c r="C37" s="19" t="s">
        <v>48</v>
      </c>
      <c r="D37" s="19" t="s">
        <v>93</v>
      </c>
      <c r="E37" s="19">
        <v>10</v>
      </c>
      <c r="F37" s="20">
        <v>200</v>
      </c>
      <c r="G37" s="27">
        <v>500</v>
      </c>
      <c r="H37" s="29">
        <v>40</v>
      </c>
    </row>
    <row r="38" spans="1:8" x14ac:dyDescent="0.3">
      <c r="A38" s="19" t="s">
        <v>144</v>
      </c>
      <c r="B38" s="19" t="s">
        <v>145</v>
      </c>
      <c r="C38" s="19" t="s">
        <v>48</v>
      </c>
      <c r="D38" s="19" t="s">
        <v>93</v>
      </c>
      <c r="E38" s="19">
        <v>10</v>
      </c>
      <c r="F38" s="20">
        <v>500</v>
      </c>
      <c r="G38" s="27">
        <v>500</v>
      </c>
      <c r="H38" s="29">
        <v>100</v>
      </c>
    </row>
    <row r="39" spans="1:8" x14ac:dyDescent="0.3">
      <c r="A39" s="19" t="s">
        <v>146</v>
      </c>
      <c r="B39" s="19" t="s">
        <v>147</v>
      </c>
      <c r="C39" s="19" t="s">
        <v>48</v>
      </c>
      <c r="D39" s="19" t="s">
        <v>93</v>
      </c>
      <c r="E39" s="19">
        <v>10</v>
      </c>
      <c r="F39" s="20">
        <v>90</v>
      </c>
      <c r="G39" s="27">
        <v>500</v>
      </c>
      <c r="H39" s="29">
        <v>18</v>
      </c>
    </row>
    <row r="40" spans="1:8" x14ac:dyDescent="0.3">
      <c r="A40" s="19" t="s">
        <v>148</v>
      </c>
      <c r="B40" s="19" t="s">
        <v>149</v>
      </c>
      <c r="C40" s="19" t="s">
        <v>50</v>
      </c>
      <c r="D40" s="19" t="s">
        <v>80</v>
      </c>
      <c r="E40" s="19">
        <v>7</v>
      </c>
      <c r="F40" s="20">
        <v>1200</v>
      </c>
      <c r="G40" s="27">
        <v>500</v>
      </c>
      <c r="H40" s="29">
        <v>240</v>
      </c>
    </row>
    <row r="41" spans="1:8" x14ac:dyDescent="0.3">
      <c r="A41" s="19" t="s">
        <v>150</v>
      </c>
      <c r="B41" s="19" t="s">
        <v>151</v>
      </c>
      <c r="C41" s="19" t="s">
        <v>50</v>
      </c>
      <c r="D41" s="19" t="s">
        <v>72</v>
      </c>
      <c r="E41" s="19">
        <v>3</v>
      </c>
      <c r="F41" s="20">
        <v>2800</v>
      </c>
      <c r="G41" s="27">
        <v>500</v>
      </c>
      <c r="H41" s="29">
        <v>560</v>
      </c>
    </row>
    <row r="42" spans="1:8" x14ac:dyDescent="0.3">
      <c r="A42" s="19" t="s">
        <v>152</v>
      </c>
      <c r="B42" s="19" t="s">
        <v>153</v>
      </c>
      <c r="C42" s="19" t="s">
        <v>46</v>
      </c>
      <c r="D42" s="19" t="s">
        <v>93</v>
      </c>
      <c r="E42" s="19">
        <v>10</v>
      </c>
      <c r="F42" s="20">
        <v>450</v>
      </c>
      <c r="G42" s="27">
        <v>500</v>
      </c>
      <c r="H42" s="29">
        <v>90</v>
      </c>
    </row>
    <row r="43" spans="1:8" x14ac:dyDescent="0.3">
      <c r="A43" s="19" t="s">
        <v>154</v>
      </c>
      <c r="B43" s="19" t="s">
        <v>155</v>
      </c>
      <c r="C43" s="19" t="s">
        <v>46</v>
      </c>
      <c r="D43" s="19" t="s">
        <v>72</v>
      </c>
      <c r="E43" s="19">
        <v>3</v>
      </c>
      <c r="F43" s="20">
        <v>750</v>
      </c>
      <c r="G43" s="27">
        <v>500</v>
      </c>
      <c r="H43" s="29">
        <v>150</v>
      </c>
    </row>
    <row r="44" spans="1:8" x14ac:dyDescent="0.3">
      <c r="A44" s="19" t="s">
        <v>156</v>
      </c>
      <c r="B44" s="19" t="s">
        <v>157</v>
      </c>
      <c r="C44" s="19" t="s">
        <v>46</v>
      </c>
      <c r="D44" s="19" t="s">
        <v>93</v>
      </c>
      <c r="E44" s="19">
        <v>10</v>
      </c>
      <c r="F44" s="20">
        <v>300</v>
      </c>
      <c r="G44" s="27">
        <v>500</v>
      </c>
      <c r="H44" s="29">
        <v>60</v>
      </c>
    </row>
    <row r="45" spans="1:8" x14ac:dyDescent="0.3">
      <c r="A45" s="19" t="s">
        <v>158</v>
      </c>
      <c r="B45" s="19" t="s">
        <v>159</v>
      </c>
      <c r="C45" s="19" t="s">
        <v>46</v>
      </c>
      <c r="D45" s="19" t="s">
        <v>80</v>
      </c>
      <c r="E45" s="19">
        <v>7</v>
      </c>
      <c r="F45" s="20">
        <v>450</v>
      </c>
      <c r="G45" s="27">
        <v>500</v>
      </c>
      <c r="H45" s="29">
        <v>90</v>
      </c>
    </row>
    <row r="46" spans="1:8" x14ac:dyDescent="0.3">
      <c r="A46" s="19" t="s">
        <v>160</v>
      </c>
      <c r="B46" s="19" t="s">
        <v>161</v>
      </c>
      <c r="C46" s="19" t="s">
        <v>46</v>
      </c>
      <c r="D46" s="19" t="s">
        <v>80</v>
      </c>
      <c r="E46" s="19">
        <v>7</v>
      </c>
      <c r="F46" s="20">
        <v>3200</v>
      </c>
      <c r="G46" s="27">
        <v>500</v>
      </c>
      <c r="H46" s="29">
        <v>640</v>
      </c>
    </row>
    <row r="47" spans="1:8" x14ac:dyDescent="0.3">
      <c r="A47" s="19" t="s">
        <v>162</v>
      </c>
      <c r="B47" s="19" t="s">
        <v>163</v>
      </c>
      <c r="C47" s="19" t="s">
        <v>38</v>
      </c>
      <c r="D47" s="19" t="s">
        <v>77</v>
      </c>
      <c r="E47" s="19">
        <v>14</v>
      </c>
      <c r="F47" s="20">
        <v>900</v>
      </c>
      <c r="G47" s="27">
        <v>500</v>
      </c>
      <c r="H47" s="29">
        <v>180</v>
      </c>
    </row>
    <row r="48" spans="1:8" x14ac:dyDescent="0.3">
      <c r="A48" s="19" t="s">
        <v>164</v>
      </c>
      <c r="B48" s="19" t="s">
        <v>165</v>
      </c>
      <c r="C48" s="19" t="s">
        <v>38</v>
      </c>
      <c r="D48" s="19" t="s">
        <v>69</v>
      </c>
      <c r="E48" s="19">
        <v>5</v>
      </c>
      <c r="F48" s="20">
        <v>1800</v>
      </c>
      <c r="G48" s="27">
        <v>500</v>
      </c>
      <c r="H48" s="29">
        <v>360</v>
      </c>
    </row>
    <row r="49" spans="1:8" x14ac:dyDescent="0.3">
      <c r="A49" s="19" t="s">
        <v>166</v>
      </c>
      <c r="B49" s="19" t="s">
        <v>167</v>
      </c>
      <c r="C49" s="19" t="s">
        <v>38</v>
      </c>
      <c r="D49" s="19" t="s">
        <v>77</v>
      </c>
      <c r="E49" s="19">
        <v>14</v>
      </c>
      <c r="F49" s="20">
        <v>400</v>
      </c>
      <c r="G49" s="27">
        <v>500</v>
      </c>
      <c r="H49" s="29">
        <v>80</v>
      </c>
    </row>
    <row r="50" spans="1:8" x14ac:dyDescent="0.3">
      <c r="A50" s="19" t="s">
        <v>168</v>
      </c>
      <c r="B50" s="19" t="s">
        <v>169</v>
      </c>
      <c r="C50" s="19" t="s">
        <v>28</v>
      </c>
      <c r="D50" s="19" t="s">
        <v>80</v>
      </c>
      <c r="E50" s="19">
        <v>7</v>
      </c>
      <c r="F50" s="20">
        <v>60</v>
      </c>
      <c r="G50" s="27">
        <v>500</v>
      </c>
      <c r="H50" s="29">
        <v>12</v>
      </c>
    </row>
    <row r="51" spans="1:8" x14ac:dyDescent="0.3">
      <c r="A51" s="19" t="s">
        <v>170</v>
      </c>
      <c r="B51" s="19" t="s">
        <v>171</v>
      </c>
      <c r="C51" s="19" t="s">
        <v>28</v>
      </c>
      <c r="D51" s="19" t="s">
        <v>80</v>
      </c>
      <c r="E51" s="19">
        <v>7</v>
      </c>
      <c r="F51" s="20">
        <v>180</v>
      </c>
      <c r="G51" s="27">
        <v>500</v>
      </c>
      <c r="H51" s="29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8" customWidth="1"/>
    <col min="4" max="4" width="10" customWidth="1"/>
    <col min="5" max="5" width="18" customWidth="1"/>
    <col min="6" max="6" width="12" customWidth="1"/>
    <col min="7" max="7" width="14" customWidth="1"/>
  </cols>
  <sheetData>
    <row r="1" spans="1:7" ht="27.75" customHeight="1" x14ac:dyDescent="0.3">
      <c r="A1" s="18" t="s">
        <v>60</v>
      </c>
      <c r="B1" s="18" t="s">
        <v>61</v>
      </c>
      <c r="C1" s="18" t="s">
        <v>172</v>
      </c>
      <c r="D1" s="18" t="s">
        <v>22</v>
      </c>
      <c r="E1" s="18" t="s">
        <v>173</v>
      </c>
      <c r="F1" s="18" t="s">
        <v>174</v>
      </c>
      <c r="G1" s="18" t="s">
        <v>175</v>
      </c>
    </row>
    <row r="2" spans="1:7" x14ac:dyDescent="0.3">
      <c r="A2" s="19" t="s">
        <v>67</v>
      </c>
      <c r="B2" s="19" t="s">
        <v>68</v>
      </c>
      <c r="C2" s="19" t="s">
        <v>30</v>
      </c>
      <c r="D2" s="19" t="s">
        <v>27</v>
      </c>
      <c r="E2" s="19">
        <v>2</v>
      </c>
      <c r="F2" s="19">
        <v>126</v>
      </c>
      <c r="G2" s="19">
        <v>220</v>
      </c>
    </row>
    <row r="3" spans="1:7" x14ac:dyDescent="0.3">
      <c r="A3" s="19" t="s">
        <v>67</v>
      </c>
      <c r="B3" s="19" t="s">
        <v>68</v>
      </c>
      <c r="C3" s="19" t="s">
        <v>30</v>
      </c>
      <c r="D3" s="19" t="s">
        <v>29</v>
      </c>
      <c r="E3" s="19">
        <v>2</v>
      </c>
      <c r="F3" s="19">
        <v>165</v>
      </c>
      <c r="G3" s="19">
        <v>213</v>
      </c>
    </row>
    <row r="4" spans="1:7" x14ac:dyDescent="0.3">
      <c r="A4" s="19" t="s">
        <v>67</v>
      </c>
      <c r="B4" s="19" t="s">
        <v>68</v>
      </c>
      <c r="C4" s="19" t="s">
        <v>30</v>
      </c>
      <c r="D4" s="19" t="s">
        <v>31</v>
      </c>
      <c r="E4" s="19">
        <v>4</v>
      </c>
      <c r="F4" s="19">
        <v>151</v>
      </c>
      <c r="G4" s="19">
        <v>235</v>
      </c>
    </row>
    <row r="5" spans="1:7" x14ac:dyDescent="0.3">
      <c r="A5" s="19" t="s">
        <v>67</v>
      </c>
      <c r="B5" s="19" t="s">
        <v>68</v>
      </c>
      <c r="C5" s="19" t="s">
        <v>30</v>
      </c>
      <c r="D5" s="19" t="s">
        <v>33</v>
      </c>
      <c r="E5" s="19">
        <v>4</v>
      </c>
      <c r="F5" s="19">
        <v>162</v>
      </c>
      <c r="G5" s="19">
        <v>255</v>
      </c>
    </row>
    <row r="6" spans="1:7" x14ac:dyDescent="0.3">
      <c r="A6" s="19" t="s">
        <v>67</v>
      </c>
      <c r="B6" s="19" t="s">
        <v>68</v>
      </c>
      <c r="C6" s="19" t="s">
        <v>30</v>
      </c>
      <c r="D6" s="19" t="s">
        <v>35</v>
      </c>
      <c r="E6" s="19">
        <v>2</v>
      </c>
      <c r="F6" s="19">
        <v>191</v>
      </c>
      <c r="G6" s="19">
        <v>268</v>
      </c>
    </row>
    <row r="7" spans="1:7" x14ac:dyDescent="0.3">
      <c r="A7" s="19" t="s">
        <v>67</v>
      </c>
      <c r="B7" s="19" t="s">
        <v>68</v>
      </c>
      <c r="C7" s="19" t="s">
        <v>30</v>
      </c>
      <c r="D7" s="19" t="s">
        <v>37</v>
      </c>
      <c r="E7" s="19">
        <v>4</v>
      </c>
      <c r="F7" s="19">
        <v>131</v>
      </c>
      <c r="G7" s="19">
        <v>300</v>
      </c>
    </row>
    <row r="8" spans="1:7" x14ac:dyDescent="0.3">
      <c r="A8" s="19" t="s">
        <v>67</v>
      </c>
      <c r="B8" s="19" t="s">
        <v>68</v>
      </c>
      <c r="C8" s="19" t="s">
        <v>30</v>
      </c>
      <c r="D8" s="19" t="s">
        <v>39</v>
      </c>
      <c r="E8" s="19">
        <v>3</v>
      </c>
      <c r="F8" s="19">
        <v>144</v>
      </c>
      <c r="G8" s="19">
        <v>302</v>
      </c>
    </row>
    <row r="9" spans="1:7" x14ac:dyDescent="0.3">
      <c r="A9" s="19" t="s">
        <v>67</v>
      </c>
      <c r="B9" s="19" t="s">
        <v>68</v>
      </c>
      <c r="C9" s="19" t="s">
        <v>30</v>
      </c>
      <c r="D9" s="19" t="s">
        <v>41</v>
      </c>
      <c r="E9" s="19">
        <v>2</v>
      </c>
      <c r="F9" s="19">
        <v>133</v>
      </c>
      <c r="G9" s="19">
        <v>310</v>
      </c>
    </row>
    <row r="10" spans="1:7" x14ac:dyDescent="0.3">
      <c r="A10" s="19" t="s">
        <v>67</v>
      </c>
      <c r="B10" s="19" t="s">
        <v>68</v>
      </c>
      <c r="C10" s="19" t="s">
        <v>30</v>
      </c>
      <c r="D10" s="19" t="s">
        <v>43</v>
      </c>
      <c r="E10" s="19">
        <v>4</v>
      </c>
      <c r="F10" s="19">
        <v>127</v>
      </c>
      <c r="G10" s="19">
        <v>318</v>
      </c>
    </row>
    <row r="11" spans="1:7" x14ac:dyDescent="0.3">
      <c r="A11" s="19" t="s">
        <v>67</v>
      </c>
      <c r="B11" s="19" t="s">
        <v>68</v>
      </c>
      <c r="C11" s="19" t="s">
        <v>30</v>
      </c>
      <c r="D11" s="19" t="s">
        <v>45</v>
      </c>
      <c r="E11" s="19">
        <v>3</v>
      </c>
      <c r="F11" s="19">
        <v>214</v>
      </c>
      <c r="G11" s="19">
        <v>321</v>
      </c>
    </row>
    <row r="12" spans="1:7" x14ac:dyDescent="0.3">
      <c r="A12" s="19" t="s">
        <v>67</v>
      </c>
      <c r="B12" s="19" t="s">
        <v>68</v>
      </c>
      <c r="C12" s="19" t="s">
        <v>30</v>
      </c>
      <c r="D12" s="19" t="s">
        <v>47</v>
      </c>
      <c r="E12" s="19">
        <v>6</v>
      </c>
      <c r="F12" s="19">
        <v>230</v>
      </c>
      <c r="G12" s="19">
        <v>315</v>
      </c>
    </row>
    <row r="13" spans="1:7" x14ac:dyDescent="0.3">
      <c r="A13" s="19" t="s">
        <v>67</v>
      </c>
      <c r="B13" s="19" t="s">
        <v>68</v>
      </c>
      <c r="C13" s="19" t="s">
        <v>30</v>
      </c>
      <c r="D13" s="19" t="s">
        <v>49</v>
      </c>
      <c r="E13" s="19">
        <v>5</v>
      </c>
      <c r="F13" s="19">
        <v>149</v>
      </c>
      <c r="G13" s="19">
        <v>367</v>
      </c>
    </row>
    <row r="14" spans="1:7" x14ac:dyDescent="0.3">
      <c r="A14" s="19" t="s">
        <v>70</v>
      </c>
      <c r="B14" s="19" t="s">
        <v>71</v>
      </c>
      <c r="C14" s="19" t="s">
        <v>30</v>
      </c>
      <c r="D14" s="19" t="s">
        <v>27</v>
      </c>
      <c r="E14" s="19">
        <v>2</v>
      </c>
      <c r="F14" s="19">
        <v>207</v>
      </c>
      <c r="G14" s="19">
        <v>216</v>
      </c>
    </row>
    <row r="15" spans="1:7" x14ac:dyDescent="0.3">
      <c r="A15" s="19" t="s">
        <v>70</v>
      </c>
      <c r="B15" s="19" t="s">
        <v>71</v>
      </c>
      <c r="C15" s="19" t="s">
        <v>30</v>
      </c>
      <c r="D15" s="19" t="s">
        <v>29</v>
      </c>
      <c r="E15" s="19">
        <v>4</v>
      </c>
      <c r="F15" s="19">
        <v>168</v>
      </c>
      <c r="G15" s="19">
        <v>245</v>
      </c>
    </row>
    <row r="16" spans="1:7" x14ac:dyDescent="0.3">
      <c r="A16" s="19" t="s">
        <v>70</v>
      </c>
      <c r="B16" s="19" t="s">
        <v>71</v>
      </c>
      <c r="C16" s="19" t="s">
        <v>30</v>
      </c>
      <c r="D16" s="19" t="s">
        <v>31</v>
      </c>
      <c r="E16" s="19">
        <v>3</v>
      </c>
      <c r="F16" s="19">
        <v>220</v>
      </c>
      <c r="G16" s="19">
        <v>248</v>
      </c>
    </row>
    <row r="17" spans="1:7" x14ac:dyDescent="0.3">
      <c r="A17" s="19" t="s">
        <v>70</v>
      </c>
      <c r="B17" s="19" t="s">
        <v>71</v>
      </c>
      <c r="C17" s="19" t="s">
        <v>30</v>
      </c>
      <c r="D17" s="19" t="s">
        <v>33</v>
      </c>
      <c r="E17" s="19">
        <v>6</v>
      </c>
      <c r="F17" s="19">
        <v>165</v>
      </c>
      <c r="G17" s="19">
        <v>282</v>
      </c>
    </row>
    <row r="18" spans="1:7" x14ac:dyDescent="0.3">
      <c r="A18" s="19" t="s">
        <v>70</v>
      </c>
      <c r="B18" s="19" t="s">
        <v>71</v>
      </c>
      <c r="C18" s="19" t="s">
        <v>30</v>
      </c>
      <c r="D18" s="19" t="s">
        <v>35</v>
      </c>
      <c r="E18" s="19">
        <v>6</v>
      </c>
      <c r="F18" s="19">
        <v>149</v>
      </c>
      <c r="G18" s="19">
        <v>270</v>
      </c>
    </row>
    <row r="19" spans="1:7" x14ac:dyDescent="0.3">
      <c r="A19" s="19" t="s">
        <v>70</v>
      </c>
      <c r="B19" s="19" t="s">
        <v>71</v>
      </c>
      <c r="C19" s="19" t="s">
        <v>30</v>
      </c>
      <c r="D19" s="19" t="s">
        <v>37</v>
      </c>
      <c r="E19" s="19">
        <v>4</v>
      </c>
      <c r="F19" s="19">
        <v>174</v>
      </c>
      <c r="G19" s="19">
        <v>261</v>
      </c>
    </row>
    <row r="20" spans="1:7" x14ac:dyDescent="0.3">
      <c r="A20" s="19" t="s">
        <v>70</v>
      </c>
      <c r="B20" s="19" t="s">
        <v>71</v>
      </c>
      <c r="C20" s="19" t="s">
        <v>30</v>
      </c>
      <c r="D20" s="19" t="s">
        <v>39</v>
      </c>
      <c r="E20" s="19">
        <v>2</v>
      </c>
      <c r="F20" s="19">
        <v>166</v>
      </c>
      <c r="G20" s="19">
        <v>257</v>
      </c>
    </row>
    <row r="21" spans="1:7" x14ac:dyDescent="0.3">
      <c r="A21" s="19" t="s">
        <v>70</v>
      </c>
      <c r="B21" s="19" t="s">
        <v>71</v>
      </c>
      <c r="C21" s="19" t="s">
        <v>30</v>
      </c>
      <c r="D21" s="19" t="s">
        <v>41</v>
      </c>
      <c r="E21" s="19">
        <v>4</v>
      </c>
      <c r="F21" s="19">
        <v>201</v>
      </c>
      <c r="G21" s="19">
        <v>248</v>
      </c>
    </row>
    <row r="22" spans="1:7" x14ac:dyDescent="0.3">
      <c r="A22" s="19" t="s">
        <v>70</v>
      </c>
      <c r="B22" s="19" t="s">
        <v>71</v>
      </c>
      <c r="C22" s="19" t="s">
        <v>30</v>
      </c>
      <c r="D22" s="19" t="s">
        <v>43</v>
      </c>
      <c r="E22" s="19">
        <v>2</v>
      </c>
      <c r="F22" s="19">
        <v>207</v>
      </c>
      <c r="G22" s="19">
        <v>281</v>
      </c>
    </row>
    <row r="23" spans="1:7" x14ac:dyDescent="0.3">
      <c r="A23" s="19" t="s">
        <v>70</v>
      </c>
      <c r="B23" s="19" t="s">
        <v>71</v>
      </c>
      <c r="C23" s="19" t="s">
        <v>30</v>
      </c>
      <c r="D23" s="19" t="s">
        <v>45</v>
      </c>
      <c r="E23" s="19">
        <v>4</v>
      </c>
      <c r="F23" s="19">
        <v>356</v>
      </c>
      <c r="G23" s="19">
        <v>328</v>
      </c>
    </row>
    <row r="24" spans="1:7" x14ac:dyDescent="0.3">
      <c r="A24" s="19" t="s">
        <v>70</v>
      </c>
      <c r="B24" s="19" t="s">
        <v>71</v>
      </c>
      <c r="C24" s="19" t="s">
        <v>30</v>
      </c>
      <c r="D24" s="19" t="s">
        <v>47</v>
      </c>
      <c r="E24" s="19">
        <v>4</v>
      </c>
      <c r="F24" s="19">
        <v>229</v>
      </c>
      <c r="G24" s="19">
        <v>400</v>
      </c>
    </row>
    <row r="25" spans="1:7" x14ac:dyDescent="0.3">
      <c r="A25" s="19" t="s">
        <v>70</v>
      </c>
      <c r="B25" s="19" t="s">
        <v>71</v>
      </c>
      <c r="C25" s="19" t="s">
        <v>30</v>
      </c>
      <c r="D25" s="19" t="s">
        <v>49</v>
      </c>
      <c r="E25" s="19">
        <v>4</v>
      </c>
      <c r="F25" s="19">
        <v>164</v>
      </c>
      <c r="G25" s="19">
        <v>428</v>
      </c>
    </row>
    <row r="26" spans="1:7" x14ac:dyDescent="0.3">
      <c r="A26" s="19" t="s">
        <v>73</v>
      </c>
      <c r="B26" s="19" t="s">
        <v>74</v>
      </c>
      <c r="C26" s="19" t="s">
        <v>30</v>
      </c>
      <c r="D26" s="19" t="s">
        <v>27</v>
      </c>
      <c r="E26" s="19">
        <v>4</v>
      </c>
      <c r="F26" s="19">
        <v>233</v>
      </c>
      <c r="G26" s="19">
        <v>216</v>
      </c>
    </row>
    <row r="27" spans="1:7" x14ac:dyDescent="0.3">
      <c r="A27" s="19" t="s">
        <v>73</v>
      </c>
      <c r="B27" s="19" t="s">
        <v>74</v>
      </c>
      <c r="C27" s="19" t="s">
        <v>30</v>
      </c>
      <c r="D27" s="19" t="s">
        <v>29</v>
      </c>
      <c r="E27" s="19">
        <v>6</v>
      </c>
      <c r="F27" s="19">
        <v>210</v>
      </c>
      <c r="G27" s="19">
        <v>227</v>
      </c>
    </row>
    <row r="28" spans="1:7" x14ac:dyDescent="0.3">
      <c r="A28" s="19" t="s">
        <v>73</v>
      </c>
      <c r="B28" s="19" t="s">
        <v>74</v>
      </c>
      <c r="C28" s="19" t="s">
        <v>30</v>
      </c>
      <c r="D28" s="19" t="s">
        <v>31</v>
      </c>
      <c r="E28" s="19">
        <v>3</v>
      </c>
      <c r="F28" s="19">
        <v>247</v>
      </c>
      <c r="G28" s="19">
        <v>260</v>
      </c>
    </row>
    <row r="29" spans="1:7" x14ac:dyDescent="0.3">
      <c r="A29" s="19" t="s">
        <v>73</v>
      </c>
      <c r="B29" s="19" t="s">
        <v>74</v>
      </c>
      <c r="C29" s="19" t="s">
        <v>30</v>
      </c>
      <c r="D29" s="19" t="s">
        <v>33</v>
      </c>
      <c r="E29" s="19">
        <v>4</v>
      </c>
      <c r="F29" s="19">
        <v>253</v>
      </c>
      <c r="G29" s="19">
        <v>281</v>
      </c>
    </row>
    <row r="30" spans="1:7" x14ac:dyDescent="0.3">
      <c r="A30" s="19" t="s">
        <v>73</v>
      </c>
      <c r="B30" s="19" t="s">
        <v>74</v>
      </c>
      <c r="C30" s="19" t="s">
        <v>30</v>
      </c>
      <c r="D30" s="19" t="s">
        <v>35</v>
      </c>
      <c r="E30" s="19">
        <v>7</v>
      </c>
      <c r="F30" s="19">
        <v>240</v>
      </c>
      <c r="G30" s="19">
        <v>306</v>
      </c>
    </row>
    <row r="31" spans="1:7" x14ac:dyDescent="0.3">
      <c r="A31" s="19" t="s">
        <v>73</v>
      </c>
      <c r="B31" s="19" t="s">
        <v>74</v>
      </c>
      <c r="C31" s="19" t="s">
        <v>30</v>
      </c>
      <c r="D31" s="19" t="s">
        <v>37</v>
      </c>
      <c r="E31" s="19">
        <v>3</v>
      </c>
      <c r="F31" s="19">
        <v>234</v>
      </c>
      <c r="G31" s="19">
        <v>359</v>
      </c>
    </row>
    <row r="32" spans="1:7" x14ac:dyDescent="0.3">
      <c r="A32" s="19" t="s">
        <v>73</v>
      </c>
      <c r="B32" s="19" t="s">
        <v>74</v>
      </c>
      <c r="C32" s="19" t="s">
        <v>30</v>
      </c>
      <c r="D32" s="19" t="s">
        <v>39</v>
      </c>
      <c r="E32" s="19">
        <v>4</v>
      </c>
      <c r="F32" s="19">
        <v>291</v>
      </c>
      <c r="G32" s="19">
        <v>379</v>
      </c>
    </row>
    <row r="33" spans="1:7" x14ac:dyDescent="0.3">
      <c r="A33" s="19" t="s">
        <v>73</v>
      </c>
      <c r="B33" s="19" t="s">
        <v>74</v>
      </c>
      <c r="C33" s="19" t="s">
        <v>30</v>
      </c>
      <c r="D33" s="19" t="s">
        <v>41</v>
      </c>
      <c r="E33" s="19">
        <v>7</v>
      </c>
      <c r="F33" s="19">
        <v>197</v>
      </c>
      <c r="G33" s="19">
        <v>434</v>
      </c>
    </row>
    <row r="34" spans="1:7" x14ac:dyDescent="0.3">
      <c r="A34" s="19" t="s">
        <v>73</v>
      </c>
      <c r="B34" s="19" t="s">
        <v>74</v>
      </c>
      <c r="C34" s="19" t="s">
        <v>30</v>
      </c>
      <c r="D34" s="19" t="s">
        <v>43</v>
      </c>
      <c r="E34" s="19">
        <v>3</v>
      </c>
      <c r="F34" s="19">
        <v>265</v>
      </c>
      <c r="G34" s="19">
        <v>421</v>
      </c>
    </row>
    <row r="35" spans="1:7" x14ac:dyDescent="0.3">
      <c r="A35" s="19" t="s">
        <v>73</v>
      </c>
      <c r="B35" s="19" t="s">
        <v>74</v>
      </c>
      <c r="C35" s="19" t="s">
        <v>30</v>
      </c>
      <c r="D35" s="19" t="s">
        <v>45</v>
      </c>
      <c r="E35" s="19">
        <v>10</v>
      </c>
      <c r="F35" s="19">
        <v>364</v>
      </c>
      <c r="G35" s="19">
        <v>446</v>
      </c>
    </row>
    <row r="36" spans="1:7" x14ac:dyDescent="0.3">
      <c r="A36" s="19" t="s">
        <v>73</v>
      </c>
      <c r="B36" s="19" t="s">
        <v>74</v>
      </c>
      <c r="C36" s="19" t="s">
        <v>30</v>
      </c>
      <c r="D36" s="19" t="s">
        <v>47</v>
      </c>
      <c r="E36" s="19">
        <v>9</v>
      </c>
      <c r="F36" s="19">
        <v>347</v>
      </c>
      <c r="G36" s="19">
        <v>436</v>
      </c>
    </row>
    <row r="37" spans="1:7" x14ac:dyDescent="0.3">
      <c r="A37" s="19" t="s">
        <v>73</v>
      </c>
      <c r="B37" s="19" t="s">
        <v>74</v>
      </c>
      <c r="C37" s="19" t="s">
        <v>30</v>
      </c>
      <c r="D37" s="19" t="s">
        <v>49</v>
      </c>
      <c r="E37" s="19">
        <v>7</v>
      </c>
      <c r="F37" s="19">
        <v>234</v>
      </c>
      <c r="G37" s="19">
        <v>512</v>
      </c>
    </row>
    <row r="38" spans="1:7" x14ac:dyDescent="0.3">
      <c r="A38" s="19" t="s">
        <v>75</v>
      </c>
      <c r="B38" s="19" t="s">
        <v>76</v>
      </c>
      <c r="C38" s="19" t="s">
        <v>30</v>
      </c>
      <c r="D38" s="19" t="s">
        <v>27</v>
      </c>
      <c r="E38" s="19">
        <v>2</v>
      </c>
      <c r="F38" s="19">
        <v>168</v>
      </c>
      <c r="G38" s="19">
        <v>141</v>
      </c>
    </row>
    <row r="39" spans="1:7" x14ac:dyDescent="0.3">
      <c r="A39" s="19" t="s">
        <v>75</v>
      </c>
      <c r="B39" s="19" t="s">
        <v>76</v>
      </c>
      <c r="C39" s="19" t="s">
        <v>30</v>
      </c>
      <c r="D39" s="19" t="s">
        <v>29</v>
      </c>
      <c r="E39" s="19">
        <v>6</v>
      </c>
      <c r="F39" s="19">
        <v>182</v>
      </c>
      <c r="G39" s="19">
        <v>126</v>
      </c>
    </row>
    <row r="40" spans="1:7" x14ac:dyDescent="0.3">
      <c r="A40" s="19" t="s">
        <v>75</v>
      </c>
      <c r="B40" s="19" t="s">
        <v>76</v>
      </c>
      <c r="C40" s="19" t="s">
        <v>30</v>
      </c>
      <c r="D40" s="19" t="s">
        <v>31</v>
      </c>
      <c r="E40" s="19">
        <v>3</v>
      </c>
      <c r="F40" s="19">
        <v>156</v>
      </c>
      <c r="G40" s="19">
        <v>112</v>
      </c>
    </row>
    <row r="41" spans="1:7" x14ac:dyDescent="0.3">
      <c r="A41" s="19" t="s">
        <v>75</v>
      </c>
      <c r="B41" s="19" t="s">
        <v>76</v>
      </c>
      <c r="C41" s="19" t="s">
        <v>30</v>
      </c>
      <c r="D41" s="19" t="s">
        <v>33</v>
      </c>
      <c r="E41" s="19">
        <v>5</v>
      </c>
      <c r="F41" s="19">
        <v>201</v>
      </c>
      <c r="G41" s="19">
        <v>98</v>
      </c>
    </row>
    <row r="42" spans="1:7" x14ac:dyDescent="0.3">
      <c r="A42" s="19" t="s">
        <v>75</v>
      </c>
      <c r="B42" s="19" t="s">
        <v>76</v>
      </c>
      <c r="C42" s="19" t="s">
        <v>30</v>
      </c>
      <c r="D42" s="19" t="s">
        <v>35</v>
      </c>
      <c r="E42" s="19">
        <v>4</v>
      </c>
      <c r="F42" s="19">
        <v>249</v>
      </c>
      <c r="G42" s="19">
        <v>116</v>
      </c>
    </row>
    <row r="43" spans="1:7" x14ac:dyDescent="0.3">
      <c r="A43" s="19" t="s">
        <v>75</v>
      </c>
      <c r="B43" s="19" t="s">
        <v>76</v>
      </c>
      <c r="C43" s="19" t="s">
        <v>30</v>
      </c>
      <c r="D43" s="19" t="s">
        <v>37</v>
      </c>
      <c r="E43" s="19">
        <v>6</v>
      </c>
      <c r="F43" s="19">
        <v>180</v>
      </c>
      <c r="G43" s="19">
        <v>145</v>
      </c>
    </row>
    <row r="44" spans="1:7" x14ac:dyDescent="0.3">
      <c r="A44" s="19" t="s">
        <v>75</v>
      </c>
      <c r="B44" s="19" t="s">
        <v>76</v>
      </c>
      <c r="C44" s="19" t="s">
        <v>30</v>
      </c>
      <c r="D44" s="19" t="s">
        <v>39</v>
      </c>
      <c r="E44" s="19">
        <v>2</v>
      </c>
      <c r="F44" s="19">
        <v>239</v>
      </c>
      <c r="G44" s="19">
        <v>137</v>
      </c>
    </row>
    <row r="45" spans="1:7" x14ac:dyDescent="0.3">
      <c r="A45" s="19" t="s">
        <v>75</v>
      </c>
      <c r="B45" s="19" t="s">
        <v>76</v>
      </c>
      <c r="C45" s="19" t="s">
        <v>30</v>
      </c>
      <c r="D45" s="19" t="s">
        <v>41</v>
      </c>
      <c r="E45" s="19">
        <v>7</v>
      </c>
      <c r="F45" s="19">
        <v>190</v>
      </c>
      <c r="G45" s="19">
        <v>181</v>
      </c>
    </row>
    <row r="46" spans="1:7" x14ac:dyDescent="0.3">
      <c r="A46" s="19" t="s">
        <v>75</v>
      </c>
      <c r="B46" s="19" t="s">
        <v>76</v>
      </c>
      <c r="C46" s="19" t="s">
        <v>30</v>
      </c>
      <c r="D46" s="19" t="s">
        <v>43</v>
      </c>
      <c r="E46" s="19">
        <v>5</v>
      </c>
      <c r="F46" s="19">
        <v>170</v>
      </c>
      <c r="G46" s="19">
        <v>167</v>
      </c>
    </row>
    <row r="47" spans="1:7" x14ac:dyDescent="0.3">
      <c r="A47" s="19" t="s">
        <v>75</v>
      </c>
      <c r="B47" s="19" t="s">
        <v>76</v>
      </c>
      <c r="C47" s="19" t="s">
        <v>30</v>
      </c>
      <c r="D47" s="19" t="s">
        <v>45</v>
      </c>
      <c r="E47" s="19">
        <v>10</v>
      </c>
      <c r="F47" s="19">
        <v>309</v>
      </c>
      <c r="G47" s="19">
        <v>167</v>
      </c>
    </row>
    <row r="48" spans="1:7" x14ac:dyDescent="0.3">
      <c r="A48" s="19" t="s">
        <v>75</v>
      </c>
      <c r="B48" s="19" t="s">
        <v>76</v>
      </c>
      <c r="C48" s="19" t="s">
        <v>30</v>
      </c>
      <c r="D48" s="19" t="s">
        <v>47</v>
      </c>
      <c r="E48" s="19">
        <v>3</v>
      </c>
      <c r="F48" s="19">
        <v>307</v>
      </c>
      <c r="G48" s="19">
        <v>200</v>
      </c>
    </row>
    <row r="49" spans="1:7" x14ac:dyDescent="0.3">
      <c r="A49" s="19" t="s">
        <v>75</v>
      </c>
      <c r="B49" s="19" t="s">
        <v>76</v>
      </c>
      <c r="C49" s="19" t="s">
        <v>30</v>
      </c>
      <c r="D49" s="19" t="s">
        <v>49</v>
      </c>
      <c r="E49" s="19">
        <v>3</v>
      </c>
      <c r="F49" s="19">
        <v>180</v>
      </c>
      <c r="G49" s="19">
        <v>257</v>
      </c>
    </row>
    <row r="50" spans="1:7" x14ac:dyDescent="0.3">
      <c r="A50" s="19" t="s">
        <v>78</v>
      </c>
      <c r="B50" s="19" t="s">
        <v>79</v>
      </c>
      <c r="C50" s="19" t="s">
        <v>30</v>
      </c>
      <c r="D50" s="19" t="s">
        <v>27</v>
      </c>
      <c r="E50" s="19">
        <v>4</v>
      </c>
      <c r="F50" s="19">
        <v>158</v>
      </c>
      <c r="G50" s="19">
        <v>288</v>
      </c>
    </row>
    <row r="51" spans="1:7" x14ac:dyDescent="0.3">
      <c r="A51" s="19" t="s">
        <v>78</v>
      </c>
      <c r="B51" s="19" t="s">
        <v>79</v>
      </c>
      <c r="C51" s="19" t="s">
        <v>30</v>
      </c>
      <c r="D51" s="19" t="s">
        <v>29</v>
      </c>
      <c r="E51" s="19">
        <v>3</v>
      </c>
      <c r="F51" s="19">
        <v>201</v>
      </c>
      <c r="G51" s="19">
        <v>290</v>
      </c>
    </row>
    <row r="52" spans="1:7" x14ac:dyDescent="0.3">
      <c r="A52" s="19" t="s">
        <v>78</v>
      </c>
      <c r="B52" s="19" t="s">
        <v>79</v>
      </c>
      <c r="C52" s="19" t="s">
        <v>30</v>
      </c>
      <c r="D52" s="19" t="s">
        <v>31</v>
      </c>
      <c r="E52" s="19">
        <v>6</v>
      </c>
      <c r="F52" s="19">
        <v>170</v>
      </c>
      <c r="G52" s="19">
        <v>334</v>
      </c>
    </row>
    <row r="53" spans="1:7" x14ac:dyDescent="0.3">
      <c r="A53" s="19" t="s">
        <v>78</v>
      </c>
      <c r="B53" s="19" t="s">
        <v>79</v>
      </c>
      <c r="C53" s="19" t="s">
        <v>30</v>
      </c>
      <c r="D53" s="19" t="s">
        <v>33</v>
      </c>
      <c r="E53" s="19">
        <v>2</v>
      </c>
      <c r="F53" s="19">
        <v>195</v>
      </c>
      <c r="G53" s="19">
        <v>346</v>
      </c>
    </row>
    <row r="54" spans="1:7" x14ac:dyDescent="0.3">
      <c r="A54" s="19" t="s">
        <v>78</v>
      </c>
      <c r="B54" s="19" t="s">
        <v>79</v>
      </c>
      <c r="C54" s="19" t="s">
        <v>30</v>
      </c>
      <c r="D54" s="19" t="s">
        <v>35</v>
      </c>
      <c r="E54" s="19">
        <v>5</v>
      </c>
      <c r="F54" s="19">
        <v>208</v>
      </c>
      <c r="G54" s="19">
        <v>377</v>
      </c>
    </row>
    <row r="55" spans="1:7" x14ac:dyDescent="0.3">
      <c r="A55" s="19" t="s">
        <v>78</v>
      </c>
      <c r="B55" s="19" t="s">
        <v>79</v>
      </c>
      <c r="C55" s="19" t="s">
        <v>30</v>
      </c>
      <c r="D55" s="19" t="s">
        <v>37</v>
      </c>
      <c r="E55" s="19">
        <v>4</v>
      </c>
      <c r="F55" s="19">
        <v>159</v>
      </c>
      <c r="G55" s="19">
        <v>401</v>
      </c>
    </row>
    <row r="56" spans="1:7" x14ac:dyDescent="0.3">
      <c r="A56" s="19" t="s">
        <v>78</v>
      </c>
      <c r="B56" s="19" t="s">
        <v>79</v>
      </c>
      <c r="C56" s="19" t="s">
        <v>30</v>
      </c>
      <c r="D56" s="19" t="s">
        <v>39</v>
      </c>
      <c r="E56" s="19">
        <v>2</v>
      </c>
      <c r="F56" s="19">
        <v>185</v>
      </c>
      <c r="G56" s="19">
        <v>420</v>
      </c>
    </row>
    <row r="57" spans="1:7" x14ac:dyDescent="0.3">
      <c r="A57" s="19" t="s">
        <v>78</v>
      </c>
      <c r="B57" s="19" t="s">
        <v>79</v>
      </c>
      <c r="C57" s="19" t="s">
        <v>30</v>
      </c>
      <c r="D57" s="19" t="s">
        <v>41</v>
      </c>
      <c r="E57" s="19">
        <v>3</v>
      </c>
      <c r="F57" s="19">
        <v>194</v>
      </c>
      <c r="G57" s="19">
        <v>462</v>
      </c>
    </row>
    <row r="58" spans="1:7" x14ac:dyDescent="0.3">
      <c r="A58" s="19" t="s">
        <v>78</v>
      </c>
      <c r="B58" s="19" t="s">
        <v>79</v>
      </c>
      <c r="C58" s="19" t="s">
        <v>30</v>
      </c>
      <c r="D58" s="19" t="s">
        <v>43</v>
      </c>
      <c r="E58" s="19">
        <v>5</v>
      </c>
      <c r="F58" s="19">
        <v>180</v>
      </c>
      <c r="G58" s="19">
        <v>492</v>
      </c>
    </row>
    <row r="59" spans="1:7" x14ac:dyDescent="0.3">
      <c r="A59" s="19" t="s">
        <v>78</v>
      </c>
      <c r="B59" s="19" t="s">
        <v>79</v>
      </c>
      <c r="C59" s="19" t="s">
        <v>30</v>
      </c>
      <c r="D59" s="19" t="s">
        <v>45</v>
      </c>
      <c r="E59" s="19">
        <v>6</v>
      </c>
      <c r="F59" s="19">
        <v>285</v>
      </c>
      <c r="G59" s="19">
        <v>494</v>
      </c>
    </row>
    <row r="60" spans="1:7" x14ac:dyDescent="0.3">
      <c r="A60" s="19" t="s">
        <v>78</v>
      </c>
      <c r="B60" s="19" t="s">
        <v>79</v>
      </c>
      <c r="C60" s="19" t="s">
        <v>30</v>
      </c>
      <c r="D60" s="19" t="s">
        <v>47</v>
      </c>
      <c r="E60" s="19">
        <v>3</v>
      </c>
      <c r="F60" s="19">
        <v>201</v>
      </c>
      <c r="G60" s="19">
        <v>526</v>
      </c>
    </row>
    <row r="61" spans="1:7" x14ac:dyDescent="0.3">
      <c r="A61" s="19" t="s">
        <v>78</v>
      </c>
      <c r="B61" s="19" t="s">
        <v>79</v>
      </c>
      <c r="C61" s="19" t="s">
        <v>30</v>
      </c>
      <c r="D61" s="19" t="s">
        <v>49</v>
      </c>
      <c r="E61" s="19">
        <v>3</v>
      </c>
      <c r="F61" s="19">
        <v>172</v>
      </c>
      <c r="G61" s="19">
        <v>559</v>
      </c>
    </row>
    <row r="62" spans="1:7" x14ac:dyDescent="0.3">
      <c r="A62" s="19" t="s">
        <v>81</v>
      </c>
      <c r="B62" s="19" t="s">
        <v>82</v>
      </c>
      <c r="C62" s="19" t="s">
        <v>32</v>
      </c>
      <c r="D62" s="19" t="s">
        <v>27</v>
      </c>
      <c r="E62" s="19">
        <v>2</v>
      </c>
      <c r="F62" s="19">
        <v>164</v>
      </c>
      <c r="G62" s="19">
        <v>314</v>
      </c>
    </row>
    <row r="63" spans="1:7" x14ac:dyDescent="0.3">
      <c r="A63" s="19" t="s">
        <v>81</v>
      </c>
      <c r="B63" s="19" t="s">
        <v>82</v>
      </c>
      <c r="C63" s="19" t="s">
        <v>32</v>
      </c>
      <c r="D63" s="19" t="s">
        <v>29</v>
      </c>
      <c r="E63" s="19">
        <v>3</v>
      </c>
      <c r="F63" s="19">
        <v>134</v>
      </c>
      <c r="G63" s="19">
        <v>331</v>
      </c>
    </row>
    <row r="64" spans="1:7" x14ac:dyDescent="0.3">
      <c r="A64" s="19" t="s">
        <v>81</v>
      </c>
      <c r="B64" s="19" t="s">
        <v>82</v>
      </c>
      <c r="C64" s="19" t="s">
        <v>32</v>
      </c>
      <c r="D64" s="19" t="s">
        <v>31</v>
      </c>
      <c r="E64" s="19">
        <v>3</v>
      </c>
      <c r="F64" s="19">
        <v>132</v>
      </c>
      <c r="G64" s="19">
        <v>327</v>
      </c>
    </row>
    <row r="65" spans="1:7" x14ac:dyDescent="0.3">
      <c r="A65" s="19" t="s">
        <v>81</v>
      </c>
      <c r="B65" s="19" t="s">
        <v>82</v>
      </c>
      <c r="C65" s="19" t="s">
        <v>32</v>
      </c>
      <c r="D65" s="19" t="s">
        <v>33</v>
      </c>
      <c r="E65" s="19">
        <v>5</v>
      </c>
      <c r="F65" s="19">
        <v>172</v>
      </c>
      <c r="G65" s="19">
        <v>330</v>
      </c>
    </row>
    <row r="66" spans="1:7" x14ac:dyDescent="0.3">
      <c r="A66" s="19" t="s">
        <v>81</v>
      </c>
      <c r="B66" s="19" t="s">
        <v>82</v>
      </c>
      <c r="C66" s="19" t="s">
        <v>32</v>
      </c>
      <c r="D66" s="19" t="s">
        <v>35</v>
      </c>
      <c r="E66" s="19">
        <v>6</v>
      </c>
      <c r="F66" s="19">
        <v>166</v>
      </c>
      <c r="G66" s="19">
        <v>371</v>
      </c>
    </row>
    <row r="67" spans="1:7" x14ac:dyDescent="0.3">
      <c r="A67" s="19" t="s">
        <v>81</v>
      </c>
      <c r="B67" s="19" t="s">
        <v>82</v>
      </c>
      <c r="C67" s="19" t="s">
        <v>32</v>
      </c>
      <c r="D67" s="19" t="s">
        <v>37</v>
      </c>
      <c r="E67" s="19">
        <v>6</v>
      </c>
      <c r="F67" s="19">
        <v>158</v>
      </c>
      <c r="G67" s="19">
        <v>394</v>
      </c>
    </row>
    <row r="68" spans="1:7" x14ac:dyDescent="0.3">
      <c r="A68" s="19" t="s">
        <v>81</v>
      </c>
      <c r="B68" s="19" t="s">
        <v>82</v>
      </c>
      <c r="C68" s="19" t="s">
        <v>32</v>
      </c>
      <c r="D68" s="19" t="s">
        <v>39</v>
      </c>
      <c r="E68" s="19">
        <v>2</v>
      </c>
      <c r="F68" s="19">
        <v>128</v>
      </c>
      <c r="G68" s="19">
        <v>397</v>
      </c>
    </row>
    <row r="69" spans="1:7" x14ac:dyDescent="0.3">
      <c r="A69" s="19" t="s">
        <v>81</v>
      </c>
      <c r="B69" s="19" t="s">
        <v>82</v>
      </c>
      <c r="C69" s="19" t="s">
        <v>32</v>
      </c>
      <c r="D69" s="19" t="s">
        <v>41</v>
      </c>
      <c r="E69" s="19">
        <v>4</v>
      </c>
      <c r="F69" s="19">
        <v>185</v>
      </c>
      <c r="G69" s="19">
        <v>400</v>
      </c>
    </row>
    <row r="70" spans="1:7" x14ac:dyDescent="0.3">
      <c r="A70" s="19" t="s">
        <v>81</v>
      </c>
      <c r="B70" s="19" t="s">
        <v>82</v>
      </c>
      <c r="C70" s="19" t="s">
        <v>32</v>
      </c>
      <c r="D70" s="19" t="s">
        <v>43</v>
      </c>
      <c r="E70" s="19">
        <v>5</v>
      </c>
      <c r="F70" s="19">
        <v>145</v>
      </c>
      <c r="G70" s="19">
        <v>439</v>
      </c>
    </row>
    <row r="71" spans="1:7" x14ac:dyDescent="0.3">
      <c r="A71" s="19" t="s">
        <v>81</v>
      </c>
      <c r="B71" s="19" t="s">
        <v>82</v>
      </c>
      <c r="C71" s="19" t="s">
        <v>32</v>
      </c>
      <c r="D71" s="19" t="s">
        <v>45</v>
      </c>
      <c r="E71" s="19">
        <v>3</v>
      </c>
      <c r="F71" s="19">
        <v>202</v>
      </c>
      <c r="G71" s="19">
        <v>427</v>
      </c>
    </row>
    <row r="72" spans="1:7" x14ac:dyDescent="0.3">
      <c r="A72" s="19" t="s">
        <v>81</v>
      </c>
      <c r="B72" s="19" t="s">
        <v>82</v>
      </c>
      <c r="C72" s="19" t="s">
        <v>32</v>
      </c>
      <c r="D72" s="19" t="s">
        <v>47</v>
      </c>
      <c r="E72" s="19">
        <v>5</v>
      </c>
      <c r="F72" s="19">
        <v>157</v>
      </c>
      <c r="G72" s="19">
        <v>431</v>
      </c>
    </row>
    <row r="73" spans="1:7" x14ac:dyDescent="0.3">
      <c r="A73" s="19" t="s">
        <v>81</v>
      </c>
      <c r="B73" s="19" t="s">
        <v>82</v>
      </c>
      <c r="C73" s="19" t="s">
        <v>32</v>
      </c>
      <c r="D73" s="19" t="s">
        <v>49</v>
      </c>
      <c r="E73" s="19">
        <v>4</v>
      </c>
      <c r="F73" s="19">
        <v>160</v>
      </c>
      <c r="G73" s="19">
        <v>444</v>
      </c>
    </row>
    <row r="74" spans="1:7" x14ac:dyDescent="0.3">
      <c r="A74" s="19" t="s">
        <v>83</v>
      </c>
      <c r="B74" s="19" t="s">
        <v>84</v>
      </c>
      <c r="C74" s="19" t="s">
        <v>32</v>
      </c>
      <c r="D74" s="19" t="s">
        <v>27</v>
      </c>
      <c r="E74" s="19">
        <v>2</v>
      </c>
      <c r="F74" s="19">
        <v>204</v>
      </c>
      <c r="G74" s="19">
        <v>378</v>
      </c>
    </row>
    <row r="75" spans="1:7" x14ac:dyDescent="0.3">
      <c r="A75" s="19" t="s">
        <v>83</v>
      </c>
      <c r="B75" s="19" t="s">
        <v>84</v>
      </c>
      <c r="C75" s="19" t="s">
        <v>32</v>
      </c>
      <c r="D75" s="19" t="s">
        <v>29</v>
      </c>
      <c r="E75" s="19">
        <v>2</v>
      </c>
      <c r="F75" s="19">
        <v>272</v>
      </c>
      <c r="G75" s="19">
        <v>392</v>
      </c>
    </row>
    <row r="76" spans="1:7" x14ac:dyDescent="0.3">
      <c r="A76" s="19" t="s">
        <v>83</v>
      </c>
      <c r="B76" s="19" t="s">
        <v>84</v>
      </c>
      <c r="C76" s="19" t="s">
        <v>32</v>
      </c>
      <c r="D76" s="19" t="s">
        <v>31</v>
      </c>
      <c r="E76" s="19">
        <v>4</v>
      </c>
      <c r="F76" s="19">
        <v>230</v>
      </c>
      <c r="G76" s="19">
        <v>452</v>
      </c>
    </row>
    <row r="77" spans="1:7" x14ac:dyDescent="0.3">
      <c r="A77" s="19" t="s">
        <v>83</v>
      </c>
      <c r="B77" s="19" t="s">
        <v>84</v>
      </c>
      <c r="C77" s="19" t="s">
        <v>32</v>
      </c>
      <c r="D77" s="19" t="s">
        <v>33</v>
      </c>
      <c r="E77" s="19">
        <v>7</v>
      </c>
      <c r="F77" s="19">
        <v>268</v>
      </c>
      <c r="G77" s="19">
        <v>485</v>
      </c>
    </row>
    <row r="78" spans="1:7" x14ac:dyDescent="0.3">
      <c r="A78" s="19" t="s">
        <v>83</v>
      </c>
      <c r="B78" s="19" t="s">
        <v>84</v>
      </c>
      <c r="C78" s="19" t="s">
        <v>32</v>
      </c>
      <c r="D78" s="19" t="s">
        <v>35</v>
      </c>
      <c r="E78" s="19">
        <v>6</v>
      </c>
      <c r="F78" s="19">
        <v>166</v>
      </c>
      <c r="G78" s="19">
        <v>545</v>
      </c>
    </row>
    <row r="79" spans="1:7" x14ac:dyDescent="0.3">
      <c r="A79" s="19" t="s">
        <v>83</v>
      </c>
      <c r="B79" s="19" t="s">
        <v>84</v>
      </c>
      <c r="C79" s="19" t="s">
        <v>32</v>
      </c>
      <c r="D79" s="19" t="s">
        <v>37</v>
      </c>
      <c r="E79" s="19">
        <v>7</v>
      </c>
      <c r="F79" s="19">
        <v>177</v>
      </c>
      <c r="G79" s="19">
        <v>544</v>
      </c>
    </row>
    <row r="80" spans="1:7" x14ac:dyDescent="0.3">
      <c r="A80" s="19" t="s">
        <v>83</v>
      </c>
      <c r="B80" s="19" t="s">
        <v>84</v>
      </c>
      <c r="C80" s="19" t="s">
        <v>32</v>
      </c>
      <c r="D80" s="19" t="s">
        <v>39</v>
      </c>
      <c r="E80" s="19">
        <v>6</v>
      </c>
      <c r="F80" s="19">
        <v>213</v>
      </c>
      <c r="G80" s="19">
        <v>542</v>
      </c>
    </row>
    <row r="81" spans="1:7" x14ac:dyDescent="0.3">
      <c r="A81" s="19" t="s">
        <v>83</v>
      </c>
      <c r="B81" s="19" t="s">
        <v>84</v>
      </c>
      <c r="C81" s="19" t="s">
        <v>32</v>
      </c>
      <c r="D81" s="19" t="s">
        <v>41</v>
      </c>
      <c r="E81" s="19">
        <v>4</v>
      </c>
      <c r="F81" s="19">
        <v>198</v>
      </c>
      <c r="G81" s="19">
        <v>577</v>
      </c>
    </row>
    <row r="82" spans="1:7" x14ac:dyDescent="0.3">
      <c r="A82" s="19" t="s">
        <v>83</v>
      </c>
      <c r="B82" s="19" t="s">
        <v>84</v>
      </c>
      <c r="C82" s="19" t="s">
        <v>32</v>
      </c>
      <c r="D82" s="19" t="s">
        <v>43</v>
      </c>
      <c r="E82" s="19">
        <v>7</v>
      </c>
      <c r="F82" s="19">
        <v>181</v>
      </c>
      <c r="G82" s="19">
        <v>611</v>
      </c>
    </row>
    <row r="83" spans="1:7" x14ac:dyDescent="0.3">
      <c r="A83" s="19" t="s">
        <v>83</v>
      </c>
      <c r="B83" s="19" t="s">
        <v>84</v>
      </c>
      <c r="C83" s="19" t="s">
        <v>32</v>
      </c>
      <c r="D83" s="19" t="s">
        <v>45</v>
      </c>
      <c r="E83" s="19">
        <v>5</v>
      </c>
      <c r="F83" s="19">
        <v>410</v>
      </c>
      <c r="G83" s="19">
        <v>612</v>
      </c>
    </row>
    <row r="84" spans="1:7" x14ac:dyDescent="0.3">
      <c r="A84" s="19" t="s">
        <v>83</v>
      </c>
      <c r="B84" s="19" t="s">
        <v>84</v>
      </c>
      <c r="C84" s="19" t="s">
        <v>32</v>
      </c>
      <c r="D84" s="19" t="s">
        <v>47</v>
      </c>
      <c r="E84" s="19">
        <v>3</v>
      </c>
      <c r="F84" s="19">
        <v>210</v>
      </c>
      <c r="G84" s="19">
        <v>691</v>
      </c>
    </row>
    <row r="85" spans="1:7" x14ac:dyDescent="0.3">
      <c r="A85" s="19" t="s">
        <v>83</v>
      </c>
      <c r="B85" s="19" t="s">
        <v>84</v>
      </c>
      <c r="C85" s="19" t="s">
        <v>32</v>
      </c>
      <c r="D85" s="19" t="s">
        <v>49</v>
      </c>
      <c r="E85" s="19">
        <v>5</v>
      </c>
      <c r="F85" s="19">
        <v>198</v>
      </c>
      <c r="G85" s="19">
        <v>691</v>
      </c>
    </row>
    <row r="86" spans="1:7" x14ac:dyDescent="0.3">
      <c r="A86" s="19" t="s">
        <v>85</v>
      </c>
      <c r="B86" s="19" t="s">
        <v>86</v>
      </c>
      <c r="C86" s="19" t="s">
        <v>32</v>
      </c>
      <c r="D86" s="19" t="s">
        <v>27</v>
      </c>
      <c r="E86" s="19">
        <v>4</v>
      </c>
      <c r="F86" s="19">
        <v>160</v>
      </c>
      <c r="G86" s="19">
        <v>139</v>
      </c>
    </row>
    <row r="87" spans="1:7" x14ac:dyDescent="0.3">
      <c r="A87" s="19" t="s">
        <v>85</v>
      </c>
      <c r="B87" s="19" t="s">
        <v>86</v>
      </c>
      <c r="C87" s="19" t="s">
        <v>32</v>
      </c>
      <c r="D87" s="19" t="s">
        <v>29</v>
      </c>
      <c r="E87" s="19">
        <v>3</v>
      </c>
      <c r="F87" s="19">
        <v>140</v>
      </c>
      <c r="G87" s="19">
        <v>139</v>
      </c>
    </row>
    <row r="88" spans="1:7" x14ac:dyDescent="0.3">
      <c r="A88" s="19" t="s">
        <v>85</v>
      </c>
      <c r="B88" s="19" t="s">
        <v>86</v>
      </c>
      <c r="C88" s="19" t="s">
        <v>32</v>
      </c>
      <c r="D88" s="19" t="s">
        <v>31</v>
      </c>
      <c r="E88" s="19">
        <v>2</v>
      </c>
      <c r="F88" s="19">
        <v>181</v>
      </c>
      <c r="G88" s="19">
        <v>156</v>
      </c>
    </row>
    <row r="89" spans="1:7" x14ac:dyDescent="0.3">
      <c r="A89" s="19" t="s">
        <v>85</v>
      </c>
      <c r="B89" s="19" t="s">
        <v>86</v>
      </c>
      <c r="C89" s="19" t="s">
        <v>32</v>
      </c>
      <c r="D89" s="19" t="s">
        <v>33</v>
      </c>
      <c r="E89" s="19">
        <v>3</v>
      </c>
      <c r="F89" s="19">
        <v>119</v>
      </c>
      <c r="G89" s="19">
        <v>194</v>
      </c>
    </row>
    <row r="90" spans="1:7" x14ac:dyDescent="0.3">
      <c r="A90" s="19" t="s">
        <v>85</v>
      </c>
      <c r="B90" s="19" t="s">
        <v>86</v>
      </c>
      <c r="C90" s="19" t="s">
        <v>32</v>
      </c>
      <c r="D90" s="19" t="s">
        <v>35</v>
      </c>
      <c r="E90" s="19">
        <v>6</v>
      </c>
      <c r="F90" s="19">
        <v>183</v>
      </c>
      <c r="G90" s="19">
        <v>184</v>
      </c>
    </row>
    <row r="91" spans="1:7" x14ac:dyDescent="0.3">
      <c r="A91" s="19" t="s">
        <v>85</v>
      </c>
      <c r="B91" s="19" t="s">
        <v>86</v>
      </c>
      <c r="C91" s="19" t="s">
        <v>32</v>
      </c>
      <c r="D91" s="19" t="s">
        <v>37</v>
      </c>
      <c r="E91" s="19">
        <v>5</v>
      </c>
      <c r="F91" s="19">
        <v>139</v>
      </c>
      <c r="G91" s="19">
        <v>213</v>
      </c>
    </row>
    <row r="92" spans="1:7" x14ac:dyDescent="0.3">
      <c r="A92" s="19" t="s">
        <v>85</v>
      </c>
      <c r="B92" s="19" t="s">
        <v>86</v>
      </c>
      <c r="C92" s="19" t="s">
        <v>32</v>
      </c>
      <c r="D92" s="19" t="s">
        <v>39</v>
      </c>
      <c r="E92" s="19">
        <v>2</v>
      </c>
      <c r="F92" s="19">
        <v>172</v>
      </c>
      <c r="G92" s="19">
        <v>223</v>
      </c>
    </row>
    <row r="93" spans="1:7" x14ac:dyDescent="0.3">
      <c r="A93" s="19" t="s">
        <v>85</v>
      </c>
      <c r="B93" s="19" t="s">
        <v>86</v>
      </c>
      <c r="C93" s="19" t="s">
        <v>32</v>
      </c>
      <c r="D93" s="19" t="s">
        <v>41</v>
      </c>
      <c r="E93" s="19">
        <v>3</v>
      </c>
      <c r="F93" s="19">
        <v>167</v>
      </c>
      <c r="G93" s="19">
        <v>244</v>
      </c>
    </row>
    <row r="94" spans="1:7" x14ac:dyDescent="0.3">
      <c r="A94" s="19" t="s">
        <v>85</v>
      </c>
      <c r="B94" s="19" t="s">
        <v>86</v>
      </c>
      <c r="C94" s="19" t="s">
        <v>32</v>
      </c>
      <c r="D94" s="19" t="s">
        <v>43</v>
      </c>
      <c r="E94" s="19">
        <v>4</v>
      </c>
      <c r="F94" s="19">
        <v>142</v>
      </c>
      <c r="G94" s="19">
        <v>268</v>
      </c>
    </row>
    <row r="95" spans="1:7" x14ac:dyDescent="0.3">
      <c r="A95" s="19" t="s">
        <v>85</v>
      </c>
      <c r="B95" s="19" t="s">
        <v>86</v>
      </c>
      <c r="C95" s="19" t="s">
        <v>32</v>
      </c>
      <c r="D95" s="19" t="s">
        <v>45</v>
      </c>
      <c r="E95" s="19">
        <v>7</v>
      </c>
      <c r="F95" s="19">
        <v>239</v>
      </c>
      <c r="G95" s="19">
        <v>267</v>
      </c>
    </row>
    <row r="96" spans="1:7" x14ac:dyDescent="0.3">
      <c r="A96" s="19" t="s">
        <v>85</v>
      </c>
      <c r="B96" s="19" t="s">
        <v>86</v>
      </c>
      <c r="C96" s="19" t="s">
        <v>32</v>
      </c>
      <c r="D96" s="19" t="s">
        <v>47</v>
      </c>
      <c r="E96" s="19">
        <v>3</v>
      </c>
      <c r="F96" s="19">
        <v>185</v>
      </c>
      <c r="G96" s="19">
        <v>264</v>
      </c>
    </row>
    <row r="97" spans="1:7" x14ac:dyDescent="0.3">
      <c r="A97" s="19" t="s">
        <v>85</v>
      </c>
      <c r="B97" s="19" t="s">
        <v>86</v>
      </c>
      <c r="C97" s="19" t="s">
        <v>32</v>
      </c>
      <c r="D97" s="19" t="s">
        <v>49</v>
      </c>
      <c r="E97" s="19">
        <v>3</v>
      </c>
      <c r="F97" s="19">
        <v>152</v>
      </c>
      <c r="G97" s="19">
        <v>267</v>
      </c>
    </row>
    <row r="98" spans="1:7" x14ac:dyDescent="0.3">
      <c r="A98" s="19" t="s">
        <v>87</v>
      </c>
      <c r="B98" s="19" t="s">
        <v>88</v>
      </c>
      <c r="C98" s="19" t="s">
        <v>32</v>
      </c>
      <c r="D98" s="19" t="s">
        <v>27</v>
      </c>
      <c r="E98" s="19">
        <v>6</v>
      </c>
      <c r="F98" s="19">
        <v>213</v>
      </c>
      <c r="G98" s="19">
        <v>166</v>
      </c>
    </row>
    <row r="99" spans="1:7" x14ac:dyDescent="0.3">
      <c r="A99" s="19" t="s">
        <v>87</v>
      </c>
      <c r="B99" s="19" t="s">
        <v>88</v>
      </c>
      <c r="C99" s="19" t="s">
        <v>32</v>
      </c>
      <c r="D99" s="19" t="s">
        <v>29</v>
      </c>
      <c r="E99" s="19">
        <v>3</v>
      </c>
      <c r="F99" s="19">
        <v>225</v>
      </c>
      <c r="G99" s="19">
        <v>171</v>
      </c>
    </row>
    <row r="100" spans="1:7" x14ac:dyDescent="0.3">
      <c r="A100" s="19" t="s">
        <v>87</v>
      </c>
      <c r="B100" s="19" t="s">
        <v>88</v>
      </c>
      <c r="C100" s="19" t="s">
        <v>32</v>
      </c>
      <c r="D100" s="19" t="s">
        <v>31</v>
      </c>
      <c r="E100" s="19">
        <v>2</v>
      </c>
      <c r="F100" s="19">
        <v>209</v>
      </c>
      <c r="G100" s="19">
        <v>221</v>
      </c>
    </row>
    <row r="101" spans="1:7" x14ac:dyDescent="0.3">
      <c r="A101" s="19" t="s">
        <v>87</v>
      </c>
      <c r="B101" s="19" t="s">
        <v>88</v>
      </c>
      <c r="C101" s="19" t="s">
        <v>32</v>
      </c>
      <c r="D101" s="19" t="s">
        <v>33</v>
      </c>
      <c r="E101" s="19">
        <v>5</v>
      </c>
      <c r="F101" s="19">
        <v>250</v>
      </c>
      <c r="G101" s="19">
        <v>208</v>
      </c>
    </row>
    <row r="102" spans="1:7" x14ac:dyDescent="0.3">
      <c r="A102" s="19" t="s">
        <v>87</v>
      </c>
      <c r="B102" s="19" t="s">
        <v>88</v>
      </c>
      <c r="C102" s="19" t="s">
        <v>32</v>
      </c>
      <c r="D102" s="19" t="s">
        <v>35</v>
      </c>
      <c r="E102" s="19">
        <v>4</v>
      </c>
      <c r="F102" s="19">
        <v>243</v>
      </c>
      <c r="G102" s="19">
        <v>249</v>
      </c>
    </row>
    <row r="103" spans="1:7" x14ac:dyDescent="0.3">
      <c r="A103" s="19" t="s">
        <v>87</v>
      </c>
      <c r="B103" s="19" t="s">
        <v>88</v>
      </c>
      <c r="C103" s="19" t="s">
        <v>32</v>
      </c>
      <c r="D103" s="19" t="s">
        <v>37</v>
      </c>
      <c r="E103" s="19">
        <v>7</v>
      </c>
      <c r="F103" s="19">
        <v>210</v>
      </c>
      <c r="G103" s="19">
        <v>288</v>
      </c>
    </row>
    <row r="104" spans="1:7" x14ac:dyDescent="0.3">
      <c r="A104" s="19" t="s">
        <v>87</v>
      </c>
      <c r="B104" s="19" t="s">
        <v>88</v>
      </c>
      <c r="C104" s="19" t="s">
        <v>32</v>
      </c>
      <c r="D104" s="19" t="s">
        <v>39</v>
      </c>
      <c r="E104" s="19">
        <v>4</v>
      </c>
      <c r="F104" s="19">
        <v>270</v>
      </c>
      <c r="G104" s="19">
        <v>321</v>
      </c>
    </row>
    <row r="105" spans="1:7" x14ac:dyDescent="0.3">
      <c r="A105" s="19" t="s">
        <v>87</v>
      </c>
      <c r="B105" s="19" t="s">
        <v>88</v>
      </c>
      <c r="C105" s="19" t="s">
        <v>32</v>
      </c>
      <c r="D105" s="19" t="s">
        <v>41</v>
      </c>
      <c r="E105" s="19">
        <v>6</v>
      </c>
      <c r="F105" s="19">
        <v>230</v>
      </c>
      <c r="G105" s="19">
        <v>365</v>
      </c>
    </row>
    <row r="106" spans="1:7" x14ac:dyDescent="0.3">
      <c r="A106" s="19" t="s">
        <v>87</v>
      </c>
      <c r="B106" s="19" t="s">
        <v>88</v>
      </c>
      <c r="C106" s="19" t="s">
        <v>32</v>
      </c>
      <c r="D106" s="19" t="s">
        <v>43</v>
      </c>
      <c r="E106" s="19">
        <v>4</v>
      </c>
      <c r="F106" s="19">
        <v>169</v>
      </c>
      <c r="G106" s="19">
        <v>383</v>
      </c>
    </row>
    <row r="107" spans="1:7" x14ac:dyDescent="0.3">
      <c r="A107" s="19" t="s">
        <v>87</v>
      </c>
      <c r="B107" s="19" t="s">
        <v>88</v>
      </c>
      <c r="C107" s="19" t="s">
        <v>32</v>
      </c>
      <c r="D107" s="19" t="s">
        <v>45</v>
      </c>
      <c r="E107" s="19">
        <v>11</v>
      </c>
      <c r="F107" s="19">
        <v>335</v>
      </c>
      <c r="G107" s="19">
        <v>376</v>
      </c>
    </row>
    <row r="108" spans="1:7" x14ac:dyDescent="0.3">
      <c r="A108" s="19" t="s">
        <v>87</v>
      </c>
      <c r="B108" s="19" t="s">
        <v>88</v>
      </c>
      <c r="C108" s="19" t="s">
        <v>32</v>
      </c>
      <c r="D108" s="19" t="s">
        <v>47</v>
      </c>
      <c r="E108" s="19">
        <v>6</v>
      </c>
      <c r="F108" s="19">
        <v>317</v>
      </c>
      <c r="G108" s="19">
        <v>392</v>
      </c>
    </row>
    <row r="109" spans="1:7" x14ac:dyDescent="0.3">
      <c r="A109" s="19" t="s">
        <v>87</v>
      </c>
      <c r="B109" s="19" t="s">
        <v>88</v>
      </c>
      <c r="C109" s="19" t="s">
        <v>32</v>
      </c>
      <c r="D109" s="19" t="s">
        <v>49</v>
      </c>
      <c r="E109" s="19">
        <v>7</v>
      </c>
      <c r="F109" s="19">
        <v>190</v>
      </c>
      <c r="G109" s="19">
        <v>454</v>
      </c>
    </row>
    <row r="110" spans="1:7" x14ac:dyDescent="0.3">
      <c r="A110" s="19" t="s">
        <v>89</v>
      </c>
      <c r="B110" s="19" t="s">
        <v>90</v>
      </c>
      <c r="C110" s="19" t="s">
        <v>32</v>
      </c>
      <c r="D110" s="19" t="s">
        <v>27</v>
      </c>
      <c r="E110" s="19">
        <v>4</v>
      </c>
      <c r="F110" s="19">
        <v>173</v>
      </c>
      <c r="G110" s="19">
        <v>346</v>
      </c>
    </row>
    <row r="111" spans="1:7" x14ac:dyDescent="0.3">
      <c r="A111" s="19" t="s">
        <v>89</v>
      </c>
      <c r="B111" s="19" t="s">
        <v>90</v>
      </c>
      <c r="C111" s="19" t="s">
        <v>32</v>
      </c>
      <c r="D111" s="19" t="s">
        <v>29</v>
      </c>
      <c r="E111" s="19">
        <v>6</v>
      </c>
      <c r="F111" s="19">
        <v>167</v>
      </c>
      <c r="G111" s="19">
        <v>345</v>
      </c>
    </row>
    <row r="112" spans="1:7" x14ac:dyDescent="0.3">
      <c r="A112" s="19" t="s">
        <v>89</v>
      </c>
      <c r="B112" s="19" t="s">
        <v>90</v>
      </c>
      <c r="C112" s="19" t="s">
        <v>32</v>
      </c>
      <c r="D112" s="19" t="s">
        <v>31</v>
      </c>
      <c r="E112" s="19">
        <v>2</v>
      </c>
      <c r="F112" s="19">
        <v>165</v>
      </c>
      <c r="G112" s="19">
        <v>357</v>
      </c>
    </row>
    <row r="113" spans="1:7" x14ac:dyDescent="0.3">
      <c r="A113" s="19" t="s">
        <v>89</v>
      </c>
      <c r="B113" s="19" t="s">
        <v>90</v>
      </c>
      <c r="C113" s="19" t="s">
        <v>32</v>
      </c>
      <c r="D113" s="19" t="s">
        <v>33</v>
      </c>
      <c r="E113" s="19">
        <v>4</v>
      </c>
      <c r="F113" s="19">
        <v>177</v>
      </c>
      <c r="G113" s="19">
        <v>366</v>
      </c>
    </row>
    <row r="114" spans="1:7" x14ac:dyDescent="0.3">
      <c r="A114" s="19" t="s">
        <v>89</v>
      </c>
      <c r="B114" s="19" t="s">
        <v>90</v>
      </c>
      <c r="C114" s="19" t="s">
        <v>32</v>
      </c>
      <c r="D114" s="19" t="s">
        <v>35</v>
      </c>
      <c r="E114" s="19">
        <v>6</v>
      </c>
      <c r="F114" s="19">
        <v>203</v>
      </c>
      <c r="G114" s="19">
        <v>376</v>
      </c>
    </row>
    <row r="115" spans="1:7" x14ac:dyDescent="0.3">
      <c r="A115" s="19" t="s">
        <v>89</v>
      </c>
      <c r="B115" s="19" t="s">
        <v>90</v>
      </c>
      <c r="C115" s="19" t="s">
        <v>32</v>
      </c>
      <c r="D115" s="19" t="s">
        <v>37</v>
      </c>
      <c r="E115" s="19">
        <v>4</v>
      </c>
      <c r="F115" s="19">
        <v>188</v>
      </c>
      <c r="G115" s="19">
        <v>387</v>
      </c>
    </row>
    <row r="116" spans="1:7" x14ac:dyDescent="0.3">
      <c r="A116" s="19" t="s">
        <v>89</v>
      </c>
      <c r="B116" s="19" t="s">
        <v>90</v>
      </c>
      <c r="C116" s="19" t="s">
        <v>32</v>
      </c>
      <c r="D116" s="19" t="s">
        <v>39</v>
      </c>
      <c r="E116" s="19">
        <v>4</v>
      </c>
      <c r="F116" s="19">
        <v>202</v>
      </c>
      <c r="G116" s="19">
        <v>426</v>
      </c>
    </row>
    <row r="117" spans="1:7" x14ac:dyDescent="0.3">
      <c r="A117" s="19" t="s">
        <v>89</v>
      </c>
      <c r="B117" s="19" t="s">
        <v>90</v>
      </c>
      <c r="C117" s="19" t="s">
        <v>32</v>
      </c>
      <c r="D117" s="19" t="s">
        <v>41</v>
      </c>
      <c r="E117" s="19">
        <v>6</v>
      </c>
      <c r="F117" s="19">
        <v>215</v>
      </c>
      <c r="G117" s="19">
        <v>429</v>
      </c>
    </row>
    <row r="118" spans="1:7" x14ac:dyDescent="0.3">
      <c r="A118" s="19" t="s">
        <v>89</v>
      </c>
      <c r="B118" s="19" t="s">
        <v>90</v>
      </c>
      <c r="C118" s="19" t="s">
        <v>32</v>
      </c>
      <c r="D118" s="19" t="s">
        <v>43</v>
      </c>
      <c r="E118" s="19">
        <v>4</v>
      </c>
      <c r="F118" s="19">
        <v>215</v>
      </c>
      <c r="G118" s="19">
        <v>452</v>
      </c>
    </row>
    <row r="119" spans="1:7" x14ac:dyDescent="0.3">
      <c r="A119" s="19" t="s">
        <v>89</v>
      </c>
      <c r="B119" s="19" t="s">
        <v>90</v>
      </c>
      <c r="C119" s="19" t="s">
        <v>32</v>
      </c>
      <c r="D119" s="19" t="s">
        <v>45</v>
      </c>
      <c r="E119" s="19">
        <v>9</v>
      </c>
      <c r="F119" s="19">
        <v>316</v>
      </c>
      <c r="G119" s="19">
        <v>472</v>
      </c>
    </row>
    <row r="120" spans="1:7" x14ac:dyDescent="0.3">
      <c r="A120" s="19" t="s">
        <v>89</v>
      </c>
      <c r="B120" s="19" t="s">
        <v>90</v>
      </c>
      <c r="C120" s="19" t="s">
        <v>32</v>
      </c>
      <c r="D120" s="19" t="s">
        <v>47</v>
      </c>
      <c r="E120" s="19">
        <v>9</v>
      </c>
      <c r="F120" s="19">
        <v>281</v>
      </c>
      <c r="G120" s="19">
        <v>519</v>
      </c>
    </row>
    <row r="121" spans="1:7" x14ac:dyDescent="0.3">
      <c r="A121" s="19" t="s">
        <v>89</v>
      </c>
      <c r="B121" s="19" t="s">
        <v>90</v>
      </c>
      <c r="C121" s="19" t="s">
        <v>32</v>
      </c>
      <c r="D121" s="19" t="s">
        <v>49</v>
      </c>
      <c r="E121" s="19">
        <v>6</v>
      </c>
      <c r="F121" s="19">
        <v>223</v>
      </c>
      <c r="G121" s="19">
        <v>582</v>
      </c>
    </row>
    <row r="122" spans="1:7" x14ac:dyDescent="0.3">
      <c r="A122" s="19" t="s">
        <v>91</v>
      </c>
      <c r="B122" s="19" t="s">
        <v>92</v>
      </c>
      <c r="C122" s="19" t="s">
        <v>36</v>
      </c>
      <c r="D122" s="19" t="s">
        <v>27</v>
      </c>
      <c r="E122" s="19">
        <v>1</v>
      </c>
      <c r="F122" s="19">
        <v>61</v>
      </c>
      <c r="G122" s="19">
        <v>316</v>
      </c>
    </row>
    <row r="123" spans="1:7" x14ac:dyDescent="0.3">
      <c r="A123" s="19" t="s">
        <v>91</v>
      </c>
      <c r="B123" s="19" t="s">
        <v>92</v>
      </c>
      <c r="C123" s="19" t="s">
        <v>36</v>
      </c>
      <c r="D123" s="19" t="s">
        <v>29</v>
      </c>
      <c r="E123" s="19">
        <v>1</v>
      </c>
      <c r="F123" s="19">
        <v>80</v>
      </c>
      <c r="G123" s="19">
        <v>316</v>
      </c>
    </row>
    <row r="124" spans="1:7" x14ac:dyDescent="0.3">
      <c r="A124" s="19" t="s">
        <v>91</v>
      </c>
      <c r="B124" s="19" t="s">
        <v>92</v>
      </c>
      <c r="C124" s="19" t="s">
        <v>36</v>
      </c>
      <c r="D124" s="19" t="s">
        <v>31</v>
      </c>
      <c r="E124" s="19">
        <v>2</v>
      </c>
      <c r="F124" s="19">
        <v>80</v>
      </c>
      <c r="G124" s="19">
        <v>331</v>
      </c>
    </row>
    <row r="125" spans="1:7" x14ac:dyDescent="0.3">
      <c r="A125" s="19" t="s">
        <v>91</v>
      </c>
      <c r="B125" s="19" t="s">
        <v>92</v>
      </c>
      <c r="C125" s="19" t="s">
        <v>36</v>
      </c>
      <c r="D125" s="19" t="s">
        <v>33</v>
      </c>
      <c r="E125" s="19">
        <v>1</v>
      </c>
      <c r="F125" s="19">
        <v>74</v>
      </c>
      <c r="G125" s="19">
        <v>346</v>
      </c>
    </row>
    <row r="126" spans="1:7" x14ac:dyDescent="0.3">
      <c r="A126" s="19" t="s">
        <v>91</v>
      </c>
      <c r="B126" s="19" t="s">
        <v>92</v>
      </c>
      <c r="C126" s="19" t="s">
        <v>36</v>
      </c>
      <c r="D126" s="19" t="s">
        <v>35</v>
      </c>
      <c r="E126" s="19">
        <v>1</v>
      </c>
      <c r="F126" s="19">
        <v>70</v>
      </c>
      <c r="G126" s="19">
        <v>363</v>
      </c>
    </row>
    <row r="127" spans="1:7" x14ac:dyDescent="0.3">
      <c r="A127" s="19" t="s">
        <v>91</v>
      </c>
      <c r="B127" s="19" t="s">
        <v>92</v>
      </c>
      <c r="C127" s="19" t="s">
        <v>36</v>
      </c>
      <c r="D127" s="19" t="s">
        <v>37</v>
      </c>
      <c r="E127" s="19">
        <v>1</v>
      </c>
      <c r="F127" s="19">
        <v>85</v>
      </c>
      <c r="G127" s="19">
        <v>357</v>
      </c>
    </row>
    <row r="128" spans="1:7" x14ac:dyDescent="0.3">
      <c r="A128" s="19" t="s">
        <v>91</v>
      </c>
      <c r="B128" s="19" t="s">
        <v>92</v>
      </c>
      <c r="C128" s="19" t="s">
        <v>36</v>
      </c>
      <c r="D128" s="19" t="s">
        <v>39</v>
      </c>
      <c r="E128" s="19">
        <v>1</v>
      </c>
      <c r="F128" s="19">
        <v>75</v>
      </c>
      <c r="G128" s="19">
        <v>368</v>
      </c>
    </row>
    <row r="129" spans="1:7" x14ac:dyDescent="0.3">
      <c r="A129" s="19" t="s">
        <v>91</v>
      </c>
      <c r="B129" s="19" t="s">
        <v>92</v>
      </c>
      <c r="C129" s="19" t="s">
        <v>36</v>
      </c>
      <c r="D129" s="19" t="s">
        <v>41</v>
      </c>
      <c r="E129" s="19">
        <v>2</v>
      </c>
      <c r="F129" s="19">
        <v>73</v>
      </c>
      <c r="G129" s="19">
        <v>384</v>
      </c>
    </row>
    <row r="130" spans="1:7" x14ac:dyDescent="0.3">
      <c r="A130" s="19" t="s">
        <v>91</v>
      </c>
      <c r="B130" s="19" t="s">
        <v>92</v>
      </c>
      <c r="C130" s="19" t="s">
        <v>36</v>
      </c>
      <c r="D130" s="19" t="s">
        <v>43</v>
      </c>
      <c r="E130" s="19">
        <v>1</v>
      </c>
      <c r="F130" s="19">
        <v>70</v>
      </c>
      <c r="G130" s="19">
        <v>393</v>
      </c>
    </row>
    <row r="131" spans="1:7" x14ac:dyDescent="0.3">
      <c r="A131" s="19" t="s">
        <v>91</v>
      </c>
      <c r="B131" s="19" t="s">
        <v>92</v>
      </c>
      <c r="C131" s="19" t="s">
        <v>36</v>
      </c>
      <c r="D131" s="19" t="s">
        <v>45</v>
      </c>
      <c r="E131" s="19">
        <v>5</v>
      </c>
      <c r="F131" s="19">
        <v>137</v>
      </c>
      <c r="G131" s="19">
        <v>390</v>
      </c>
    </row>
    <row r="132" spans="1:7" x14ac:dyDescent="0.3">
      <c r="A132" s="19" t="s">
        <v>91</v>
      </c>
      <c r="B132" s="19" t="s">
        <v>92</v>
      </c>
      <c r="C132" s="19" t="s">
        <v>36</v>
      </c>
      <c r="D132" s="19" t="s">
        <v>47</v>
      </c>
      <c r="E132" s="19">
        <v>2</v>
      </c>
      <c r="F132" s="19">
        <v>85</v>
      </c>
      <c r="G132" s="19">
        <v>409</v>
      </c>
    </row>
    <row r="133" spans="1:7" x14ac:dyDescent="0.3">
      <c r="A133" s="19" t="s">
        <v>91</v>
      </c>
      <c r="B133" s="19" t="s">
        <v>92</v>
      </c>
      <c r="C133" s="19" t="s">
        <v>36</v>
      </c>
      <c r="D133" s="19" t="s">
        <v>49</v>
      </c>
      <c r="E133" s="19">
        <v>1</v>
      </c>
      <c r="F133" s="19">
        <v>73</v>
      </c>
      <c r="G133" s="19">
        <v>407</v>
      </c>
    </row>
    <row r="134" spans="1:7" x14ac:dyDescent="0.3">
      <c r="A134" s="19" t="s">
        <v>94</v>
      </c>
      <c r="B134" s="19" t="s">
        <v>95</v>
      </c>
      <c r="C134" s="19" t="s">
        <v>36</v>
      </c>
      <c r="D134" s="19" t="s">
        <v>27</v>
      </c>
      <c r="E134" s="19">
        <v>2</v>
      </c>
      <c r="F134" s="19">
        <v>124</v>
      </c>
      <c r="G134" s="19">
        <v>101</v>
      </c>
    </row>
    <row r="135" spans="1:7" x14ac:dyDescent="0.3">
      <c r="A135" s="19" t="s">
        <v>94</v>
      </c>
      <c r="B135" s="19" t="s">
        <v>95</v>
      </c>
      <c r="C135" s="19" t="s">
        <v>36</v>
      </c>
      <c r="D135" s="19" t="s">
        <v>29</v>
      </c>
      <c r="E135" s="19">
        <v>4</v>
      </c>
      <c r="F135" s="19">
        <v>144</v>
      </c>
      <c r="G135" s="19">
        <v>109</v>
      </c>
    </row>
    <row r="136" spans="1:7" x14ac:dyDescent="0.3">
      <c r="A136" s="19" t="s">
        <v>94</v>
      </c>
      <c r="B136" s="19" t="s">
        <v>95</v>
      </c>
      <c r="C136" s="19" t="s">
        <v>36</v>
      </c>
      <c r="D136" s="19" t="s">
        <v>31</v>
      </c>
      <c r="E136" s="19">
        <v>5</v>
      </c>
      <c r="F136" s="19">
        <v>160</v>
      </c>
      <c r="G136" s="19">
        <v>141</v>
      </c>
    </row>
    <row r="137" spans="1:7" x14ac:dyDescent="0.3">
      <c r="A137" s="19" t="s">
        <v>94</v>
      </c>
      <c r="B137" s="19" t="s">
        <v>95</v>
      </c>
      <c r="C137" s="19" t="s">
        <v>36</v>
      </c>
      <c r="D137" s="19" t="s">
        <v>33</v>
      </c>
      <c r="E137" s="19">
        <v>5</v>
      </c>
      <c r="F137" s="19">
        <v>143</v>
      </c>
      <c r="G137" s="19">
        <v>164</v>
      </c>
    </row>
    <row r="138" spans="1:7" x14ac:dyDescent="0.3">
      <c r="A138" s="19" t="s">
        <v>94</v>
      </c>
      <c r="B138" s="19" t="s">
        <v>95</v>
      </c>
      <c r="C138" s="19" t="s">
        <v>36</v>
      </c>
      <c r="D138" s="19" t="s">
        <v>35</v>
      </c>
      <c r="E138" s="19">
        <v>3</v>
      </c>
      <c r="F138" s="19">
        <v>148</v>
      </c>
      <c r="G138" s="19">
        <v>191</v>
      </c>
    </row>
    <row r="139" spans="1:7" x14ac:dyDescent="0.3">
      <c r="A139" s="19" t="s">
        <v>94</v>
      </c>
      <c r="B139" s="19" t="s">
        <v>95</v>
      </c>
      <c r="C139" s="19" t="s">
        <v>36</v>
      </c>
      <c r="D139" s="19" t="s">
        <v>37</v>
      </c>
      <c r="E139" s="19">
        <v>5</v>
      </c>
      <c r="F139" s="19">
        <v>131</v>
      </c>
      <c r="G139" s="19">
        <v>207</v>
      </c>
    </row>
    <row r="140" spans="1:7" x14ac:dyDescent="0.3">
      <c r="A140" s="19" t="s">
        <v>94</v>
      </c>
      <c r="B140" s="19" t="s">
        <v>95</v>
      </c>
      <c r="C140" s="19" t="s">
        <v>36</v>
      </c>
      <c r="D140" s="19" t="s">
        <v>39</v>
      </c>
      <c r="E140" s="19">
        <v>2</v>
      </c>
      <c r="F140" s="19">
        <v>134</v>
      </c>
      <c r="G140" s="19">
        <v>210</v>
      </c>
    </row>
    <row r="141" spans="1:7" x14ac:dyDescent="0.3">
      <c r="A141" s="19" t="s">
        <v>94</v>
      </c>
      <c r="B141" s="19" t="s">
        <v>95</v>
      </c>
      <c r="C141" s="19" t="s">
        <v>36</v>
      </c>
      <c r="D141" s="19" t="s">
        <v>41</v>
      </c>
      <c r="E141" s="19">
        <v>1</v>
      </c>
      <c r="F141" s="19">
        <v>133</v>
      </c>
      <c r="G141" s="19">
        <v>237</v>
      </c>
    </row>
    <row r="142" spans="1:7" x14ac:dyDescent="0.3">
      <c r="A142" s="19" t="s">
        <v>94</v>
      </c>
      <c r="B142" s="19" t="s">
        <v>95</v>
      </c>
      <c r="C142" s="19" t="s">
        <v>36</v>
      </c>
      <c r="D142" s="19" t="s">
        <v>43</v>
      </c>
      <c r="E142" s="19">
        <v>4</v>
      </c>
      <c r="F142" s="19">
        <v>108</v>
      </c>
      <c r="G142" s="19">
        <v>242</v>
      </c>
    </row>
    <row r="143" spans="1:7" x14ac:dyDescent="0.3">
      <c r="A143" s="19" t="s">
        <v>94</v>
      </c>
      <c r="B143" s="19" t="s">
        <v>95</v>
      </c>
      <c r="C143" s="19" t="s">
        <v>36</v>
      </c>
      <c r="D143" s="19" t="s">
        <v>45</v>
      </c>
      <c r="E143" s="19">
        <v>4</v>
      </c>
      <c r="F143" s="19">
        <v>256</v>
      </c>
      <c r="G143" s="19">
        <v>243</v>
      </c>
    </row>
    <row r="144" spans="1:7" x14ac:dyDescent="0.3">
      <c r="A144" s="19" t="s">
        <v>94</v>
      </c>
      <c r="B144" s="19" t="s">
        <v>95</v>
      </c>
      <c r="C144" s="19" t="s">
        <v>36</v>
      </c>
      <c r="D144" s="19" t="s">
        <v>47</v>
      </c>
      <c r="E144" s="19">
        <v>5</v>
      </c>
      <c r="F144" s="19">
        <v>149</v>
      </c>
      <c r="G144" s="19">
        <v>286</v>
      </c>
    </row>
    <row r="145" spans="1:7" x14ac:dyDescent="0.3">
      <c r="A145" s="19" t="s">
        <v>94</v>
      </c>
      <c r="B145" s="19" t="s">
        <v>95</v>
      </c>
      <c r="C145" s="19" t="s">
        <v>36</v>
      </c>
      <c r="D145" s="19" t="s">
        <v>49</v>
      </c>
      <c r="E145" s="19">
        <v>4</v>
      </c>
      <c r="F145" s="19">
        <v>154</v>
      </c>
      <c r="G145" s="19">
        <v>279</v>
      </c>
    </row>
    <row r="146" spans="1:7" x14ac:dyDescent="0.3">
      <c r="A146" s="19" t="s">
        <v>96</v>
      </c>
      <c r="B146" s="19" t="s">
        <v>97</v>
      </c>
      <c r="C146" s="19" t="s">
        <v>36</v>
      </c>
      <c r="D146" s="19" t="s">
        <v>27</v>
      </c>
      <c r="E146" s="19">
        <v>1</v>
      </c>
      <c r="F146" s="19">
        <v>66</v>
      </c>
      <c r="G146" s="19">
        <v>230</v>
      </c>
    </row>
    <row r="147" spans="1:7" x14ac:dyDescent="0.3">
      <c r="A147" s="19" t="s">
        <v>96</v>
      </c>
      <c r="B147" s="19" t="s">
        <v>97</v>
      </c>
      <c r="C147" s="19" t="s">
        <v>36</v>
      </c>
      <c r="D147" s="19" t="s">
        <v>29</v>
      </c>
      <c r="E147" s="19">
        <v>1</v>
      </c>
      <c r="F147" s="19">
        <v>68</v>
      </c>
      <c r="G147" s="19">
        <v>240</v>
      </c>
    </row>
    <row r="148" spans="1:7" x14ac:dyDescent="0.3">
      <c r="A148" s="19" t="s">
        <v>96</v>
      </c>
      <c r="B148" s="19" t="s">
        <v>97</v>
      </c>
      <c r="C148" s="19" t="s">
        <v>36</v>
      </c>
      <c r="D148" s="19" t="s">
        <v>31</v>
      </c>
      <c r="E148" s="19">
        <v>1</v>
      </c>
      <c r="F148" s="19">
        <v>69</v>
      </c>
      <c r="G148" s="19">
        <v>246</v>
      </c>
    </row>
    <row r="149" spans="1:7" x14ac:dyDescent="0.3">
      <c r="A149" s="19" t="s">
        <v>96</v>
      </c>
      <c r="B149" s="19" t="s">
        <v>97</v>
      </c>
      <c r="C149" s="19" t="s">
        <v>36</v>
      </c>
      <c r="D149" s="19" t="s">
        <v>33</v>
      </c>
      <c r="E149" s="19">
        <v>1</v>
      </c>
      <c r="F149" s="19">
        <v>53</v>
      </c>
      <c r="G149" s="19">
        <v>257</v>
      </c>
    </row>
    <row r="150" spans="1:7" x14ac:dyDescent="0.3">
      <c r="A150" s="19" t="s">
        <v>96</v>
      </c>
      <c r="B150" s="19" t="s">
        <v>97</v>
      </c>
      <c r="C150" s="19" t="s">
        <v>36</v>
      </c>
      <c r="D150" s="19" t="s">
        <v>35</v>
      </c>
      <c r="E150" s="19">
        <v>1</v>
      </c>
      <c r="F150" s="19">
        <v>64</v>
      </c>
      <c r="G150" s="19">
        <v>256</v>
      </c>
    </row>
    <row r="151" spans="1:7" x14ac:dyDescent="0.3">
      <c r="A151" s="19" t="s">
        <v>96</v>
      </c>
      <c r="B151" s="19" t="s">
        <v>97</v>
      </c>
      <c r="C151" s="19" t="s">
        <v>36</v>
      </c>
      <c r="D151" s="19" t="s">
        <v>37</v>
      </c>
      <c r="E151" s="19">
        <v>2</v>
      </c>
      <c r="F151" s="19">
        <v>84</v>
      </c>
      <c r="G151" s="19">
        <v>254</v>
      </c>
    </row>
    <row r="152" spans="1:7" x14ac:dyDescent="0.3">
      <c r="A152" s="19" t="s">
        <v>96</v>
      </c>
      <c r="B152" s="19" t="s">
        <v>97</v>
      </c>
      <c r="C152" s="19" t="s">
        <v>36</v>
      </c>
      <c r="D152" s="19" t="s">
        <v>39</v>
      </c>
      <c r="E152" s="19">
        <v>1</v>
      </c>
      <c r="F152" s="19">
        <v>53</v>
      </c>
      <c r="G152" s="19">
        <v>274</v>
      </c>
    </row>
    <row r="153" spans="1:7" x14ac:dyDescent="0.3">
      <c r="A153" s="19" t="s">
        <v>96</v>
      </c>
      <c r="B153" s="19" t="s">
        <v>97</v>
      </c>
      <c r="C153" s="19" t="s">
        <v>36</v>
      </c>
      <c r="D153" s="19" t="s">
        <v>41</v>
      </c>
      <c r="E153" s="19">
        <v>1</v>
      </c>
      <c r="F153" s="19">
        <v>58</v>
      </c>
      <c r="G153" s="19">
        <v>274</v>
      </c>
    </row>
    <row r="154" spans="1:7" x14ac:dyDescent="0.3">
      <c r="A154" s="19" t="s">
        <v>96</v>
      </c>
      <c r="B154" s="19" t="s">
        <v>97</v>
      </c>
      <c r="C154" s="19" t="s">
        <v>36</v>
      </c>
      <c r="D154" s="19" t="s">
        <v>43</v>
      </c>
      <c r="E154" s="19">
        <v>1</v>
      </c>
      <c r="F154" s="19">
        <v>73</v>
      </c>
      <c r="G154" s="19">
        <v>279</v>
      </c>
    </row>
    <row r="155" spans="1:7" x14ac:dyDescent="0.3">
      <c r="A155" s="19" t="s">
        <v>96</v>
      </c>
      <c r="B155" s="19" t="s">
        <v>97</v>
      </c>
      <c r="C155" s="19" t="s">
        <v>36</v>
      </c>
      <c r="D155" s="19" t="s">
        <v>45</v>
      </c>
      <c r="E155" s="19">
        <v>3</v>
      </c>
      <c r="F155" s="19">
        <v>121</v>
      </c>
      <c r="G155" s="19">
        <v>289</v>
      </c>
    </row>
    <row r="156" spans="1:7" x14ac:dyDescent="0.3">
      <c r="A156" s="19" t="s">
        <v>96</v>
      </c>
      <c r="B156" s="19" t="s">
        <v>97</v>
      </c>
      <c r="C156" s="19" t="s">
        <v>36</v>
      </c>
      <c r="D156" s="19" t="s">
        <v>47</v>
      </c>
      <c r="E156" s="19">
        <v>1</v>
      </c>
      <c r="F156" s="19">
        <v>67</v>
      </c>
      <c r="G156" s="19">
        <v>314</v>
      </c>
    </row>
    <row r="157" spans="1:7" x14ac:dyDescent="0.3">
      <c r="A157" s="19" t="s">
        <v>96</v>
      </c>
      <c r="B157" s="19" t="s">
        <v>97</v>
      </c>
      <c r="C157" s="19" t="s">
        <v>36</v>
      </c>
      <c r="D157" s="19" t="s">
        <v>49</v>
      </c>
      <c r="E157" s="19">
        <v>1</v>
      </c>
      <c r="F157" s="19">
        <v>75</v>
      </c>
      <c r="G157" s="19">
        <v>311</v>
      </c>
    </row>
    <row r="158" spans="1:7" x14ac:dyDescent="0.3">
      <c r="A158" s="19" t="s">
        <v>98</v>
      </c>
      <c r="B158" s="19" t="s">
        <v>99</v>
      </c>
      <c r="C158" s="19" t="s">
        <v>36</v>
      </c>
      <c r="D158" s="19" t="s">
        <v>27</v>
      </c>
      <c r="E158" s="19">
        <v>1</v>
      </c>
      <c r="F158" s="19">
        <v>96</v>
      </c>
      <c r="G158" s="19">
        <v>156</v>
      </c>
    </row>
    <row r="159" spans="1:7" x14ac:dyDescent="0.3">
      <c r="A159" s="19" t="s">
        <v>98</v>
      </c>
      <c r="B159" s="19" t="s">
        <v>99</v>
      </c>
      <c r="C159" s="19" t="s">
        <v>36</v>
      </c>
      <c r="D159" s="19" t="s">
        <v>29</v>
      </c>
      <c r="E159" s="19">
        <v>2</v>
      </c>
      <c r="F159" s="19">
        <v>75</v>
      </c>
      <c r="G159" s="19">
        <v>177</v>
      </c>
    </row>
    <row r="160" spans="1:7" x14ac:dyDescent="0.3">
      <c r="A160" s="19" t="s">
        <v>98</v>
      </c>
      <c r="B160" s="19" t="s">
        <v>99</v>
      </c>
      <c r="C160" s="19" t="s">
        <v>36</v>
      </c>
      <c r="D160" s="19" t="s">
        <v>31</v>
      </c>
      <c r="E160" s="19">
        <v>3</v>
      </c>
      <c r="F160" s="19">
        <v>79</v>
      </c>
      <c r="G160" s="19">
        <v>183</v>
      </c>
    </row>
    <row r="161" spans="1:7" x14ac:dyDescent="0.3">
      <c r="A161" s="19" t="s">
        <v>98</v>
      </c>
      <c r="B161" s="19" t="s">
        <v>99</v>
      </c>
      <c r="C161" s="19" t="s">
        <v>36</v>
      </c>
      <c r="D161" s="19" t="s">
        <v>33</v>
      </c>
      <c r="E161" s="19">
        <v>2</v>
      </c>
      <c r="F161" s="19">
        <v>76</v>
      </c>
      <c r="G161" s="19">
        <v>189</v>
      </c>
    </row>
    <row r="162" spans="1:7" x14ac:dyDescent="0.3">
      <c r="A162" s="19" t="s">
        <v>98</v>
      </c>
      <c r="B162" s="19" t="s">
        <v>99</v>
      </c>
      <c r="C162" s="19" t="s">
        <v>36</v>
      </c>
      <c r="D162" s="19" t="s">
        <v>35</v>
      </c>
      <c r="E162" s="19">
        <v>3</v>
      </c>
      <c r="F162" s="19">
        <v>74</v>
      </c>
      <c r="G162" s="19">
        <v>196</v>
      </c>
    </row>
    <row r="163" spans="1:7" x14ac:dyDescent="0.3">
      <c r="A163" s="19" t="s">
        <v>98</v>
      </c>
      <c r="B163" s="19" t="s">
        <v>99</v>
      </c>
      <c r="C163" s="19" t="s">
        <v>36</v>
      </c>
      <c r="D163" s="19" t="s">
        <v>37</v>
      </c>
      <c r="E163" s="19">
        <v>1</v>
      </c>
      <c r="F163" s="19">
        <v>60</v>
      </c>
      <c r="G163" s="19">
        <v>193</v>
      </c>
    </row>
    <row r="164" spans="1:7" x14ac:dyDescent="0.3">
      <c r="A164" s="19" t="s">
        <v>98</v>
      </c>
      <c r="B164" s="19" t="s">
        <v>99</v>
      </c>
      <c r="C164" s="19" t="s">
        <v>36</v>
      </c>
      <c r="D164" s="19" t="s">
        <v>39</v>
      </c>
      <c r="E164" s="19">
        <v>2</v>
      </c>
      <c r="F164" s="19">
        <v>66</v>
      </c>
      <c r="G164" s="19">
        <v>189</v>
      </c>
    </row>
    <row r="165" spans="1:7" x14ac:dyDescent="0.3">
      <c r="A165" s="19" t="s">
        <v>98</v>
      </c>
      <c r="B165" s="19" t="s">
        <v>99</v>
      </c>
      <c r="C165" s="19" t="s">
        <v>36</v>
      </c>
      <c r="D165" s="19" t="s">
        <v>41</v>
      </c>
      <c r="E165" s="19">
        <v>1</v>
      </c>
      <c r="F165" s="19">
        <v>60</v>
      </c>
      <c r="G165" s="19">
        <v>194</v>
      </c>
    </row>
    <row r="166" spans="1:7" x14ac:dyDescent="0.3">
      <c r="A166" s="19" t="s">
        <v>98</v>
      </c>
      <c r="B166" s="19" t="s">
        <v>99</v>
      </c>
      <c r="C166" s="19" t="s">
        <v>36</v>
      </c>
      <c r="D166" s="19" t="s">
        <v>43</v>
      </c>
      <c r="E166" s="19">
        <v>1</v>
      </c>
      <c r="F166" s="19">
        <v>60</v>
      </c>
      <c r="G166" s="19">
        <v>194</v>
      </c>
    </row>
    <row r="167" spans="1:7" x14ac:dyDescent="0.3">
      <c r="A167" s="19" t="s">
        <v>98</v>
      </c>
      <c r="B167" s="19" t="s">
        <v>99</v>
      </c>
      <c r="C167" s="19" t="s">
        <v>36</v>
      </c>
      <c r="D167" s="19" t="s">
        <v>45</v>
      </c>
      <c r="E167" s="19">
        <v>2</v>
      </c>
      <c r="F167" s="19">
        <v>138</v>
      </c>
      <c r="G167" s="19">
        <v>194</v>
      </c>
    </row>
    <row r="168" spans="1:7" x14ac:dyDescent="0.3">
      <c r="A168" s="19" t="s">
        <v>98</v>
      </c>
      <c r="B168" s="19" t="s">
        <v>99</v>
      </c>
      <c r="C168" s="19" t="s">
        <v>36</v>
      </c>
      <c r="D168" s="19" t="s">
        <v>47</v>
      </c>
      <c r="E168" s="19">
        <v>1</v>
      </c>
      <c r="F168" s="19">
        <v>70</v>
      </c>
      <c r="G168" s="19">
        <v>221</v>
      </c>
    </row>
    <row r="169" spans="1:7" x14ac:dyDescent="0.3">
      <c r="A169" s="19" t="s">
        <v>98</v>
      </c>
      <c r="B169" s="19" t="s">
        <v>99</v>
      </c>
      <c r="C169" s="19" t="s">
        <v>36</v>
      </c>
      <c r="D169" s="19" t="s">
        <v>49</v>
      </c>
      <c r="E169" s="19">
        <v>2</v>
      </c>
      <c r="F169" s="19">
        <v>73</v>
      </c>
      <c r="G169" s="19">
        <v>219</v>
      </c>
    </row>
    <row r="170" spans="1:7" x14ac:dyDescent="0.3">
      <c r="A170" s="19" t="s">
        <v>100</v>
      </c>
      <c r="B170" s="19" t="s">
        <v>101</v>
      </c>
      <c r="C170" s="19" t="s">
        <v>42</v>
      </c>
      <c r="D170" s="19" t="s">
        <v>27</v>
      </c>
      <c r="E170" s="19">
        <v>2</v>
      </c>
      <c r="F170" s="19">
        <v>107</v>
      </c>
      <c r="G170" s="19">
        <v>143</v>
      </c>
    </row>
    <row r="171" spans="1:7" x14ac:dyDescent="0.3">
      <c r="A171" s="19" t="s">
        <v>100</v>
      </c>
      <c r="B171" s="19" t="s">
        <v>101</v>
      </c>
      <c r="C171" s="19" t="s">
        <v>42</v>
      </c>
      <c r="D171" s="19" t="s">
        <v>29</v>
      </c>
      <c r="E171" s="19">
        <v>3</v>
      </c>
      <c r="F171" s="19">
        <v>115</v>
      </c>
      <c r="G171" s="19">
        <v>146</v>
      </c>
    </row>
    <row r="172" spans="1:7" x14ac:dyDescent="0.3">
      <c r="A172" s="19" t="s">
        <v>100</v>
      </c>
      <c r="B172" s="19" t="s">
        <v>101</v>
      </c>
      <c r="C172" s="19" t="s">
        <v>42</v>
      </c>
      <c r="D172" s="19" t="s">
        <v>31</v>
      </c>
      <c r="E172" s="19">
        <v>1</v>
      </c>
      <c r="F172" s="19">
        <v>129</v>
      </c>
      <c r="G172" s="19">
        <v>154</v>
      </c>
    </row>
    <row r="173" spans="1:7" x14ac:dyDescent="0.3">
      <c r="A173" s="19" t="s">
        <v>100</v>
      </c>
      <c r="B173" s="19" t="s">
        <v>101</v>
      </c>
      <c r="C173" s="19" t="s">
        <v>42</v>
      </c>
      <c r="D173" s="19" t="s">
        <v>33</v>
      </c>
      <c r="E173" s="19">
        <v>3</v>
      </c>
      <c r="F173" s="19">
        <v>139</v>
      </c>
      <c r="G173" s="19">
        <v>170</v>
      </c>
    </row>
    <row r="174" spans="1:7" x14ac:dyDescent="0.3">
      <c r="A174" s="19" t="s">
        <v>100</v>
      </c>
      <c r="B174" s="19" t="s">
        <v>101</v>
      </c>
      <c r="C174" s="19" t="s">
        <v>42</v>
      </c>
      <c r="D174" s="19" t="s">
        <v>35</v>
      </c>
      <c r="E174" s="19">
        <v>3</v>
      </c>
      <c r="F174" s="19">
        <v>140</v>
      </c>
      <c r="G174" s="19">
        <v>200</v>
      </c>
    </row>
    <row r="175" spans="1:7" x14ac:dyDescent="0.3">
      <c r="A175" s="19" t="s">
        <v>100</v>
      </c>
      <c r="B175" s="19" t="s">
        <v>101</v>
      </c>
      <c r="C175" s="19" t="s">
        <v>42</v>
      </c>
      <c r="D175" s="19" t="s">
        <v>37</v>
      </c>
      <c r="E175" s="19">
        <v>2</v>
      </c>
      <c r="F175" s="19">
        <v>106</v>
      </c>
      <c r="G175" s="19">
        <v>226</v>
      </c>
    </row>
    <row r="176" spans="1:7" x14ac:dyDescent="0.3">
      <c r="A176" s="19" t="s">
        <v>100</v>
      </c>
      <c r="B176" s="19" t="s">
        <v>101</v>
      </c>
      <c r="C176" s="19" t="s">
        <v>42</v>
      </c>
      <c r="D176" s="19" t="s">
        <v>39</v>
      </c>
      <c r="E176" s="19">
        <v>4</v>
      </c>
      <c r="F176" s="19">
        <v>131</v>
      </c>
      <c r="G176" s="19">
        <v>237</v>
      </c>
    </row>
    <row r="177" spans="1:7" x14ac:dyDescent="0.3">
      <c r="A177" s="19" t="s">
        <v>100</v>
      </c>
      <c r="B177" s="19" t="s">
        <v>101</v>
      </c>
      <c r="C177" s="19" t="s">
        <v>42</v>
      </c>
      <c r="D177" s="19" t="s">
        <v>41</v>
      </c>
      <c r="E177" s="19">
        <v>2</v>
      </c>
      <c r="F177" s="19">
        <v>112</v>
      </c>
      <c r="G177" s="19">
        <v>246</v>
      </c>
    </row>
    <row r="178" spans="1:7" x14ac:dyDescent="0.3">
      <c r="A178" s="19" t="s">
        <v>100</v>
      </c>
      <c r="B178" s="19" t="s">
        <v>101</v>
      </c>
      <c r="C178" s="19" t="s">
        <v>42</v>
      </c>
      <c r="D178" s="19" t="s">
        <v>43</v>
      </c>
      <c r="E178" s="19">
        <v>2</v>
      </c>
      <c r="F178" s="19">
        <v>101</v>
      </c>
      <c r="G178" s="19">
        <v>255</v>
      </c>
    </row>
    <row r="179" spans="1:7" x14ac:dyDescent="0.3">
      <c r="A179" s="19" t="s">
        <v>100</v>
      </c>
      <c r="B179" s="19" t="s">
        <v>101</v>
      </c>
      <c r="C179" s="19" t="s">
        <v>42</v>
      </c>
      <c r="D179" s="19" t="s">
        <v>45</v>
      </c>
      <c r="E179" s="19">
        <v>2</v>
      </c>
      <c r="F179" s="19">
        <v>199</v>
      </c>
      <c r="G179" s="19">
        <v>261</v>
      </c>
    </row>
    <row r="180" spans="1:7" x14ac:dyDescent="0.3">
      <c r="A180" s="19" t="s">
        <v>100</v>
      </c>
      <c r="B180" s="19" t="s">
        <v>101</v>
      </c>
      <c r="C180" s="19" t="s">
        <v>42</v>
      </c>
      <c r="D180" s="19" t="s">
        <v>47</v>
      </c>
      <c r="E180" s="19">
        <v>4</v>
      </c>
      <c r="F180" s="19">
        <v>107</v>
      </c>
      <c r="G180" s="19">
        <v>296</v>
      </c>
    </row>
    <row r="181" spans="1:7" x14ac:dyDescent="0.3">
      <c r="A181" s="19" t="s">
        <v>100</v>
      </c>
      <c r="B181" s="19" t="s">
        <v>101</v>
      </c>
      <c r="C181" s="19" t="s">
        <v>42</v>
      </c>
      <c r="D181" s="19" t="s">
        <v>49</v>
      </c>
      <c r="E181" s="19">
        <v>4</v>
      </c>
      <c r="F181" s="19">
        <v>104</v>
      </c>
      <c r="G181" s="19">
        <v>291</v>
      </c>
    </row>
    <row r="182" spans="1:7" x14ac:dyDescent="0.3">
      <c r="A182" s="19" t="s">
        <v>102</v>
      </c>
      <c r="B182" s="19" t="s">
        <v>103</v>
      </c>
      <c r="C182" s="19" t="s">
        <v>42</v>
      </c>
      <c r="D182" s="19" t="s">
        <v>27</v>
      </c>
      <c r="E182" s="19">
        <v>2</v>
      </c>
      <c r="F182" s="19">
        <v>85</v>
      </c>
      <c r="G182" s="19">
        <v>345</v>
      </c>
    </row>
    <row r="183" spans="1:7" x14ac:dyDescent="0.3">
      <c r="A183" s="19" t="s">
        <v>102</v>
      </c>
      <c r="B183" s="19" t="s">
        <v>103</v>
      </c>
      <c r="C183" s="19" t="s">
        <v>42</v>
      </c>
      <c r="D183" s="19" t="s">
        <v>29</v>
      </c>
      <c r="E183" s="19">
        <v>3</v>
      </c>
      <c r="F183" s="19">
        <v>75</v>
      </c>
      <c r="G183" s="19">
        <v>359</v>
      </c>
    </row>
    <row r="184" spans="1:7" x14ac:dyDescent="0.3">
      <c r="A184" s="19" t="s">
        <v>102</v>
      </c>
      <c r="B184" s="19" t="s">
        <v>103</v>
      </c>
      <c r="C184" s="19" t="s">
        <v>42</v>
      </c>
      <c r="D184" s="19" t="s">
        <v>31</v>
      </c>
      <c r="E184" s="19">
        <v>3</v>
      </c>
      <c r="F184" s="19">
        <v>74</v>
      </c>
      <c r="G184" s="19">
        <v>369</v>
      </c>
    </row>
    <row r="185" spans="1:7" x14ac:dyDescent="0.3">
      <c r="A185" s="19" t="s">
        <v>102</v>
      </c>
      <c r="B185" s="19" t="s">
        <v>103</v>
      </c>
      <c r="C185" s="19" t="s">
        <v>42</v>
      </c>
      <c r="D185" s="19" t="s">
        <v>33</v>
      </c>
      <c r="E185" s="19">
        <v>2</v>
      </c>
      <c r="F185" s="19">
        <v>66</v>
      </c>
      <c r="G185" s="19">
        <v>367</v>
      </c>
    </row>
    <row r="186" spans="1:7" x14ac:dyDescent="0.3">
      <c r="A186" s="19" t="s">
        <v>102</v>
      </c>
      <c r="B186" s="19" t="s">
        <v>103</v>
      </c>
      <c r="C186" s="19" t="s">
        <v>42</v>
      </c>
      <c r="D186" s="19" t="s">
        <v>35</v>
      </c>
      <c r="E186" s="19">
        <v>2</v>
      </c>
      <c r="F186" s="19">
        <v>84</v>
      </c>
      <c r="G186" s="19">
        <v>366</v>
      </c>
    </row>
    <row r="187" spans="1:7" x14ac:dyDescent="0.3">
      <c r="A187" s="19" t="s">
        <v>102</v>
      </c>
      <c r="B187" s="19" t="s">
        <v>103</v>
      </c>
      <c r="C187" s="19" t="s">
        <v>42</v>
      </c>
      <c r="D187" s="19" t="s">
        <v>37</v>
      </c>
      <c r="E187" s="19">
        <v>2</v>
      </c>
      <c r="F187" s="19">
        <v>81</v>
      </c>
      <c r="G187" s="19">
        <v>386</v>
      </c>
    </row>
    <row r="188" spans="1:7" x14ac:dyDescent="0.3">
      <c r="A188" s="19" t="s">
        <v>102</v>
      </c>
      <c r="B188" s="19" t="s">
        <v>103</v>
      </c>
      <c r="C188" s="19" t="s">
        <v>42</v>
      </c>
      <c r="D188" s="19" t="s">
        <v>39</v>
      </c>
      <c r="E188" s="19">
        <v>3</v>
      </c>
      <c r="F188" s="19">
        <v>75</v>
      </c>
      <c r="G188" s="19">
        <v>401</v>
      </c>
    </row>
    <row r="189" spans="1:7" x14ac:dyDescent="0.3">
      <c r="A189" s="19" t="s">
        <v>102</v>
      </c>
      <c r="B189" s="19" t="s">
        <v>103</v>
      </c>
      <c r="C189" s="19" t="s">
        <v>42</v>
      </c>
      <c r="D189" s="19" t="s">
        <v>41</v>
      </c>
      <c r="E189" s="19">
        <v>1</v>
      </c>
      <c r="F189" s="19">
        <v>76</v>
      </c>
      <c r="G189" s="19">
        <v>403</v>
      </c>
    </row>
    <row r="190" spans="1:7" x14ac:dyDescent="0.3">
      <c r="A190" s="19" t="s">
        <v>102</v>
      </c>
      <c r="B190" s="19" t="s">
        <v>103</v>
      </c>
      <c r="C190" s="19" t="s">
        <v>42</v>
      </c>
      <c r="D190" s="19" t="s">
        <v>43</v>
      </c>
      <c r="E190" s="19">
        <v>3</v>
      </c>
      <c r="F190" s="19">
        <v>93</v>
      </c>
      <c r="G190" s="19">
        <v>410</v>
      </c>
    </row>
    <row r="191" spans="1:7" x14ac:dyDescent="0.3">
      <c r="A191" s="19" t="s">
        <v>102</v>
      </c>
      <c r="B191" s="19" t="s">
        <v>103</v>
      </c>
      <c r="C191" s="19" t="s">
        <v>42</v>
      </c>
      <c r="D191" s="19" t="s">
        <v>45</v>
      </c>
      <c r="E191" s="19">
        <v>5</v>
      </c>
      <c r="F191" s="19">
        <v>138</v>
      </c>
      <c r="G191" s="19">
        <v>431</v>
      </c>
    </row>
    <row r="192" spans="1:7" x14ac:dyDescent="0.3">
      <c r="A192" s="19" t="s">
        <v>102</v>
      </c>
      <c r="B192" s="19" t="s">
        <v>103</v>
      </c>
      <c r="C192" s="19" t="s">
        <v>42</v>
      </c>
      <c r="D192" s="19" t="s">
        <v>47</v>
      </c>
      <c r="E192" s="19">
        <v>2</v>
      </c>
      <c r="F192" s="19">
        <v>94</v>
      </c>
      <c r="G192" s="19">
        <v>443</v>
      </c>
    </row>
    <row r="193" spans="1:7" x14ac:dyDescent="0.3">
      <c r="A193" s="19" t="s">
        <v>102</v>
      </c>
      <c r="B193" s="19" t="s">
        <v>103</v>
      </c>
      <c r="C193" s="19" t="s">
        <v>42</v>
      </c>
      <c r="D193" s="19" t="s">
        <v>49</v>
      </c>
      <c r="E193" s="19">
        <v>1</v>
      </c>
      <c r="F193" s="19">
        <v>93</v>
      </c>
      <c r="G193" s="19">
        <v>444</v>
      </c>
    </row>
    <row r="194" spans="1:7" x14ac:dyDescent="0.3">
      <c r="A194" s="19" t="s">
        <v>104</v>
      </c>
      <c r="B194" s="19" t="s">
        <v>105</v>
      </c>
      <c r="C194" s="19" t="s">
        <v>42</v>
      </c>
      <c r="D194" s="19" t="s">
        <v>27</v>
      </c>
      <c r="E194" s="19">
        <v>4</v>
      </c>
      <c r="F194" s="19">
        <v>104</v>
      </c>
      <c r="G194" s="19">
        <v>362</v>
      </c>
    </row>
    <row r="195" spans="1:7" x14ac:dyDescent="0.3">
      <c r="A195" s="19" t="s">
        <v>104</v>
      </c>
      <c r="B195" s="19" t="s">
        <v>105</v>
      </c>
      <c r="C195" s="19" t="s">
        <v>42</v>
      </c>
      <c r="D195" s="19" t="s">
        <v>29</v>
      </c>
      <c r="E195" s="19">
        <v>2</v>
      </c>
      <c r="F195" s="19">
        <v>105</v>
      </c>
      <c r="G195" s="19">
        <v>368</v>
      </c>
    </row>
    <row r="196" spans="1:7" x14ac:dyDescent="0.3">
      <c r="A196" s="19" t="s">
        <v>104</v>
      </c>
      <c r="B196" s="19" t="s">
        <v>105</v>
      </c>
      <c r="C196" s="19" t="s">
        <v>42</v>
      </c>
      <c r="D196" s="19" t="s">
        <v>31</v>
      </c>
      <c r="E196" s="19">
        <v>2</v>
      </c>
      <c r="F196" s="19">
        <v>92</v>
      </c>
      <c r="G196" s="19">
        <v>367</v>
      </c>
    </row>
    <row r="197" spans="1:7" x14ac:dyDescent="0.3">
      <c r="A197" s="19" t="s">
        <v>104</v>
      </c>
      <c r="B197" s="19" t="s">
        <v>105</v>
      </c>
      <c r="C197" s="19" t="s">
        <v>42</v>
      </c>
      <c r="D197" s="19" t="s">
        <v>33</v>
      </c>
      <c r="E197" s="19">
        <v>3</v>
      </c>
      <c r="F197" s="19">
        <v>115</v>
      </c>
      <c r="G197" s="19">
        <v>368</v>
      </c>
    </row>
    <row r="198" spans="1:7" x14ac:dyDescent="0.3">
      <c r="A198" s="19" t="s">
        <v>104</v>
      </c>
      <c r="B198" s="19" t="s">
        <v>105</v>
      </c>
      <c r="C198" s="19" t="s">
        <v>42</v>
      </c>
      <c r="D198" s="19" t="s">
        <v>35</v>
      </c>
      <c r="E198" s="19">
        <v>1</v>
      </c>
      <c r="F198" s="19">
        <v>105</v>
      </c>
      <c r="G198" s="19">
        <v>395</v>
      </c>
    </row>
    <row r="199" spans="1:7" x14ac:dyDescent="0.3">
      <c r="A199" s="19" t="s">
        <v>104</v>
      </c>
      <c r="B199" s="19" t="s">
        <v>105</v>
      </c>
      <c r="C199" s="19" t="s">
        <v>42</v>
      </c>
      <c r="D199" s="19" t="s">
        <v>37</v>
      </c>
      <c r="E199" s="19">
        <v>3</v>
      </c>
      <c r="F199" s="19">
        <v>82</v>
      </c>
      <c r="G199" s="19">
        <v>416</v>
      </c>
    </row>
    <row r="200" spans="1:7" x14ac:dyDescent="0.3">
      <c r="A200" s="19" t="s">
        <v>104</v>
      </c>
      <c r="B200" s="19" t="s">
        <v>105</v>
      </c>
      <c r="C200" s="19" t="s">
        <v>42</v>
      </c>
      <c r="D200" s="19" t="s">
        <v>39</v>
      </c>
      <c r="E200" s="19">
        <v>1</v>
      </c>
      <c r="F200" s="19">
        <v>93</v>
      </c>
      <c r="G200" s="19">
        <v>414</v>
      </c>
    </row>
    <row r="201" spans="1:7" x14ac:dyDescent="0.3">
      <c r="A201" s="19" t="s">
        <v>104</v>
      </c>
      <c r="B201" s="19" t="s">
        <v>105</v>
      </c>
      <c r="C201" s="19" t="s">
        <v>42</v>
      </c>
      <c r="D201" s="19" t="s">
        <v>41</v>
      </c>
      <c r="E201" s="19">
        <v>4</v>
      </c>
      <c r="F201" s="19">
        <v>98</v>
      </c>
      <c r="G201" s="19">
        <v>403</v>
      </c>
    </row>
    <row r="202" spans="1:7" x14ac:dyDescent="0.3">
      <c r="A202" s="19" t="s">
        <v>104</v>
      </c>
      <c r="B202" s="19" t="s">
        <v>105</v>
      </c>
      <c r="C202" s="19" t="s">
        <v>42</v>
      </c>
      <c r="D202" s="19" t="s">
        <v>43</v>
      </c>
      <c r="E202" s="19">
        <v>1</v>
      </c>
      <c r="F202" s="19">
        <v>101</v>
      </c>
      <c r="G202" s="19">
        <v>399</v>
      </c>
    </row>
    <row r="203" spans="1:7" x14ac:dyDescent="0.3">
      <c r="A203" s="19" t="s">
        <v>104</v>
      </c>
      <c r="B203" s="19" t="s">
        <v>105</v>
      </c>
      <c r="C203" s="19" t="s">
        <v>42</v>
      </c>
      <c r="D203" s="19" t="s">
        <v>45</v>
      </c>
      <c r="E203" s="19">
        <v>6</v>
      </c>
      <c r="F203" s="19">
        <v>173</v>
      </c>
      <c r="G203" s="19">
        <v>405</v>
      </c>
    </row>
    <row r="204" spans="1:7" x14ac:dyDescent="0.3">
      <c r="A204" s="19" t="s">
        <v>104</v>
      </c>
      <c r="B204" s="19" t="s">
        <v>105</v>
      </c>
      <c r="C204" s="19" t="s">
        <v>42</v>
      </c>
      <c r="D204" s="19" t="s">
        <v>47</v>
      </c>
      <c r="E204" s="19">
        <v>3</v>
      </c>
      <c r="F204" s="19">
        <v>129</v>
      </c>
      <c r="G204" s="19">
        <v>426</v>
      </c>
    </row>
    <row r="205" spans="1:7" x14ac:dyDescent="0.3">
      <c r="A205" s="19" t="s">
        <v>104</v>
      </c>
      <c r="B205" s="19" t="s">
        <v>105</v>
      </c>
      <c r="C205" s="19" t="s">
        <v>42</v>
      </c>
      <c r="D205" s="19" t="s">
        <v>49</v>
      </c>
      <c r="E205" s="19">
        <v>2</v>
      </c>
      <c r="F205" s="19">
        <v>100</v>
      </c>
      <c r="G205" s="19">
        <v>438</v>
      </c>
    </row>
    <row r="206" spans="1:7" x14ac:dyDescent="0.3">
      <c r="A206" s="19" t="s">
        <v>106</v>
      </c>
      <c r="B206" s="19" t="s">
        <v>107</v>
      </c>
      <c r="C206" s="19" t="s">
        <v>34</v>
      </c>
      <c r="D206" s="19" t="s">
        <v>27</v>
      </c>
      <c r="E206" s="19">
        <v>1</v>
      </c>
      <c r="F206" s="19">
        <v>134</v>
      </c>
      <c r="G206" s="19">
        <v>130</v>
      </c>
    </row>
    <row r="207" spans="1:7" x14ac:dyDescent="0.3">
      <c r="A207" s="19" t="s">
        <v>106</v>
      </c>
      <c r="B207" s="19" t="s">
        <v>107</v>
      </c>
      <c r="C207" s="19" t="s">
        <v>34</v>
      </c>
      <c r="D207" s="19" t="s">
        <v>29</v>
      </c>
      <c r="E207" s="19">
        <v>2</v>
      </c>
      <c r="F207" s="19">
        <v>90</v>
      </c>
      <c r="G207" s="19">
        <v>151</v>
      </c>
    </row>
    <row r="208" spans="1:7" x14ac:dyDescent="0.3">
      <c r="A208" s="19" t="s">
        <v>106</v>
      </c>
      <c r="B208" s="19" t="s">
        <v>107</v>
      </c>
      <c r="C208" s="19" t="s">
        <v>34</v>
      </c>
      <c r="D208" s="19" t="s">
        <v>31</v>
      </c>
      <c r="E208" s="19">
        <v>2</v>
      </c>
      <c r="F208" s="19">
        <v>108</v>
      </c>
      <c r="G208" s="19">
        <v>144</v>
      </c>
    </row>
    <row r="209" spans="1:7" x14ac:dyDescent="0.3">
      <c r="A209" s="19" t="s">
        <v>106</v>
      </c>
      <c r="B209" s="19" t="s">
        <v>107</v>
      </c>
      <c r="C209" s="19" t="s">
        <v>34</v>
      </c>
      <c r="D209" s="19" t="s">
        <v>33</v>
      </c>
      <c r="E209" s="19">
        <v>2</v>
      </c>
      <c r="F209" s="19">
        <v>108</v>
      </c>
      <c r="G209" s="19">
        <v>152</v>
      </c>
    </row>
    <row r="210" spans="1:7" x14ac:dyDescent="0.3">
      <c r="A210" s="19" t="s">
        <v>106</v>
      </c>
      <c r="B210" s="19" t="s">
        <v>107</v>
      </c>
      <c r="C210" s="19" t="s">
        <v>34</v>
      </c>
      <c r="D210" s="19" t="s">
        <v>35</v>
      </c>
      <c r="E210" s="19">
        <v>3</v>
      </c>
      <c r="F210" s="19">
        <v>118</v>
      </c>
      <c r="G210" s="19">
        <v>149</v>
      </c>
    </row>
    <row r="211" spans="1:7" x14ac:dyDescent="0.3">
      <c r="A211" s="19" t="s">
        <v>106</v>
      </c>
      <c r="B211" s="19" t="s">
        <v>107</v>
      </c>
      <c r="C211" s="19" t="s">
        <v>34</v>
      </c>
      <c r="D211" s="19" t="s">
        <v>37</v>
      </c>
      <c r="E211" s="19">
        <v>2</v>
      </c>
      <c r="F211" s="19">
        <v>112</v>
      </c>
      <c r="G211" s="19">
        <v>167</v>
      </c>
    </row>
    <row r="212" spans="1:7" x14ac:dyDescent="0.3">
      <c r="A212" s="19" t="s">
        <v>106</v>
      </c>
      <c r="B212" s="19" t="s">
        <v>107</v>
      </c>
      <c r="C212" s="19" t="s">
        <v>34</v>
      </c>
      <c r="D212" s="19" t="s">
        <v>39</v>
      </c>
      <c r="E212" s="19">
        <v>2</v>
      </c>
      <c r="F212" s="19">
        <v>128</v>
      </c>
      <c r="G212" s="19">
        <v>182</v>
      </c>
    </row>
    <row r="213" spans="1:7" x14ac:dyDescent="0.3">
      <c r="A213" s="19" t="s">
        <v>106</v>
      </c>
      <c r="B213" s="19" t="s">
        <v>107</v>
      </c>
      <c r="C213" s="19" t="s">
        <v>34</v>
      </c>
      <c r="D213" s="19" t="s">
        <v>41</v>
      </c>
      <c r="E213" s="19">
        <v>4</v>
      </c>
      <c r="F213" s="19">
        <v>118</v>
      </c>
      <c r="G213" s="19">
        <v>192</v>
      </c>
    </row>
    <row r="214" spans="1:7" x14ac:dyDescent="0.3">
      <c r="A214" s="19" t="s">
        <v>106</v>
      </c>
      <c r="B214" s="19" t="s">
        <v>107</v>
      </c>
      <c r="C214" s="19" t="s">
        <v>34</v>
      </c>
      <c r="D214" s="19" t="s">
        <v>43</v>
      </c>
      <c r="E214" s="19">
        <v>3</v>
      </c>
      <c r="F214" s="19">
        <v>141</v>
      </c>
      <c r="G214" s="19">
        <v>221</v>
      </c>
    </row>
    <row r="215" spans="1:7" x14ac:dyDescent="0.3">
      <c r="A215" s="19" t="s">
        <v>106</v>
      </c>
      <c r="B215" s="19" t="s">
        <v>107</v>
      </c>
      <c r="C215" s="19" t="s">
        <v>34</v>
      </c>
      <c r="D215" s="19" t="s">
        <v>45</v>
      </c>
      <c r="E215" s="19">
        <v>3</v>
      </c>
      <c r="F215" s="19">
        <v>240</v>
      </c>
      <c r="G215" s="19">
        <v>244</v>
      </c>
    </row>
    <row r="216" spans="1:7" x14ac:dyDescent="0.3">
      <c r="A216" s="19" t="s">
        <v>106</v>
      </c>
      <c r="B216" s="19" t="s">
        <v>107</v>
      </c>
      <c r="C216" s="19" t="s">
        <v>34</v>
      </c>
      <c r="D216" s="19" t="s">
        <v>47</v>
      </c>
      <c r="E216" s="19">
        <v>4</v>
      </c>
      <c r="F216" s="19">
        <v>118</v>
      </c>
      <c r="G216" s="19">
        <v>291</v>
      </c>
    </row>
    <row r="217" spans="1:7" x14ac:dyDescent="0.3">
      <c r="A217" s="19" t="s">
        <v>106</v>
      </c>
      <c r="B217" s="19" t="s">
        <v>107</v>
      </c>
      <c r="C217" s="19" t="s">
        <v>34</v>
      </c>
      <c r="D217" s="19" t="s">
        <v>49</v>
      </c>
      <c r="E217" s="19">
        <v>1</v>
      </c>
      <c r="F217" s="19">
        <v>122</v>
      </c>
      <c r="G217" s="19">
        <v>297</v>
      </c>
    </row>
    <row r="218" spans="1:7" x14ac:dyDescent="0.3">
      <c r="A218" s="19" t="s">
        <v>108</v>
      </c>
      <c r="B218" s="19" t="s">
        <v>109</v>
      </c>
      <c r="C218" s="19" t="s">
        <v>34</v>
      </c>
      <c r="D218" s="19" t="s">
        <v>27</v>
      </c>
      <c r="E218" s="19">
        <v>5</v>
      </c>
      <c r="F218" s="19">
        <v>177</v>
      </c>
      <c r="G218" s="19">
        <v>334</v>
      </c>
    </row>
    <row r="219" spans="1:7" x14ac:dyDescent="0.3">
      <c r="A219" s="19" t="s">
        <v>108</v>
      </c>
      <c r="B219" s="19" t="s">
        <v>109</v>
      </c>
      <c r="C219" s="19" t="s">
        <v>34</v>
      </c>
      <c r="D219" s="19" t="s">
        <v>29</v>
      </c>
      <c r="E219" s="19">
        <v>2</v>
      </c>
      <c r="F219" s="19">
        <v>137</v>
      </c>
      <c r="G219" s="19">
        <v>375</v>
      </c>
    </row>
    <row r="220" spans="1:7" x14ac:dyDescent="0.3">
      <c r="A220" s="19" t="s">
        <v>108</v>
      </c>
      <c r="B220" s="19" t="s">
        <v>109</v>
      </c>
      <c r="C220" s="19" t="s">
        <v>34</v>
      </c>
      <c r="D220" s="19" t="s">
        <v>31</v>
      </c>
      <c r="E220" s="19">
        <v>4</v>
      </c>
      <c r="F220" s="19">
        <v>165</v>
      </c>
      <c r="G220" s="19">
        <v>374</v>
      </c>
    </row>
    <row r="221" spans="1:7" x14ac:dyDescent="0.3">
      <c r="A221" s="19" t="s">
        <v>108</v>
      </c>
      <c r="B221" s="19" t="s">
        <v>109</v>
      </c>
      <c r="C221" s="19" t="s">
        <v>34</v>
      </c>
      <c r="D221" s="19" t="s">
        <v>33</v>
      </c>
      <c r="E221" s="19">
        <v>1</v>
      </c>
      <c r="F221" s="19">
        <v>129</v>
      </c>
      <c r="G221" s="19">
        <v>405</v>
      </c>
    </row>
    <row r="222" spans="1:7" x14ac:dyDescent="0.3">
      <c r="A222" s="19" t="s">
        <v>108</v>
      </c>
      <c r="B222" s="19" t="s">
        <v>109</v>
      </c>
      <c r="C222" s="19" t="s">
        <v>34</v>
      </c>
      <c r="D222" s="19" t="s">
        <v>35</v>
      </c>
      <c r="E222" s="19">
        <v>2</v>
      </c>
      <c r="F222" s="19">
        <v>114</v>
      </c>
      <c r="G222" s="19">
        <v>420</v>
      </c>
    </row>
    <row r="223" spans="1:7" x14ac:dyDescent="0.3">
      <c r="A223" s="19" t="s">
        <v>108</v>
      </c>
      <c r="B223" s="19" t="s">
        <v>109</v>
      </c>
      <c r="C223" s="19" t="s">
        <v>34</v>
      </c>
      <c r="D223" s="19" t="s">
        <v>37</v>
      </c>
      <c r="E223" s="19">
        <v>2</v>
      </c>
      <c r="F223" s="19">
        <v>128</v>
      </c>
      <c r="G223" s="19">
        <v>424</v>
      </c>
    </row>
    <row r="224" spans="1:7" x14ac:dyDescent="0.3">
      <c r="A224" s="19" t="s">
        <v>108</v>
      </c>
      <c r="B224" s="19" t="s">
        <v>109</v>
      </c>
      <c r="C224" s="19" t="s">
        <v>34</v>
      </c>
      <c r="D224" s="19" t="s">
        <v>39</v>
      </c>
      <c r="E224" s="19">
        <v>4</v>
      </c>
      <c r="F224" s="19">
        <v>148</v>
      </c>
      <c r="G224" s="19">
        <v>431</v>
      </c>
    </row>
    <row r="225" spans="1:7" x14ac:dyDescent="0.3">
      <c r="A225" s="19" t="s">
        <v>108</v>
      </c>
      <c r="B225" s="19" t="s">
        <v>109</v>
      </c>
      <c r="C225" s="19" t="s">
        <v>34</v>
      </c>
      <c r="D225" s="19" t="s">
        <v>41</v>
      </c>
      <c r="E225" s="19">
        <v>4</v>
      </c>
      <c r="F225" s="19">
        <v>144</v>
      </c>
      <c r="G225" s="19">
        <v>441</v>
      </c>
    </row>
    <row r="226" spans="1:7" x14ac:dyDescent="0.3">
      <c r="A226" s="19" t="s">
        <v>108</v>
      </c>
      <c r="B226" s="19" t="s">
        <v>109</v>
      </c>
      <c r="C226" s="19" t="s">
        <v>34</v>
      </c>
      <c r="D226" s="19" t="s">
        <v>43</v>
      </c>
      <c r="E226" s="19">
        <v>4</v>
      </c>
      <c r="F226" s="19">
        <v>149</v>
      </c>
      <c r="G226" s="19">
        <v>471</v>
      </c>
    </row>
    <row r="227" spans="1:7" x14ac:dyDescent="0.3">
      <c r="A227" s="19" t="s">
        <v>108</v>
      </c>
      <c r="B227" s="19" t="s">
        <v>109</v>
      </c>
      <c r="C227" s="19" t="s">
        <v>34</v>
      </c>
      <c r="D227" s="19" t="s">
        <v>45</v>
      </c>
      <c r="E227" s="19">
        <v>3</v>
      </c>
      <c r="F227" s="19">
        <v>213</v>
      </c>
      <c r="G227" s="19">
        <v>503</v>
      </c>
    </row>
    <row r="228" spans="1:7" x14ac:dyDescent="0.3">
      <c r="A228" s="19" t="s">
        <v>108</v>
      </c>
      <c r="B228" s="19" t="s">
        <v>109</v>
      </c>
      <c r="C228" s="19" t="s">
        <v>34</v>
      </c>
      <c r="D228" s="19" t="s">
        <v>47</v>
      </c>
      <c r="E228" s="19">
        <v>5</v>
      </c>
      <c r="F228" s="19">
        <v>163</v>
      </c>
      <c r="G228" s="19">
        <v>538</v>
      </c>
    </row>
    <row r="229" spans="1:7" x14ac:dyDescent="0.3">
      <c r="A229" s="19" t="s">
        <v>108</v>
      </c>
      <c r="B229" s="19" t="s">
        <v>109</v>
      </c>
      <c r="C229" s="19" t="s">
        <v>34</v>
      </c>
      <c r="D229" s="19" t="s">
        <v>49</v>
      </c>
      <c r="E229" s="19">
        <v>2</v>
      </c>
      <c r="F229" s="19">
        <v>117</v>
      </c>
      <c r="G229" s="19">
        <v>549</v>
      </c>
    </row>
    <row r="230" spans="1:7" x14ac:dyDescent="0.3">
      <c r="A230" s="19" t="s">
        <v>110</v>
      </c>
      <c r="B230" s="19" t="s">
        <v>111</v>
      </c>
      <c r="C230" s="19" t="s">
        <v>34</v>
      </c>
      <c r="D230" s="19" t="s">
        <v>27</v>
      </c>
      <c r="E230" s="19">
        <v>2</v>
      </c>
      <c r="F230" s="19">
        <v>92</v>
      </c>
      <c r="G230" s="19">
        <v>379</v>
      </c>
    </row>
    <row r="231" spans="1:7" x14ac:dyDescent="0.3">
      <c r="A231" s="19" t="s">
        <v>110</v>
      </c>
      <c r="B231" s="19" t="s">
        <v>111</v>
      </c>
      <c r="C231" s="19" t="s">
        <v>34</v>
      </c>
      <c r="D231" s="19" t="s">
        <v>29</v>
      </c>
      <c r="E231" s="19">
        <v>3</v>
      </c>
      <c r="F231" s="19">
        <v>94</v>
      </c>
      <c r="G231" s="19">
        <v>391</v>
      </c>
    </row>
    <row r="232" spans="1:7" x14ac:dyDescent="0.3">
      <c r="A232" s="19" t="s">
        <v>110</v>
      </c>
      <c r="B232" s="19" t="s">
        <v>111</v>
      </c>
      <c r="C232" s="19" t="s">
        <v>34</v>
      </c>
      <c r="D232" s="19" t="s">
        <v>31</v>
      </c>
      <c r="E232" s="19">
        <v>2</v>
      </c>
      <c r="F232" s="19">
        <v>100</v>
      </c>
      <c r="G232" s="19">
        <v>405</v>
      </c>
    </row>
    <row r="233" spans="1:7" x14ac:dyDescent="0.3">
      <c r="A233" s="19" t="s">
        <v>110</v>
      </c>
      <c r="B233" s="19" t="s">
        <v>111</v>
      </c>
      <c r="C233" s="19" t="s">
        <v>34</v>
      </c>
      <c r="D233" s="19" t="s">
        <v>33</v>
      </c>
      <c r="E233" s="19">
        <v>1</v>
      </c>
      <c r="F233" s="19">
        <v>102</v>
      </c>
      <c r="G233" s="19">
        <v>420</v>
      </c>
    </row>
    <row r="234" spans="1:7" x14ac:dyDescent="0.3">
      <c r="A234" s="19" t="s">
        <v>110</v>
      </c>
      <c r="B234" s="19" t="s">
        <v>111</v>
      </c>
      <c r="C234" s="19" t="s">
        <v>34</v>
      </c>
      <c r="D234" s="19" t="s">
        <v>35</v>
      </c>
      <c r="E234" s="19">
        <v>1</v>
      </c>
      <c r="F234" s="19">
        <v>92</v>
      </c>
      <c r="G234" s="19">
        <v>435</v>
      </c>
    </row>
    <row r="235" spans="1:7" x14ac:dyDescent="0.3">
      <c r="A235" s="19" t="s">
        <v>110</v>
      </c>
      <c r="B235" s="19" t="s">
        <v>111</v>
      </c>
      <c r="C235" s="19" t="s">
        <v>34</v>
      </c>
      <c r="D235" s="19" t="s">
        <v>37</v>
      </c>
      <c r="E235" s="19">
        <v>2</v>
      </c>
      <c r="F235" s="19">
        <v>89</v>
      </c>
      <c r="G235" s="19">
        <v>456</v>
      </c>
    </row>
    <row r="236" spans="1:7" x14ac:dyDescent="0.3">
      <c r="A236" s="19" t="s">
        <v>110</v>
      </c>
      <c r="B236" s="19" t="s">
        <v>111</v>
      </c>
      <c r="C236" s="19" t="s">
        <v>34</v>
      </c>
      <c r="D236" s="19" t="s">
        <v>39</v>
      </c>
      <c r="E236" s="19">
        <v>2</v>
      </c>
      <c r="F236" s="19">
        <v>98</v>
      </c>
      <c r="G236" s="19">
        <v>460</v>
      </c>
    </row>
    <row r="237" spans="1:7" x14ac:dyDescent="0.3">
      <c r="A237" s="19" t="s">
        <v>110</v>
      </c>
      <c r="B237" s="19" t="s">
        <v>111</v>
      </c>
      <c r="C237" s="19" t="s">
        <v>34</v>
      </c>
      <c r="D237" s="19" t="s">
        <v>41</v>
      </c>
      <c r="E237" s="19">
        <v>3</v>
      </c>
      <c r="F237" s="19">
        <v>108</v>
      </c>
      <c r="G237" s="19">
        <v>470</v>
      </c>
    </row>
    <row r="238" spans="1:7" x14ac:dyDescent="0.3">
      <c r="A238" s="19" t="s">
        <v>110</v>
      </c>
      <c r="B238" s="19" t="s">
        <v>111</v>
      </c>
      <c r="C238" s="19" t="s">
        <v>34</v>
      </c>
      <c r="D238" s="19" t="s">
        <v>43</v>
      </c>
      <c r="E238" s="19">
        <v>3</v>
      </c>
      <c r="F238" s="19">
        <v>95</v>
      </c>
      <c r="G238" s="19">
        <v>486</v>
      </c>
    </row>
    <row r="239" spans="1:7" x14ac:dyDescent="0.3">
      <c r="A239" s="19" t="s">
        <v>110</v>
      </c>
      <c r="B239" s="19" t="s">
        <v>111</v>
      </c>
      <c r="C239" s="19" t="s">
        <v>34</v>
      </c>
      <c r="D239" s="19" t="s">
        <v>45</v>
      </c>
      <c r="E239" s="19">
        <v>3</v>
      </c>
      <c r="F239" s="19">
        <v>130</v>
      </c>
      <c r="G239" s="19">
        <v>489</v>
      </c>
    </row>
    <row r="240" spans="1:7" x14ac:dyDescent="0.3">
      <c r="A240" s="19" t="s">
        <v>110</v>
      </c>
      <c r="B240" s="19" t="s">
        <v>111</v>
      </c>
      <c r="C240" s="19" t="s">
        <v>34</v>
      </c>
      <c r="D240" s="19" t="s">
        <v>47</v>
      </c>
      <c r="E240" s="19">
        <v>3</v>
      </c>
      <c r="F240" s="19">
        <v>116</v>
      </c>
      <c r="G240" s="19">
        <v>487</v>
      </c>
    </row>
    <row r="241" spans="1:7" x14ac:dyDescent="0.3">
      <c r="A241" s="19" t="s">
        <v>110</v>
      </c>
      <c r="B241" s="19" t="s">
        <v>111</v>
      </c>
      <c r="C241" s="19" t="s">
        <v>34</v>
      </c>
      <c r="D241" s="19" t="s">
        <v>49</v>
      </c>
      <c r="E241" s="19">
        <v>3</v>
      </c>
      <c r="F241" s="19">
        <v>99</v>
      </c>
      <c r="G241" s="19">
        <v>514</v>
      </c>
    </row>
    <row r="242" spans="1:7" x14ac:dyDescent="0.3">
      <c r="A242" s="19" t="s">
        <v>112</v>
      </c>
      <c r="B242" s="19" t="s">
        <v>113</v>
      </c>
      <c r="C242" s="19" t="s">
        <v>34</v>
      </c>
      <c r="D242" s="19" t="s">
        <v>27</v>
      </c>
      <c r="E242" s="19">
        <v>2</v>
      </c>
      <c r="F242" s="19">
        <v>81</v>
      </c>
      <c r="G242" s="19">
        <v>385</v>
      </c>
    </row>
    <row r="243" spans="1:7" x14ac:dyDescent="0.3">
      <c r="A243" s="19" t="s">
        <v>112</v>
      </c>
      <c r="B243" s="19" t="s">
        <v>113</v>
      </c>
      <c r="C243" s="19" t="s">
        <v>34</v>
      </c>
      <c r="D243" s="19" t="s">
        <v>29</v>
      </c>
      <c r="E243" s="19">
        <v>3</v>
      </c>
      <c r="F243" s="19">
        <v>82</v>
      </c>
      <c r="G243" s="19">
        <v>378</v>
      </c>
    </row>
    <row r="244" spans="1:7" x14ac:dyDescent="0.3">
      <c r="A244" s="19" t="s">
        <v>112</v>
      </c>
      <c r="B244" s="19" t="s">
        <v>113</v>
      </c>
      <c r="C244" s="19" t="s">
        <v>34</v>
      </c>
      <c r="D244" s="19" t="s">
        <v>31</v>
      </c>
      <c r="E244" s="19">
        <v>1</v>
      </c>
      <c r="F244" s="19">
        <v>97</v>
      </c>
      <c r="G244" s="19">
        <v>378</v>
      </c>
    </row>
    <row r="245" spans="1:7" x14ac:dyDescent="0.3">
      <c r="A245" s="19" t="s">
        <v>112</v>
      </c>
      <c r="B245" s="19" t="s">
        <v>113</v>
      </c>
      <c r="C245" s="19" t="s">
        <v>34</v>
      </c>
      <c r="D245" s="19" t="s">
        <v>33</v>
      </c>
      <c r="E245" s="19">
        <v>2</v>
      </c>
      <c r="F245" s="19">
        <v>96</v>
      </c>
      <c r="G245" s="19">
        <v>395</v>
      </c>
    </row>
    <row r="246" spans="1:7" x14ac:dyDescent="0.3">
      <c r="A246" s="19" t="s">
        <v>112</v>
      </c>
      <c r="B246" s="19" t="s">
        <v>113</v>
      </c>
      <c r="C246" s="19" t="s">
        <v>34</v>
      </c>
      <c r="D246" s="19" t="s">
        <v>35</v>
      </c>
      <c r="E246" s="19">
        <v>3</v>
      </c>
      <c r="F246" s="19">
        <v>98</v>
      </c>
      <c r="G246" s="19">
        <v>406</v>
      </c>
    </row>
    <row r="247" spans="1:7" x14ac:dyDescent="0.3">
      <c r="A247" s="19" t="s">
        <v>112</v>
      </c>
      <c r="B247" s="19" t="s">
        <v>113</v>
      </c>
      <c r="C247" s="19" t="s">
        <v>34</v>
      </c>
      <c r="D247" s="19" t="s">
        <v>37</v>
      </c>
      <c r="E247" s="19">
        <v>2</v>
      </c>
      <c r="F247" s="19">
        <v>81</v>
      </c>
      <c r="G247" s="19">
        <v>419</v>
      </c>
    </row>
    <row r="248" spans="1:7" x14ac:dyDescent="0.3">
      <c r="A248" s="19" t="s">
        <v>112</v>
      </c>
      <c r="B248" s="19" t="s">
        <v>113</v>
      </c>
      <c r="C248" s="19" t="s">
        <v>34</v>
      </c>
      <c r="D248" s="19" t="s">
        <v>39</v>
      </c>
      <c r="E248" s="19">
        <v>1</v>
      </c>
      <c r="F248" s="19">
        <v>72</v>
      </c>
      <c r="G248" s="19">
        <v>415</v>
      </c>
    </row>
    <row r="249" spans="1:7" x14ac:dyDescent="0.3">
      <c r="A249" s="19" t="s">
        <v>112</v>
      </c>
      <c r="B249" s="19" t="s">
        <v>113</v>
      </c>
      <c r="C249" s="19" t="s">
        <v>34</v>
      </c>
      <c r="D249" s="19" t="s">
        <v>41</v>
      </c>
      <c r="E249" s="19">
        <v>1</v>
      </c>
      <c r="F249" s="19">
        <v>71</v>
      </c>
      <c r="G249" s="19">
        <v>409</v>
      </c>
    </row>
    <row r="250" spans="1:7" x14ac:dyDescent="0.3">
      <c r="A250" s="19" t="s">
        <v>112</v>
      </c>
      <c r="B250" s="19" t="s">
        <v>113</v>
      </c>
      <c r="C250" s="19" t="s">
        <v>34</v>
      </c>
      <c r="D250" s="19" t="s">
        <v>43</v>
      </c>
      <c r="E250" s="19">
        <v>2</v>
      </c>
      <c r="F250" s="19">
        <v>84</v>
      </c>
      <c r="G250" s="19">
        <v>405</v>
      </c>
    </row>
    <row r="251" spans="1:7" x14ac:dyDescent="0.3">
      <c r="A251" s="19" t="s">
        <v>112</v>
      </c>
      <c r="B251" s="19" t="s">
        <v>113</v>
      </c>
      <c r="C251" s="19" t="s">
        <v>34</v>
      </c>
      <c r="D251" s="19" t="s">
        <v>45</v>
      </c>
      <c r="E251" s="19">
        <v>5</v>
      </c>
      <c r="F251" s="19">
        <v>151</v>
      </c>
      <c r="G251" s="19">
        <v>416</v>
      </c>
    </row>
    <row r="252" spans="1:7" x14ac:dyDescent="0.3">
      <c r="A252" s="19" t="s">
        <v>112</v>
      </c>
      <c r="B252" s="19" t="s">
        <v>113</v>
      </c>
      <c r="C252" s="19" t="s">
        <v>34</v>
      </c>
      <c r="D252" s="19" t="s">
        <v>47</v>
      </c>
      <c r="E252" s="19">
        <v>1</v>
      </c>
      <c r="F252" s="19">
        <v>96</v>
      </c>
      <c r="G252" s="19">
        <v>442</v>
      </c>
    </row>
    <row r="253" spans="1:7" x14ac:dyDescent="0.3">
      <c r="A253" s="19" t="s">
        <v>112</v>
      </c>
      <c r="B253" s="19" t="s">
        <v>113</v>
      </c>
      <c r="C253" s="19" t="s">
        <v>34</v>
      </c>
      <c r="D253" s="19" t="s">
        <v>49</v>
      </c>
      <c r="E253" s="19">
        <v>1</v>
      </c>
      <c r="F253" s="19">
        <v>91</v>
      </c>
      <c r="G253" s="19">
        <v>453</v>
      </c>
    </row>
    <row r="254" spans="1:7" x14ac:dyDescent="0.3">
      <c r="A254" s="19" t="s">
        <v>114</v>
      </c>
      <c r="B254" s="19" t="s">
        <v>115</v>
      </c>
      <c r="C254" s="19" t="s">
        <v>34</v>
      </c>
      <c r="D254" s="19" t="s">
        <v>27</v>
      </c>
      <c r="E254" s="19">
        <v>1</v>
      </c>
      <c r="F254" s="19">
        <v>54</v>
      </c>
      <c r="G254" s="19">
        <v>121</v>
      </c>
    </row>
    <row r="255" spans="1:7" x14ac:dyDescent="0.3">
      <c r="A255" s="19" t="s">
        <v>114</v>
      </c>
      <c r="B255" s="19" t="s">
        <v>115</v>
      </c>
      <c r="C255" s="19" t="s">
        <v>34</v>
      </c>
      <c r="D255" s="19" t="s">
        <v>29</v>
      </c>
      <c r="E255" s="19">
        <v>1</v>
      </c>
      <c r="F255" s="19">
        <v>72</v>
      </c>
      <c r="G255" s="19">
        <v>119</v>
      </c>
    </row>
    <row r="256" spans="1:7" x14ac:dyDescent="0.3">
      <c r="A256" s="19" t="s">
        <v>114</v>
      </c>
      <c r="B256" s="19" t="s">
        <v>115</v>
      </c>
      <c r="C256" s="19" t="s">
        <v>34</v>
      </c>
      <c r="D256" s="19" t="s">
        <v>31</v>
      </c>
      <c r="E256" s="19">
        <v>1</v>
      </c>
      <c r="F256" s="19">
        <v>61</v>
      </c>
      <c r="G256" s="19">
        <v>130</v>
      </c>
    </row>
    <row r="257" spans="1:7" x14ac:dyDescent="0.3">
      <c r="A257" s="19" t="s">
        <v>114</v>
      </c>
      <c r="B257" s="19" t="s">
        <v>115</v>
      </c>
      <c r="C257" s="19" t="s">
        <v>34</v>
      </c>
      <c r="D257" s="19" t="s">
        <v>33</v>
      </c>
      <c r="E257" s="19">
        <v>2</v>
      </c>
      <c r="F257" s="19">
        <v>60</v>
      </c>
      <c r="G257" s="19">
        <v>136</v>
      </c>
    </row>
    <row r="258" spans="1:7" x14ac:dyDescent="0.3">
      <c r="A258" s="19" t="s">
        <v>114</v>
      </c>
      <c r="B258" s="19" t="s">
        <v>115</v>
      </c>
      <c r="C258" s="19" t="s">
        <v>34</v>
      </c>
      <c r="D258" s="19" t="s">
        <v>35</v>
      </c>
      <c r="E258" s="19">
        <v>2</v>
      </c>
      <c r="F258" s="19">
        <v>70</v>
      </c>
      <c r="G258" s="19">
        <v>145</v>
      </c>
    </row>
    <row r="259" spans="1:7" x14ac:dyDescent="0.3">
      <c r="A259" s="19" t="s">
        <v>114</v>
      </c>
      <c r="B259" s="19" t="s">
        <v>115</v>
      </c>
      <c r="C259" s="19" t="s">
        <v>34</v>
      </c>
      <c r="D259" s="19" t="s">
        <v>37</v>
      </c>
      <c r="E259" s="19">
        <v>2</v>
      </c>
      <c r="F259" s="19">
        <v>69</v>
      </c>
      <c r="G259" s="19">
        <v>151</v>
      </c>
    </row>
    <row r="260" spans="1:7" x14ac:dyDescent="0.3">
      <c r="A260" s="19" t="s">
        <v>114</v>
      </c>
      <c r="B260" s="19" t="s">
        <v>115</v>
      </c>
      <c r="C260" s="19" t="s">
        <v>34</v>
      </c>
      <c r="D260" s="19" t="s">
        <v>39</v>
      </c>
      <c r="E260" s="19">
        <v>2</v>
      </c>
      <c r="F260" s="19">
        <v>56</v>
      </c>
      <c r="G260" s="19">
        <v>156</v>
      </c>
    </row>
    <row r="261" spans="1:7" x14ac:dyDescent="0.3">
      <c r="A261" s="19" t="s">
        <v>114</v>
      </c>
      <c r="B261" s="19" t="s">
        <v>115</v>
      </c>
      <c r="C261" s="19" t="s">
        <v>34</v>
      </c>
      <c r="D261" s="19" t="s">
        <v>41</v>
      </c>
      <c r="E261" s="19">
        <v>1</v>
      </c>
      <c r="F261" s="19">
        <v>55</v>
      </c>
      <c r="G261" s="19">
        <v>157</v>
      </c>
    </row>
    <row r="262" spans="1:7" x14ac:dyDescent="0.3">
      <c r="A262" s="19" t="s">
        <v>114</v>
      </c>
      <c r="B262" s="19" t="s">
        <v>115</v>
      </c>
      <c r="C262" s="19" t="s">
        <v>34</v>
      </c>
      <c r="D262" s="19" t="s">
        <v>43</v>
      </c>
      <c r="E262" s="19">
        <v>1</v>
      </c>
      <c r="F262" s="19">
        <v>66</v>
      </c>
      <c r="G262" s="19">
        <v>153</v>
      </c>
    </row>
    <row r="263" spans="1:7" x14ac:dyDescent="0.3">
      <c r="A263" s="19" t="s">
        <v>114</v>
      </c>
      <c r="B263" s="19" t="s">
        <v>115</v>
      </c>
      <c r="C263" s="19" t="s">
        <v>34</v>
      </c>
      <c r="D263" s="19" t="s">
        <v>45</v>
      </c>
      <c r="E263" s="19">
        <v>3</v>
      </c>
      <c r="F263" s="19">
        <v>120</v>
      </c>
      <c r="G263" s="19">
        <v>157</v>
      </c>
    </row>
    <row r="264" spans="1:7" x14ac:dyDescent="0.3">
      <c r="A264" s="19" t="s">
        <v>114</v>
      </c>
      <c r="B264" s="19" t="s">
        <v>115</v>
      </c>
      <c r="C264" s="19" t="s">
        <v>34</v>
      </c>
      <c r="D264" s="19" t="s">
        <v>47</v>
      </c>
      <c r="E264" s="19">
        <v>2</v>
      </c>
      <c r="F264" s="19">
        <v>96</v>
      </c>
      <c r="G264" s="19">
        <v>172</v>
      </c>
    </row>
    <row r="265" spans="1:7" x14ac:dyDescent="0.3">
      <c r="A265" s="19" t="s">
        <v>114</v>
      </c>
      <c r="B265" s="19" t="s">
        <v>115</v>
      </c>
      <c r="C265" s="19" t="s">
        <v>34</v>
      </c>
      <c r="D265" s="19" t="s">
        <v>49</v>
      </c>
      <c r="E265" s="19">
        <v>1</v>
      </c>
      <c r="F265" s="19">
        <v>52</v>
      </c>
      <c r="G265" s="19">
        <v>192</v>
      </c>
    </row>
    <row r="266" spans="1:7" x14ac:dyDescent="0.3">
      <c r="A266" s="19" t="s">
        <v>116</v>
      </c>
      <c r="B266" s="19" t="s">
        <v>117</v>
      </c>
      <c r="C266" s="19" t="s">
        <v>44</v>
      </c>
      <c r="D266" s="19" t="s">
        <v>27</v>
      </c>
      <c r="E266" s="19">
        <v>1</v>
      </c>
      <c r="F266" s="19">
        <v>80</v>
      </c>
      <c r="G266" s="19">
        <v>159</v>
      </c>
    </row>
    <row r="267" spans="1:7" x14ac:dyDescent="0.3">
      <c r="A267" s="19" t="s">
        <v>116</v>
      </c>
      <c r="B267" s="19" t="s">
        <v>117</v>
      </c>
      <c r="C267" s="19" t="s">
        <v>44</v>
      </c>
      <c r="D267" s="19" t="s">
        <v>29</v>
      </c>
      <c r="E267" s="19">
        <v>2</v>
      </c>
      <c r="F267" s="19">
        <v>89</v>
      </c>
      <c r="G267" s="19">
        <v>157</v>
      </c>
    </row>
    <row r="268" spans="1:7" x14ac:dyDescent="0.3">
      <c r="A268" s="19" t="s">
        <v>116</v>
      </c>
      <c r="B268" s="19" t="s">
        <v>117</v>
      </c>
      <c r="C268" s="19" t="s">
        <v>44</v>
      </c>
      <c r="D268" s="19" t="s">
        <v>31</v>
      </c>
      <c r="E268" s="19">
        <v>3</v>
      </c>
      <c r="F268" s="19">
        <v>110</v>
      </c>
      <c r="G268" s="19">
        <v>172</v>
      </c>
    </row>
    <row r="269" spans="1:7" x14ac:dyDescent="0.3">
      <c r="A269" s="19" t="s">
        <v>116</v>
      </c>
      <c r="B269" s="19" t="s">
        <v>117</v>
      </c>
      <c r="C269" s="19" t="s">
        <v>44</v>
      </c>
      <c r="D269" s="19" t="s">
        <v>33</v>
      </c>
      <c r="E269" s="19">
        <v>3</v>
      </c>
      <c r="F269" s="19">
        <v>73</v>
      </c>
      <c r="G269" s="19">
        <v>198</v>
      </c>
    </row>
    <row r="270" spans="1:7" x14ac:dyDescent="0.3">
      <c r="A270" s="19" t="s">
        <v>116</v>
      </c>
      <c r="B270" s="19" t="s">
        <v>117</v>
      </c>
      <c r="C270" s="19" t="s">
        <v>44</v>
      </c>
      <c r="D270" s="19" t="s">
        <v>35</v>
      </c>
      <c r="E270" s="19">
        <v>2</v>
      </c>
      <c r="F270" s="19">
        <v>70</v>
      </c>
      <c r="G270" s="19">
        <v>192</v>
      </c>
    </row>
    <row r="271" spans="1:7" x14ac:dyDescent="0.3">
      <c r="A271" s="19" t="s">
        <v>116</v>
      </c>
      <c r="B271" s="19" t="s">
        <v>117</v>
      </c>
      <c r="C271" s="19" t="s">
        <v>44</v>
      </c>
      <c r="D271" s="19" t="s">
        <v>37</v>
      </c>
      <c r="E271" s="19">
        <v>3</v>
      </c>
      <c r="F271" s="19">
        <v>66</v>
      </c>
      <c r="G271" s="19">
        <v>191</v>
      </c>
    </row>
    <row r="272" spans="1:7" x14ac:dyDescent="0.3">
      <c r="A272" s="19" t="s">
        <v>116</v>
      </c>
      <c r="B272" s="19" t="s">
        <v>117</v>
      </c>
      <c r="C272" s="19" t="s">
        <v>44</v>
      </c>
      <c r="D272" s="19" t="s">
        <v>39</v>
      </c>
      <c r="E272" s="19">
        <v>2</v>
      </c>
      <c r="F272" s="19">
        <v>72</v>
      </c>
      <c r="G272" s="19">
        <v>186</v>
      </c>
    </row>
    <row r="273" spans="1:7" x14ac:dyDescent="0.3">
      <c r="A273" s="19" t="s">
        <v>116</v>
      </c>
      <c r="B273" s="19" t="s">
        <v>117</v>
      </c>
      <c r="C273" s="19" t="s">
        <v>44</v>
      </c>
      <c r="D273" s="19" t="s">
        <v>41</v>
      </c>
      <c r="E273" s="19">
        <v>2</v>
      </c>
      <c r="F273" s="19">
        <v>82</v>
      </c>
      <c r="G273" s="19">
        <v>185</v>
      </c>
    </row>
    <row r="274" spans="1:7" x14ac:dyDescent="0.3">
      <c r="A274" s="19" t="s">
        <v>116</v>
      </c>
      <c r="B274" s="19" t="s">
        <v>117</v>
      </c>
      <c r="C274" s="19" t="s">
        <v>44</v>
      </c>
      <c r="D274" s="19" t="s">
        <v>43</v>
      </c>
      <c r="E274" s="19">
        <v>2</v>
      </c>
      <c r="F274" s="19">
        <v>88</v>
      </c>
      <c r="G274" s="19">
        <v>185</v>
      </c>
    </row>
    <row r="275" spans="1:7" x14ac:dyDescent="0.3">
      <c r="A275" s="19" t="s">
        <v>116</v>
      </c>
      <c r="B275" s="19" t="s">
        <v>117</v>
      </c>
      <c r="C275" s="19" t="s">
        <v>44</v>
      </c>
      <c r="D275" s="19" t="s">
        <v>45</v>
      </c>
      <c r="E275" s="19">
        <v>2</v>
      </c>
      <c r="F275" s="19">
        <v>99</v>
      </c>
      <c r="G275" s="19">
        <v>200</v>
      </c>
    </row>
    <row r="276" spans="1:7" x14ac:dyDescent="0.3">
      <c r="A276" s="19" t="s">
        <v>116</v>
      </c>
      <c r="B276" s="19" t="s">
        <v>117</v>
      </c>
      <c r="C276" s="19" t="s">
        <v>44</v>
      </c>
      <c r="D276" s="19" t="s">
        <v>47</v>
      </c>
      <c r="E276" s="19">
        <v>3</v>
      </c>
      <c r="F276" s="19">
        <v>94</v>
      </c>
      <c r="G276" s="19">
        <v>191</v>
      </c>
    </row>
    <row r="277" spans="1:7" x14ac:dyDescent="0.3">
      <c r="A277" s="19" t="s">
        <v>116</v>
      </c>
      <c r="B277" s="19" t="s">
        <v>117</v>
      </c>
      <c r="C277" s="19" t="s">
        <v>44</v>
      </c>
      <c r="D277" s="19" t="s">
        <v>49</v>
      </c>
      <c r="E277" s="19">
        <v>2</v>
      </c>
      <c r="F277" s="19">
        <v>77</v>
      </c>
      <c r="G277" s="19">
        <v>194</v>
      </c>
    </row>
    <row r="278" spans="1:7" x14ac:dyDescent="0.3">
      <c r="A278" s="19" t="s">
        <v>118</v>
      </c>
      <c r="B278" s="19" t="s">
        <v>119</v>
      </c>
      <c r="C278" s="19" t="s">
        <v>44</v>
      </c>
      <c r="D278" s="19" t="s">
        <v>27</v>
      </c>
      <c r="E278" s="19">
        <v>2</v>
      </c>
      <c r="F278" s="19">
        <v>76</v>
      </c>
      <c r="G278" s="19">
        <v>225</v>
      </c>
    </row>
    <row r="279" spans="1:7" x14ac:dyDescent="0.3">
      <c r="A279" s="19" t="s">
        <v>118</v>
      </c>
      <c r="B279" s="19" t="s">
        <v>119</v>
      </c>
      <c r="C279" s="19" t="s">
        <v>44</v>
      </c>
      <c r="D279" s="19" t="s">
        <v>29</v>
      </c>
      <c r="E279" s="19">
        <v>1</v>
      </c>
      <c r="F279" s="19">
        <v>76</v>
      </c>
      <c r="G279" s="19">
        <v>235</v>
      </c>
    </row>
    <row r="280" spans="1:7" x14ac:dyDescent="0.3">
      <c r="A280" s="19" t="s">
        <v>118</v>
      </c>
      <c r="B280" s="19" t="s">
        <v>119</v>
      </c>
      <c r="C280" s="19" t="s">
        <v>44</v>
      </c>
      <c r="D280" s="19" t="s">
        <v>31</v>
      </c>
      <c r="E280" s="19">
        <v>2</v>
      </c>
      <c r="F280" s="19">
        <v>88</v>
      </c>
      <c r="G280" s="19">
        <v>253</v>
      </c>
    </row>
    <row r="281" spans="1:7" x14ac:dyDescent="0.3">
      <c r="A281" s="19" t="s">
        <v>118</v>
      </c>
      <c r="B281" s="19" t="s">
        <v>119</v>
      </c>
      <c r="C281" s="19" t="s">
        <v>44</v>
      </c>
      <c r="D281" s="19" t="s">
        <v>33</v>
      </c>
      <c r="E281" s="19">
        <v>1</v>
      </c>
      <c r="F281" s="19">
        <v>63</v>
      </c>
      <c r="G281" s="19">
        <v>269</v>
      </c>
    </row>
    <row r="282" spans="1:7" x14ac:dyDescent="0.3">
      <c r="A282" s="19" t="s">
        <v>118</v>
      </c>
      <c r="B282" s="19" t="s">
        <v>119</v>
      </c>
      <c r="C282" s="19" t="s">
        <v>44</v>
      </c>
      <c r="D282" s="19" t="s">
        <v>35</v>
      </c>
      <c r="E282" s="19">
        <v>2</v>
      </c>
      <c r="F282" s="19">
        <v>64</v>
      </c>
      <c r="G282" s="19">
        <v>276</v>
      </c>
    </row>
    <row r="283" spans="1:7" x14ac:dyDescent="0.3">
      <c r="A283" s="19" t="s">
        <v>118</v>
      </c>
      <c r="B283" s="19" t="s">
        <v>119</v>
      </c>
      <c r="C283" s="19" t="s">
        <v>44</v>
      </c>
      <c r="D283" s="19" t="s">
        <v>37</v>
      </c>
      <c r="E283" s="19">
        <v>2</v>
      </c>
      <c r="F283" s="19">
        <v>65</v>
      </c>
      <c r="G283" s="19">
        <v>276</v>
      </c>
    </row>
    <row r="284" spans="1:7" x14ac:dyDescent="0.3">
      <c r="A284" s="19" t="s">
        <v>118</v>
      </c>
      <c r="B284" s="19" t="s">
        <v>119</v>
      </c>
      <c r="C284" s="19" t="s">
        <v>44</v>
      </c>
      <c r="D284" s="19" t="s">
        <v>39</v>
      </c>
      <c r="E284" s="19">
        <v>1</v>
      </c>
      <c r="F284" s="19">
        <v>59</v>
      </c>
      <c r="G284" s="19">
        <v>281</v>
      </c>
    </row>
    <row r="285" spans="1:7" x14ac:dyDescent="0.3">
      <c r="A285" s="19" t="s">
        <v>118</v>
      </c>
      <c r="B285" s="19" t="s">
        <v>119</v>
      </c>
      <c r="C285" s="19" t="s">
        <v>44</v>
      </c>
      <c r="D285" s="19" t="s">
        <v>41</v>
      </c>
      <c r="E285" s="19">
        <v>1</v>
      </c>
      <c r="F285" s="19">
        <v>72</v>
      </c>
      <c r="G285" s="19">
        <v>277</v>
      </c>
    </row>
    <row r="286" spans="1:7" x14ac:dyDescent="0.3">
      <c r="A286" s="19" t="s">
        <v>118</v>
      </c>
      <c r="B286" s="19" t="s">
        <v>119</v>
      </c>
      <c r="C286" s="19" t="s">
        <v>44</v>
      </c>
      <c r="D286" s="19" t="s">
        <v>43</v>
      </c>
      <c r="E286" s="19">
        <v>3</v>
      </c>
      <c r="F286" s="19">
        <v>71</v>
      </c>
      <c r="G286" s="19">
        <v>287</v>
      </c>
    </row>
    <row r="287" spans="1:7" x14ac:dyDescent="0.3">
      <c r="A287" s="19" t="s">
        <v>118</v>
      </c>
      <c r="B287" s="19" t="s">
        <v>119</v>
      </c>
      <c r="C287" s="19" t="s">
        <v>44</v>
      </c>
      <c r="D287" s="19" t="s">
        <v>45</v>
      </c>
      <c r="E287" s="19">
        <v>2</v>
      </c>
      <c r="F287" s="19">
        <v>113</v>
      </c>
      <c r="G287" s="19">
        <v>287</v>
      </c>
    </row>
    <row r="288" spans="1:7" x14ac:dyDescent="0.3">
      <c r="A288" s="19" t="s">
        <v>118</v>
      </c>
      <c r="B288" s="19" t="s">
        <v>119</v>
      </c>
      <c r="C288" s="19" t="s">
        <v>44</v>
      </c>
      <c r="D288" s="19" t="s">
        <v>47</v>
      </c>
      <c r="E288" s="19">
        <v>1</v>
      </c>
      <c r="F288" s="19">
        <v>76</v>
      </c>
      <c r="G288" s="19">
        <v>294</v>
      </c>
    </row>
    <row r="289" spans="1:7" x14ac:dyDescent="0.3">
      <c r="A289" s="19" t="s">
        <v>118</v>
      </c>
      <c r="B289" s="19" t="s">
        <v>119</v>
      </c>
      <c r="C289" s="19" t="s">
        <v>44</v>
      </c>
      <c r="D289" s="19" t="s">
        <v>49</v>
      </c>
      <c r="E289" s="19">
        <v>2</v>
      </c>
      <c r="F289" s="19">
        <v>68</v>
      </c>
      <c r="G289" s="19">
        <v>297</v>
      </c>
    </row>
    <row r="290" spans="1:7" x14ac:dyDescent="0.3">
      <c r="A290" s="19" t="s">
        <v>120</v>
      </c>
      <c r="B290" s="19" t="s">
        <v>121</v>
      </c>
      <c r="C290" s="19" t="s">
        <v>44</v>
      </c>
      <c r="D290" s="19" t="s">
        <v>27</v>
      </c>
      <c r="E290" s="19">
        <v>2</v>
      </c>
      <c r="F290" s="19">
        <v>128</v>
      </c>
      <c r="G290" s="19">
        <v>341</v>
      </c>
    </row>
    <row r="291" spans="1:7" x14ac:dyDescent="0.3">
      <c r="A291" s="19" t="s">
        <v>120</v>
      </c>
      <c r="B291" s="19" t="s">
        <v>121</v>
      </c>
      <c r="C291" s="19" t="s">
        <v>44</v>
      </c>
      <c r="D291" s="19" t="s">
        <v>29</v>
      </c>
      <c r="E291" s="19">
        <v>2</v>
      </c>
      <c r="F291" s="19">
        <v>117</v>
      </c>
      <c r="G291" s="19">
        <v>361</v>
      </c>
    </row>
    <row r="292" spans="1:7" x14ac:dyDescent="0.3">
      <c r="A292" s="19" t="s">
        <v>120</v>
      </c>
      <c r="B292" s="19" t="s">
        <v>121</v>
      </c>
      <c r="C292" s="19" t="s">
        <v>44</v>
      </c>
      <c r="D292" s="19" t="s">
        <v>31</v>
      </c>
      <c r="E292" s="19">
        <v>3</v>
      </c>
      <c r="F292" s="19">
        <v>102</v>
      </c>
      <c r="G292" s="19">
        <v>357</v>
      </c>
    </row>
    <row r="293" spans="1:7" x14ac:dyDescent="0.3">
      <c r="A293" s="19" t="s">
        <v>120</v>
      </c>
      <c r="B293" s="19" t="s">
        <v>121</v>
      </c>
      <c r="C293" s="19" t="s">
        <v>44</v>
      </c>
      <c r="D293" s="19" t="s">
        <v>33</v>
      </c>
      <c r="E293" s="19">
        <v>3</v>
      </c>
      <c r="F293" s="19">
        <v>153</v>
      </c>
      <c r="G293" s="19">
        <v>356</v>
      </c>
    </row>
    <row r="294" spans="1:7" x14ac:dyDescent="0.3">
      <c r="A294" s="19" t="s">
        <v>120</v>
      </c>
      <c r="B294" s="19" t="s">
        <v>121</v>
      </c>
      <c r="C294" s="19" t="s">
        <v>44</v>
      </c>
      <c r="D294" s="19" t="s">
        <v>35</v>
      </c>
      <c r="E294" s="19">
        <v>4</v>
      </c>
      <c r="F294" s="19">
        <v>141</v>
      </c>
      <c r="G294" s="19">
        <v>376</v>
      </c>
    </row>
    <row r="295" spans="1:7" x14ac:dyDescent="0.3">
      <c r="A295" s="19" t="s">
        <v>120</v>
      </c>
      <c r="B295" s="19" t="s">
        <v>121</v>
      </c>
      <c r="C295" s="19" t="s">
        <v>44</v>
      </c>
      <c r="D295" s="19" t="s">
        <v>37</v>
      </c>
      <c r="E295" s="19">
        <v>5</v>
      </c>
      <c r="F295" s="19">
        <v>138</v>
      </c>
      <c r="G295" s="19">
        <v>398</v>
      </c>
    </row>
    <row r="296" spans="1:7" x14ac:dyDescent="0.3">
      <c r="A296" s="19" t="s">
        <v>120</v>
      </c>
      <c r="B296" s="19" t="s">
        <v>121</v>
      </c>
      <c r="C296" s="19" t="s">
        <v>44</v>
      </c>
      <c r="D296" s="19" t="s">
        <v>39</v>
      </c>
      <c r="E296" s="19">
        <v>3</v>
      </c>
      <c r="F296" s="19">
        <v>125</v>
      </c>
      <c r="G296" s="19">
        <v>406</v>
      </c>
    </row>
    <row r="297" spans="1:7" x14ac:dyDescent="0.3">
      <c r="A297" s="19" t="s">
        <v>120</v>
      </c>
      <c r="B297" s="19" t="s">
        <v>121</v>
      </c>
      <c r="C297" s="19" t="s">
        <v>44</v>
      </c>
      <c r="D297" s="19" t="s">
        <v>41</v>
      </c>
      <c r="E297" s="19">
        <v>1</v>
      </c>
      <c r="F297" s="19">
        <v>125</v>
      </c>
      <c r="G297" s="19">
        <v>416</v>
      </c>
    </row>
    <row r="298" spans="1:7" x14ac:dyDescent="0.3">
      <c r="A298" s="19" t="s">
        <v>120</v>
      </c>
      <c r="B298" s="19" t="s">
        <v>121</v>
      </c>
      <c r="C298" s="19" t="s">
        <v>44</v>
      </c>
      <c r="D298" s="19" t="s">
        <v>43</v>
      </c>
      <c r="E298" s="19">
        <v>2</v>
      </c>
      <c r="F298" s="19">
        <v>106</v>
      </c>
      <c r="G298" s="19">
        <v>420</v>
      </c>
    </row>
    <row r="299" spans="1:7" x14ac:dyDescent="0.3">
      <c r="A299" s="19" t="s">
        <v>120</v>
      </c>
      <c r="B299" s="19" t="s">
        <v>121</v>
      </c>
      <c r="C299" s="19" t="s">
        <v>44</v>
      </c>
      <c r="D299" s="19" t="s">
        <v>45</v>
      </c>
      <c r="E299" s="19">
        <v>6</v>
      </c>
      <c r="F299" s="19">
        <v>200</v>
      </c>
      <c r="G299" s="19">
        <v>425</v>
      </c>
    </row>
    <row r="300" spans="1:7" x14ac:dyDescent="0.3">
      <c r="A300" s="19" t="s">
        <v>120</v>
      </c>
      <c r="B300" s="19" t="s">
        <v>121</v>
      </c>
      <c r="C300" s="19" t="s">
        <v>44</v>
      </c>
      <c r="D300" s="19" t="s">
        <v>47</v>
      </c>
      <c r="E300" s="19">
        <v>4</v>
      </c>
      <c r="F300" s="19">
        <v>177</v>
      </c>
      <c r="G300" s="19">
        <v>415</v>
      </c>
    </row>
    <row r="301" spans="1:7" x14ac:dyDescent="0.3">
      <c r="A301" s="19" t="s">
        <v>120</v>
      </c>
      <c r="B301" s="19" t="s">
        <v>121</v>
      </c>
      <c r="C301" s="19" t="s">
        <v>44</v>
      </c>
      <c r="D301" s="19" t="s">
        <v>49</v>
      </c>
      <c r="E301" s="19">
        <v>2</v>
      </c>
      <c r="F301" s="19">
        <v>148</v>
      </c>
      <c r="G301" s="19">
        <v>458</v>
      </c>
    </row>
    <row r="302" spans="1:7" x14ac:dyDescent="0.3">
      <c r="A302" s="19" t="s">
        <v>122</v>
      </c>
      <c r="B302" s="19" t="s">
        <v>123</v>
      </c>
      <c r="C302" s="19" t="s">
        <v>28</v>
      </c>
      <c r="D302" s="19" t="s">
        <v>27</v>
      </c>
      <c r="E302" s="19">
        <v>0</v>
      </c>
      <c r="F302" s="19">
        <v>17</v>
      </c>
      <c r="G302" s="19">
        <v>111</v>
      </c>
    </row>
    <row r="303" spans="1:7" x14ac:dyDescent="0.3">
      <c r="A303" s="19" t="s">
        <v>122</v>
      </c>
      <c r="B303" s="19" t="s">
        <v>123</v>
      </c>
      <c r="C303" s="19" t="s">
        <v>28</v>
      </c>
      <c r="D303" s="19" t="s">
        <v>29</v>
      </c>
      <c r="E303" s="19">
        <v>0</v>
      </c>
      <c r="F303" s="19">
        <v>14</v>
      </c>
      <c r="G303" s="19">
        <v>113</v>
      </c>
    </row>
    <row r="304" spans="1:7" x14ac:dyDescent="0.3">
      <c r="A304" s="19" t="s">
        <v>122</v>
      </c>
      <c r="B304" s="19" t="s">
        <v>123</v>
      </c>
      <c r="C304" s="19" t="s">
        <v>28</v>
      </c>
      <c r="D304" s="19" t="s">
        <v>31</v>
      </c>
      <c r="E304" s="19">
        <v>0</v>
      </c>
      <c r="F304" s="19">
        <v>18</v>
      </c>
      <c r="G304" s="19">
        <v>115</v>
      </c>
    </row>
    <row r="305" spans="1:7" x14ac:dyDescent="0.3">
      <c r="A305" s="19" t="s">
        <v>122</v>
      </c>
      <c r="B305" s="19" t="s">
        <v>123</v>
      </c>
      <c r="C305" s="19" t="s">
        <v>28</v>
      </c>
      <c r="D305" s="19" t="s">
        <v>33</v>
      </c>
      <c r="E305" s="19">
        <v>1</v>
      </c>
      <c r="F305" s="19">
        <v>17</v>
      </c>
      <c r="G305" s="19">
        <v>117</v>
      </c>
    </row>
    <row r="306" spans="1:7" x14ac:dyDescent="0.3">
      <c r="A306" s="19" t="s">
        <v>122</v>
      </c>
      <c r="B306" s="19" t="s">
        <v>123</v>
      </c>
      <c r="C306" s="19" t="s">
        <v>28</v>
      </c>
      <c r="D306" s="19" t="s">
        <v>35</v>
      </c>
      <c r="E306" s="19">
        <v>0</v>
      </c>
      <c r="F306" s="19">
        <v>14</v>
      </c>
      <c r="G306" s="19">
        <v>119</v>
      </c>
    </row>
    <row r="307" spans="1:7" x14ac:dyDescent="0.3">
      <c r="A307" s="19" t="s">
        <v>122</v>
      </c>
      <c r="B307" s="19" t="s">
        <v>123</v>
      </c>
      <c r="C307" s="19" t="s">
        <v>28</v>
      </c>
      <c r="D307" s="19" t="s">
        <v>37</v>
      </c>
      <c r="E307" s="19">
        <v>0</v>
      </c>
      <c r="F307" s="19">
        <v>15</v>
      </c>
      <c r="G307" s="19">
        <v>121</v>
      </c>
    </row>
    <row r="308" spans="1:7" x14ac:dyDescent="0.3">
      <c r="A308" s="19" t="s">
        <v>122</v>
      </c>
      <c r="B308" s="19" t="s">
        <v>123</v>
      </c>
      <c r="C308" s="19" t="s">
        <v>28</v>
      </c>
      <c r="D308" s="19" t="s">
        <v>39</v>
      </c>
      <c r="E308" s="19">
        <v>0</v>
      </c>
      <c r="F308" s="19">
        <v>18</v>
      </c>
      <c r="G308" s="19">
        <v>122</v>
      </c>
    </row>
    <row r="309" spans="1:7" x14ac:dyDescent="0.3">
      <c r="A309" s="19" t="s">
        <v>122</v>
      </c>
      <c r="B309" s="19" t="s">
        <v>123</v>
      </c>
      <c r="C309" s="19" t="s">
        <v>28</v>
      </c>
      <c r="D309" s="19" t="s">
        <v>41</v>
      </c>
      <c r="E309" s="19">
        <v>0</v>
      </c>
      <c r="F309" s="19">
        <v>19</v>
      </c>
      <c r="G309" s="19">
        <v>124</v>
      </c>
    </row>
    <row r="310" spans="1:7" x14ac:dyDescent="0.3">
      <c r="A310" s="19" t="s">
        <v>122</v>
      </c>
      <c r="B310" s="19" t="s">
        <v>123</v>
      </c>
      <c r="C310" s="19" t="s">
        <v>28</v>
      </c>
      <c r="D310" s="19" t="s">
        <v>43</v>
      </c>
      <c r="E310" s="19">
        <v>0</v>
      </c>
      <c r="F310" s="19">
        <v>14</v>
      </c>
      <c r="G310" s="19">
        <v>128</v>
      </c>
    </row>
    <row r="311" spans="1:7" x14ac:dyDescent="0.3">
      <c r="A311" s="19" t="s">
        <v>122</v>
      </c>
      <c r="B311" s="19" t="s">
        <v>123</v>
      </c>
      <c r="C311" s="19" t="s">
        <v>28</v>
      </c>
      <c r="D311" s="19" t="s">
        <v>45</v>
      </c>
      <c r="E311" s="19">
        <v>0</v>
      </c>
      <c r="F311" s="19">
        <v>27</v>
      </c>
      <c r="G311" s="19">
        <v>127</v>
      </c>
    </row>
    <row r="312" spans="1:7" x14ac:dyDescent="0.3">
      <c r="A312" s="19" t="s">
        <v>122</v>
      </c>
      <c r="B312" s="19" t="s">
        <v>123</v>
      </c>
      <c r="C312" s="19" t="s">
        <v>28</v>
      </c>
      <c r="D312" s="19" t="s">
        <v>47</v>
      </c>
      <c r="E312" s="19">
        <v>1</v>
      </c>
      <c r="F312" s="19">
        <v>22</v>
      </c>
      <c r="G312" s="19">
        <v>131</v>
      </c>
    </row>
    <row r="313" spans="1:7" x14ac:dyDescent="0.3">
      <c r="A313" s="19" t="s">
        <v>122</v>
      </c>
      <c r="B313" s="19" t="s">
        <v>123</v>
      </c>
      <c r="C313" s="19" t="s">
        <v>28</v>
      </c>
      <c r="D313" s="19" t="s">
        <v>49</v>
      </c>
      <c r="E313" s="19">
        <v>0</v>
      </c>
      <c r="F313" s="19">
        <v>14</v>
      </c>
      <c r="G313" s="19">
        <v>136</v>
      </c>
    </row>
    <row r="314" spans="1:7" x14ac:dyDescent="0.3">
      <c r="A314" s="19" t="s">
        <v>124</v>
      </c>
      <c r="B314" s="19" t="s">
        <v>125</v>
      </c>
      <c r="C314" s="19" t="s">
        <v>28</v>
      </c>
      <c r="D314" s="19" t="s">
        <v>27</v>
      </c>
      <c r="E314" s="19">
        <v>0</v>
      </c>
      <c r="F314" s="19">
        <v>18</v>
      </c>
      <c r="G314" s="19">
        <v>189</v>
      </c>
    </row>
    <row r="315" spans="1:7" x14ac:dyDescent="0.3">
      <c r="A315" s="19" t="s">
        <v>124</v>
      </c>
      <c r="B315" s="19" t="s">
        <v>125</v>
      </c>
      <c r="C315" s="19" t="s">
        <v>28</v>
      </c>
      <c r="D315" s="19" t="s">
        <v>29</v>
      </c>
      <c r="E315" s="19">
        <v>0</v>
      </c>
      <c r="F315" s="19">
        <v>14</v>
      </c>
      <c r="G315" s="19">
        <v>191</v>
      </c>
    </row>
    <row r="316" spans="1:7" x14ac:dyDescent="0.3">
      <c r="A316" s="19" t="s">
        <v>124</v>
      </c>
      <c r="B316" s="19" t="s">
        <v>125</v>
      </c>
      <c r="C316" s="19" t="s">
        <v>28</v>
      </c>
      <c r="D316" s="19" t="s">
        <v>31</v>
      </c>
      <c r="E316" s="19">
        <v>0</v>
      </c>
      <c r="F316" s="19">
        <v>19</v>
      </c>
      <c r="G316" s="19">
        <v>191</v>
      </c>
    </row>
    <row r="317" spans="1:7" x14ac:dyDescent="0.3">
      <c r="A317" s="19" t="s">
        <v>124</v>
      </c>
      <c r="B317" s="19" t="s">
        <v>125</v>
      </c>
      <c r="C317" s="19" t="s">
        <v>28</v>
      </c>
      <c r="D317" s="19" t="s">
        <v>33</v>
      </c>
      <c r="E317" s="19">
        <v>1</v>
      </c>
      <c r="F317" s="19">
        <v>21</v>
      </c>
      <c r="G317" s="19">
        <v>194</v>
      </c>
    </row>
    <row r="318" spans="1:7" x14ac:dyDescent="0.3">
      <c r="A318" s="19" t="s">
        <v>124</v>
      </c>
      <c r="B318" s="19" t="s">
        <v>125</v>
      </c>
      <c r="C318" s="19" t="s">
        <v>28</v>
      </c>
      <c r="D318" s="19" t="s">
        <v>35</v>
      </c>
      <c r="E318" s="19">
        <v>0</v>
      </c>
      <c r="F318" s="19">
        <v>16</v>
      </c>
      <c r="G318" s="19">
        <v>198</v>
      </c>
    </row>
    <row r="319" spans="1:7" x14ac:dyDescent="0.3">
      <c r="A319" s="19" t="s">
        <v>124</v>
      </c>
      <c r="B319" s="19" t="s">
        <v>125</v>
      </c>
      <c r="C319" s="19" t="s">
        <v>28</v>
      </c>
      <c r="D319" s="19" t="s">
        <v>37</v>
      </c>
      <c r="E319" s="19">
        <v>0</v>
      </c>
      <c r="F319" s="19">
        <v>16</v>
      </c>
      <c r="G319" s="19">
        <v>200</v>
      </c>
    </row>
    <row r="320" spans="1:7" x14ac:dyDescent="0.3">
      <c r="A320" s="19" t="s">
        <v>124</v>
      </c>
      <c r="B320" s="19" t="s">
        <v>125</v>
      </c>
      <c r="C320" s="19" t="s">
        <v>28</v>
      </c>
      <c r="D320" s="19" t="s">
        <v>39</v>
      </c>
      <c r="E320" s="19">
        <v>1</v>
      </c>
      <c r="F320" s="19">
        <v>21</v>
      </c>
      <c r="G320" s="19">
        <v>199</v>
      </c>
    </row>
    <row r="321" spans="1:7" x14ac:dyDescent="0.3">
      <c r="A321" s="19" t="s">
        <v>124</v>
      </c>
      <c r="B321" s="19" t="s">
        <v>125</v>
      </c>
      <c r="C321" s="19" t="s">
        <v>28</v>
      </c>
      <c r="D321" s="19" t="s">
        <v>41</v>
      </c>
      <c r="E321" s="19">
        <v>1</v>
      </c>
      <c r="F321" s="19">
        <v>15</v>
      </c>
      <c r="G321" s="19">
        <v>203</v>
      </c>
    </row>
    <row r="322" spans="1:7" x14ac:dyDescent="0.3">
      <c r="A322" s="19" t="s">
        <v>124</v>
      </c>
      <c r="B322" s="19" t="s">
        <v>125</v>
      </c>
      <c r="C322" s="19" t="s">
        <v>28</v>
      </c>
      <c r="D322" s="19" t="s">
        <v>43</v>
      </c>
      <c r="E322" s="19">
        <v>1</v>
      </c>
      <c r="F322" s="19">
        <v>18</v>
      </c>
      <c r="G322" s="19">
        <v>204</v>
      </c>
    </row>
    <row r="323" spans="1:7" x14ac:dyDescent="0.3">
      <c r="A323" s="19" t="s">
        <v>124</v>
      </c>
      <c r="B323" s="19" t="s">
        <v>125</v>
      </c>
      <c r="C323" s="19" t="s">
        <v>28</v>
      </c>
      <c r="D323" s="19" t="s">
        <v>45</v>
      </c>
      <c r="E323" s="19">
        <v>1</v>
      </c>
      <c r="F323" s="19">
        <v>30</v>
      </c>
      <c r="G323" s="19">
        <v>205</v>
      </c>
    </row>
    <row r="324" spans="1:7" x14ac:dyDescent="0.3">
      <c r="A324" s="19" t="s">
        <v>124</v>
      </c>
      <c r="B324" s="19" t="s">
        <v>125</v>
      </c>
      <c r="C324" s="19" t="s">
        <v>28</v>
      </c>
      <c r="D324" s="19" t="s">
        <v>47</v>
      </c>
      <c r="E324" s="19">
        <v>0</v>
      </c>
      <c r="F324" s="19">
        <v>17</v>
      </c>
      <c r="G324" s="19">
        <v>211</v>
      </c>
    </row>
    <row r="325" spans="1:7" x14ac:dyDescent="0.3">
      <c r="A325" s="19" t="s">
        <v>124</v>
      </c>
      <c r="B325" s="19" t="s">
        <v>125</v>
      </c>
      <c r="C325" s="19" t="s">
        <v>28</v>
      </c>
      <c r="D325" s="19" t="s">
        <v>49</v>
      </c>
      <c r="E325" s="19">
        <v>0</v>
      </c>
      <c r="F325" s="19">
        <v>17</v>
      </c>
      <c r="G325" s="19">
        <v>210</v>
      </c>
    </row>
    <row r="326" spans="1:7" x14ac:dyDescent="0.3">
      <c r="A326" s="19" t="s">
        <v>126</v>
      </c>
      <c r="B326" s="19" t="s">
        <v>127</v>
      </c>
      <c r="C326" s="19" t="s">
        <v>28</v>
      </c>
      <c r="D326" s="19" t="s">
        <v>27</v>
      </c>
      <c r="E326" s="19">
        <v>1</v>
      </c>
      <c r="F326" s="19">
        <v>43</v>
      </c>
      <c r="G326" s="19">
        <v>143</v>
      </c>
    </row>
    <row r="327" spans="1:7" x14ac:dyDescent="0.3">
      <c r="A327" s="19" t="s">
        <v>126</v>
      </c>
      <c r="B327" s="19" t="s">
        <v>127</v>
      </c>
      <c r="C327" s="19" t="s">
        <v>28</v>
      </c>
      <c r="D327" s="19" t="s">
        <v>29</v>
      </c>
      <c r="E327" s="19">
        <v>1</v>
      </c>
      <c r="F327" s="19">
        <v>37</v>
      </c>
      <c r="G327" s="19">
        <v>150</v>
      </c>
    </row>
    <row r="328" spans="1:7" x14ac:dyDescent="0.3">
      <c r="A328" s="19" t="s">
        <v>126</v>
      </c>
      <c r="B328" s="19" t="s">
        <v>127</v>
      </c>
      <c r="C328" s="19" t="s">
        <v>28</v>
      </c>
      <c r="D328" s="19" t="s">
        <v>31</v>
      </c>
      <c r="E328" s="19">
        <v>0</v>
      </c>
      <c r="F328" s="19">
        <v>38</v>
      </c>
      <c r="G328" s="19">
        <v>154</v>
      </c>
    </row>
    <row r="329" spans="1:7" x14ac:dyDescent="0.3">
      <c r="A329" s="19" t="s">
        <v>126</v>
      </c>
      <c r="B329" s="19" t="s">
        <v>127</v>
      </c>
      <c r="C329" s="19" t="s">
        <v>28</v>
      </c>
      <c r="D329" s="19" t="s">
        <v>33</v>
      </c>
      <c r="E329" s="19">
        <v>2</v>
      </c>
      <c r="F329" s="19">
        <v>38</v>
      </c>
      <c r="G329" s="19">
        <v>155</v>
      </c>
    </row>
    <row r="330" spans="1:7" x14ac:dyDescent="0.3">
      <c r="A330" s="19" t="s">
        <v>126</v>
      </c>
      <c r="B330" s="19" t="s">
        <v>127</v>
      </c>
      <c r="C330" s="19" t="s">
        <v>28</v>
      </c>
      <c r="D330" s="19" t="s">
        <v>35</v>
      </c>
      <c r="E330" s="19">
        <v>1</v>
      </c>
      <c r="F330" s="19">
        <v>42</v>
      </c>
      <c r="G330" s="19">
        <v>157</v>
      </c>
    </row>
    <row r="331" spans="1:7" x14ac:dyDescent="0.3">
      <c r="A331" s="19" t="s">
        <v>126</v>
      </c>
      <c r="B331" s="19" t="s">
        <v>127</v>
      </c>
      <c r="C331" s="19" t="s">
        <v>28</v>
      </c>
      <c r="D331" s="19" t="s">
        <v>37</v>
      </c>
      <c r="E331" s="19">
        <v>1</v>
      </c>
      <c r="F331" s="19">
        <v>39</v>
      </c>
      <c r="G331" s="19">
        <v>166</v>
      </c>
    </row>
    <row r="332" spans="1:7" x14ac:dyDescent="0.3">
      <c r="A332" s="19" t="s">
        <v>126</v>
      </c>
      <c r="B332" s="19" t="s">
        <v>127</v>
      </c>
      <c r="C332" s="19" t="s">
        <v>28</v>
      </c>
      <c r="D332" s="19" t="s">
        <v>39</v>
      </c>
      <c r="E332" s="19">
        <v>1</v>
      </c>
      <c r="F332" s="19">
        <v>38</v>
      </c>
      <c r="G332" s="19">
        <v>164</v>
      </c>
    </row>
    <row r="333" spans="1:7" x14ac:dyDescent="0.3">
      <c r="A333" s="19" t="s">
        <v>126</v>
      </c>
      <c r="B333" s="19" t="s">
        <v>127</v>
      </c>
      <c r="C333" s="19" t="s">
        <v>28</v>
      </c>
      <c r="D333" s="19" t="s">
        <v>41</v>
      </c>
      <c r="E333" s="19">
        <v>1</v>
      </c>
      <c r="F333" s="19">
        <v>30</v>
      </c>
      <c r="G333" s="19">
        <v>162</v>
      </c>
    </row>
    <row r="334" spans="1:7" x14ac:dyDescent="0.3">
      <c r="A334" s="19" t="s">
        <v>126</v>
      </c>
      <c r="B334" s="19" t="s">
        <v>127</v>
      </c>
      <c r="C334" s="19" t="s">
        <v>28</v>
      </c>
      <c r="D334" s="19" t="s">
        <v>43</v>
      </c>
      <c r="E334" s="19">
        <v>1</v>
      </c>
      <c r="F334" s="19">
        <v>46</v>
      </c>
      <c r="G334" s="19">
        <v>160</v>
      </c>
    </row>
    <row r="335" spans="1:7" x14ac:dyDescent="0.3">
      <c r="A335" s="19" t="s">
        <v>126</v>
      </c>
      <c r="B335" s="19" t="s">
        <v>127</v>
      </c>
      <c r="C335" s="19" t="s">
        <v>28</v>
      </c>
      <c r="D335" s="19" t="s">
        <v>45</v>
      </c>
      <c r="E335" s="19">
        <v>1</v>
      </c>
      <c r="F335" s="19">
        <v>58</v>
      </c>
      <c r="G335" s="19">
        <v>168</v>
      </c>
    </row>
    <row r="336" spans="1:7" x14ac:dyDescent="0.3">
      <c r="A336" s="19" t="s">
        <v>126</v>
      </c>
      <c r="B336" s="19" t="s">
        <v>127</v>
      </c>
      <c r="C336" s="19" t="s">
        <v>28</v>
      </c>
      <c r="D336" s="19" t="s">
        <v>47</v>
      </c>
      <c r="E336" s="19">
        <v>1</v>
      </c>
      <c r="F336" s="19">
        <v>52</v>
      </c>
      <c r="G336" s="19">
        <v>169</v>
      </c>
    </row>
    <row r="337" spans="1:7" x14ac:dyDescent="0.3">
      <c r="A337" s="19" t="s">
        <v>126</v>
      </c>
      <c r="B337" s="19" t="s">
        <v>127</v>
      </c>
      <c r="C337" s="19" t="s">
        <v>28</v>
      </c>
      <c r="D337" s="19" t="s">
        <v>49</v>
      </c>
      <c r="E337" s="19">
        <v>1</v>
      </c>
      <c r="F337" s="19">
        <v>35</v>
      </c>
      <c r="G337" s="19">
        <v>173</v>
      </c>
    </row>
    <row r="338" spans="1:7" x14ac:dyDescent="0.3">
      <c r="A338" s="19" t="s">
        <v>128</v>
      </c>
      <c r="B338" s="19" t="s">
        <v>129</v>
      </c>
      <c r="C338" s="19" t="s">
        <v>28</v>
      </c>
      <c r="D338" s="19" t="s">
        <v>27</v>
      </c>
      <c r="E338" s="19">
        <v>1</v>
      </c>
      <c r="F338" s="19">
        <v>21</v>
      </c>
      <c r="G338" s="19">
        <v>299</v>
      </c>
    </row>
    <row r="339" spans="1:7" x14ac:dyDescent="0.3">
      <c r="A339" s="19" t="s">
        <v>128</v>
      </c>
      <c r="B339" s="19" t="s">
        <v>129</v>
      </c>
      <c r="C339" s="19" t="s">
        <v>28</v>
      </c>
      <c r="D339" s="19" t="s">
        <v>29</v>
      </c>
      <c r="E339" s="19">
        <v>0</v>
      </c>
      <c r="F339" s="19">
        <v>27</v>
      </c>
      <c r="G339" s="19">
        <v>301</v>
      </c>
    </row>
    <row r="340" spans="1:7" x14ac:dyDescent="0.3">
      <c r="A340" s="19" t="s">
        <v>128</v>
      </c>
      <c r="B340" s="19" t="s">
        <v>129</v>
      </c>
      <c r="C340" s="19" t="s">
        <v>28</v>
      </c>
      <c r="D340" s="19" t="s">
        <v>31</v>
      </c>
      <c r="E340" s="19">
        <v>1</v>
      </c>
      <c r="F340" s="19">
        <v>28</v>
      </c>
      <c r="G340" s="19">
        <v>303</v>
      </c>
    </row>
    <row r="341" spans="1:7" x14ac:dyDescent="0.3">
      <c r="A341" s="19" t="s">
        <v>128</v>
      </c>
      <c r="B341" s="19" t="s">
        <v>129</v>
      </c>
      <c r="C341" s="19" t="s">
        <v>28</v>
      </c>
      <c r="D341" s="19" t="s">
        <v>33</v>
      </c>
      <c r="E341" s="19">
        <v>1</v>
      </c>
      <c r="F341" s="19">
        <v>24</v>
      </c>
      <c r="G341" s="19">
        <v>309</v>
      </c>
    </row>
    <row r="342" spans="1:7" x14ac:dyDescent="0.3">
      <c r="A342" s="19" t="s">
        <v>128</v>
      </c>
      <c r="B342" s="19" t="s">
        <v>129</v>
      </c>
      <c r="C342" s="19" t="s">
        <v>28</v>
      </c>
      <c r="D342" s="19" t="s">
        <v>35</v>
      </c>
      <c r="E342" s="19">
        <v>0</v>
      </c>
      <c r="F342" s="19">
        <v>26</v>
      </c>
      <c r="G342" s="19">
        <v>308</v>
      </c>
    </row>
    <row r="343" spans="1:7" x14ac:dyDescent="0.3">
      <c r="A343" s="19" t="s">
        <v>128</v>
      </c>
      <c r="B343" s="19" t="s">
        <v>129</v>
      </c>
      <c r="C343" s="19" t="s">
        <v>28</v>
      </c>
      <c r="D343" s="19" t="s">
        <v>37</v>
      </c>
      <c r="E343" s="19">
        <v>1</v>
      </c>
      <c r="F343" s="19">
        <v>23</v>
      </c>
      <c r="G343" s="19">
        <v>309</v>
      </c>
    </row>
    <row r="344" spans="1:7" x14ac:dyDescent="0.3">
      <c r="A344" s="19" t="s">
        <v>128</v>
      </c>
      <c r="B344" s="19" t="s">
        <v>129</v>
      </c>
      <c r="C344" s="19" t="s">
        <v>28</v>
      </c>
      <c r="D344" s="19" t="s">
        <v>39</v>
      </c>
      <c r="E344" s="19">
        <v>0</v>
      </c>
      <c r="F344" s="19">
        <v>21</v>
      </c>
      <c r="G344" s="19">
        <v>308</v>
      </c>
    </row>
    <row r="345" spans="1:7" x14ac:dyDescent="0.3">
      <c r="A345" s="19" t="s">
        <v>128</v>
      </c>
      <c r="B345" s="19" t="s">
        <v>129</v>
      </c>
      <c r="C345" s="19" t="s">
        <v>28</v>
      </c>
      <c r="D345" s="19" t="s">
        <v>41</v>
      </c>
      <c r="E345" s="19">
        <v>1</v>
      </c>
      <c r="F345" s="19">
        <v>29</v>
      </c>
      <c r="G345" s="19">
        <v>309</v>
      </c>
    </row>
    <row r="346" spans="1:7" x14ac:dyDescent="0.3">
      <c r="A346" s="19" t="s">
        <v>128</v>
      </c>
      <c r="B346" s="19" t="s">
        <v>129</v>
      </c>
      <c r="C346" s="19" t="s">
        <v>28</v>
      </c>
      <c r="D346" s="19" t="s">
        <v>43</v>
      </c>
      <c r="E346" s="19">
        <v>1</v>
      </c>
      <c r="F346" s="19">
        <v>20</v>
      </c>
      <c r="G346" s="19">
        <v>314</v>
      </c>
    </row>
    <row r="347" spans="1:7" x14ac:dyDescent="0.3">
      <c r="A347" s="19" t="s">
        <v>128</v>
      </c>
      <c r="B347" s="19" t="s">
        <v>129</v>
      </c>
      <c r="C347" s="19" t="s">
        <v>28</v>
      </c>
      <c r="D347" s="19" t="s">
        <v>45</v>
      </c>
      <c r="E347" s="19">
        <v>1</v>
      </c>
      <c r="F347" s="19">
        <v>31</v>
      </c>
      <c r="G347" s="19">
        <v>313</v>
      </c>
    </row>
    <row r="348" spans="1:7" x14ac:dyDescent="0.3">
      <c r="A348" s="19" t="s">
        <v>128</v>
      </c>
      <c r="B348" s="19" t="s">
        <v>129</v>
      </c>
      <c r="C348" s="19" t="s">
        <v>28</v>
      </c>
      <c r="D348" s="19" t="s">
        <v>47</v>
      </c>
      <c r="E348" s="19">
        <v>1</v>
      </c>
      <c r="F348" s="19">
        <v>26</v>
      </c>
      <c r="G348" s="19">
        <v>312</v>
      </c>
    </row>
    <row r="349" spans="1:7" x14ac:dyDescent="0.3">
      <c r="A349" s="19" t="s">
        <v>128</v>
      </c>
      <c r="B349" s="19" t="s">
        <v>129</v>
      </c>
      <c r="C349" s="19" t="s">
        <v>28</v>
      </c>
      <c r="D349" s="19" t="s">
        <v>49</v>
      </c>
      <c r="E349" s="19">
        <v>1</v>
      </c>
      <c r="F349" s="19">
        <v>21</v>
      </c>
      <c r="G349" s="19">
        <v>313</v>
      </c>
    </row>
    <row r="350" spans="1:7" x14ac:dyDescent="0.3">
      <c r="A350" s="19" t="s">
        <v>130</v>
      </c>
      <c r="B350" s="19" t="s">
        <v>131</v>
      </c>
      <c r="C350" s="19" t="s">
        <v>28</v>
      </c>
      <c r="D350" s="19" t="s">
        <v>27</v>
      </c>
      <c r="E350" s="19">
        <v>1</v>
      </c>
      <c r="F350" s="19">
        <v>24</v>
      </c>
      <c r="G350" s="19">
        <v>219</v>
      </c>
    </row>
    <row r="351" spans="1:7" x14ac:dyDescent="0.3">
      <c r="A351" s="19" t="s">
        <v>130</v>
      </c>
      <c r="B351" s="19" t="s">
        <v>131</v>
      </c>
      <c r="C351" s="19" t="s">
        <v>28</v>
      </c>
      <c r="D351" s="19" t="s">
        <v>29</v>
      </c>
      <c r="E351" s="19">
        <v>1</v>
      </c>
      <c r="F351" s="19">
        <v>31</v>
      </c>
      <c r="G351" s="19">
        <v>220</v>
      </c>
    </row>
    <row r="352" spans="1:7" x14ac:dyDescent="0.3">
      <c r="A352" s="19" t="s">
        <v>130</v>
      </c>
      <c r="B352" s="19" t="s">
        <v>131</v>
      </c>
      <c r="C352" s="19" t="s">
        <v>28</v>
      </c>
      <c r="D352" s="19" t="s">
        <v>31</v>
      </c>
      <c r="E352" s="19">
        <v>1</v>
      </c>
      <c r="F352" s="19">
        <v>33</v>
      </c>
      <c r="G352" s="19">
        <v>223</v>
      </c>
    </row>
    <row r="353" spans="1:7" x14ac:dyDescent="0.3">
      <c r="A353" s="19" t="s">
        <v>130</v>
      </c>
      <c r="B353" s="19" t="s">
        <v>131</v>
      </c>
      <c r="C353" s="19" t="s">
        <v>28</v>
      </c>
      <c r="D353" s="19" t="s">
        <v>33</v>
      </c>
      <c r="E353" s="19">
        <v>1</v>
      </c>
      <c r="F353" s="19">
        <v>26</v>
      </c>
      <c r="G353" s="19">
        <v>230</v>
      </c>
    </row>
    <row r="354" spans="1:7" x14ac:dyDescent="0.3">
      <c r="A354" s="19" t="s">
        <v>130</v>
      </c>
      <c r="B354" s="19" t="s">
        <v>131</v>
      </c>
      <c r="C354" s="19" t="s">
        <v>28</v>
      </c>
      <c r="D354" s="19" t="s">
        <v>35</v>
      </c>
      <c r="E354" s="19">
        <v>0</v>
      </c>
      <c r="F354" s="19">
        <v>27</v>
      </c>
      <c r="G354" s="19">
        <v>228</v>
      </c>
    </row>
    <row r="355" spans="1:7" x14ac:dyDescent="0.3">
      <c r="A355" s="19" t="s">
        <v>130</v>
      </c>
      <c r="B355" s="19" t="s">
        <v>131</v>
      </c>
      <c r="C355" s="19" t="s">
        <v>28</v>
      </c>
      <c r="D355" s="19" t="s">
        <v>37</v>
      </c>
      <c r="E355" s="19">
        <v>1</v>
      </c>
      <c r="F355" s="19">
        <v>27</v>
      </c>
      <c r="G355" s="19">
        <v>228</v>
      </c>
    </row>
    <row r="356" spans="1:7" x14ac:dyDescent="0.3">
      <c r="A356" s="19" t="s">
        <v>130</v>
      </c>
      <c r="B356" s="19" t="s">
        <v>131</v>
      </c>
      <c r="C356" s="19" t="s">
        <v>28</v>
      </c>
      <c r="D356" s="19" t="s">
        <v>39</v>
      </c>
      <c r="E356" s="19">
        <v>1</v>
      </c>
      <c r="F356" s="19">
        <v>23</v>
      </c>
      <c r="G356" s="19">
        <v>231</v>
      </c>
    </row>
    <row r="357" spans="1:7" x14ac:dyDescent="0.3">
      <c r="A357" s="19" t="s">
        <v>130</v>
      </c>
      <c r="B357" s="19" t="s">
        <v>131</v>
      </c>
      <c r="C357" s="19" t="s">
        <v>28</v>
      </c>
      <c r="D357" s="19" t="s">
        <v>41</v>
      </c>
      <c r="E357" s="19">
        <v>1</v>
      </c>
      <c r="F357" s="19">
        <v>30</v>
      </c>
      <c r="G357" s="19">
        <v>230</v>
      </c>
    </row>
    <row r="358" spans="1:7" x14ac:dyDescent="0.3">
      <c r="A358" s="19" t="s">
        <v>130</v>
      </c>
      <c r="B358" s="19" t="s">
        <v>131</v>
      </c>
      <c r="C358" s="19" t="s">
        <v>28</v>
      </c>
      <c r="D358" s="19" t="s">
        <v>43</v>
      </c>
      <c r="E358" s="19">
        <v>0</v>
      </c>
      <c r="F358" s="19">
        <v>27</v>
      </c>
      <c r="G358" s="19">
        <v>230</v>
      </c>
    </row>
    <row r="359" spans="1:7" x14ac:dyDescent="0.3">
      <c r="A359" s="19" t="s">
        <v>130</v>
      </c>
      <c r="B359" s="19" t="s">
        <v>131</v>
      </c>
      <c r="C359" s="19" t="s">
        <v>28</v>
      </c>
      <c r="D359" s="19" t="s">
        <v>45</v>
      </c>
      <c r="E359" s="19">
        <v>1</v>
      </c>
      <c r="F359" s="19">
        <v>56</v>
      </c>
      <c r="G359" s="19">
        <v>233</v>
      </c>
    </row>
    <row r="360" spans="1:7" x14ac:dyDescent="0.3">
      <c r="A360" s="19" t="s">
        <v>130</v>
      </c>
      <c r="B360" s="19" t="s">
        <v>131</v>
      </c>
      <c r="C360" s="19" t="s">
        <v>28</v>
      </c>
      <c r="D360" s="19" t="s">
        <v>47</v>
      </c>
      <c r="E360" s="19">
        <v>0</v>
      </c>
      <c r="F360" s="19">
        <v>29</v>
      </c>
      <c r="G360" s="19">
        <v>245</v>
      </c>
    </row>
    <row r="361" spans="1:7" x14ac:dyDescent="0.3">
      <c r="A361" s="19" t="s">
        <v>130</v>
      </c>
      <c r="B361" s="19" t="s">
        <v>131</v>
      </c>
      <c r="C361" s="19" t="s">
        <v>28</v>
      </c>
      <c r="D361" s="19" t="s">
        <v>49</v>
      </c>
      <c r="E361" s="19">
        <v>1</v>
      </c>
      <c r="F361" s="19">
        <v>26</v>
      </c>
      <c r="G361" s="19">
        <v>241</v>
      </c>
    </row>
    <row r="362" spans="1:7" x14ac:dyDescent="0.3">
      <c r="A362" s="19" t="s">
        <v>132</v>
      </c>
      <c r="B362" s="19" t="s">
        <v>133</v>
      </c>
      <c r="C362" s="19" t="s">
        <v>40</v>
      </c>
      <c r="D362" s="19" t="s">
        <v>27</v>
      </c>
      <c r="E362" s="19">
        <v>0</v>
      </c>
      <c r="F362" s="19">
        <v>26</v>
      </c>
      <c r="G362" s="19">
        <v>270</v>
      </c>
    </row>
    <row r="363" spans="1:7" x14ac:dyDescent="0.3">
      <c r="A363" s="19" t="s">
        <v>132</v>
      </c>
      <c r="B363" s="19" t="s">
        <v>133</v>
      </c>
      <c r="C363" s="19" t="s">
        <v>40</v>
      </c>
      <c r="D363" s="19" t="s">
        <v>29</v>
      </c>
      <c r="E363" s="19">
        <v>1</v>
      </c>
      <c r="F363" s="19">
        <v>26</v>
      </c>
      <c r="G363" s="19">
        <v>268</v>
      </c>
    </row>
    <row r="364" spans="1:7" x14ac:dyDescent="0.3">
      <c r="A364" s="19" t="s">
        <v>132</v>
      </c>
      <c r="B364" s="19" t="s">
        <v>133</v>
      </c>
      <c r="C364" s="19" t="s">
        <v>40</v>
      </c>
      <c r="D364" s="19" t="s">
        <v>31</v>
      </c>
      <c r="E364" s="19">
        <v>1</v>
      </c>
      <c r="F364" s="19">
        <v>28</v>
      </c>
      <c r="G364" s="19">
        <v>269</v>
      </c>
    </row>
    <row r="365" spans="1:7" x14ac:dyDescent="0.3">
      <c r="A365" s="19" t="s">
        <v>132</v>
      </c>
      <c r="B365" s="19" t="s">
        <v>133</v>
      </c>
      <c r="C365" s="19" t="s">
        <v>40</v>
      </c>
      <c r="D365" s="19" t="s">
        <v>33</v>
      </c>
      <c r="E365" s="19">
        <v>0</v>
      </c>
      <c r="F365" s="19">
        <v>35</v>
      </c>
      <c r="G365" s="19">
        <v>273</v>
      </c>
    </row>
    <row r="366" spans="1:7" x14ac:dyDescent="0.3">
      <c r="A366" s="19" t="s">
        <v>132</v>
      </c>
      <c r="B366" s="19" t="s">
        <v>133</v>
      </c>
      <c r="C366" s="19" t="s">
        <v>40</v>
      </c>
      <c r="D366" s="19" t="s">
        <v>35</v>
      </c>
      <c r="E366" s="19">
        <v>0</v>
      </c>
      <c r="F366" s="19">
        <v>39</v>
      </c>
      <c r="G366" s="19">
        <v>277</v>
      </c>
    </row>
    <row r="367" spans="1:7" x14ac:dyDescent="0.3">
      <c r="A367" s="19" t="s">
        <v>132</v>
      </c>
      <c r="B367" s="19" t="s">
        <v>133</v>
      </c>
      <c r="C367" s="19" t="s">
        <v>40</v>
      </c>
      <c r="D367" s="19" t="s">
        <v>37</v>
      </c>
      <c r="E367" s="19">
        <v>1</v>
      </c>
      <c r="F367" s="19">
        <v>23</v>
      </c>
      <c r="G367" s="19">
        <v>286</v>
      </c>
    </row>
    <row r="368" spans="1:7" x14ac:dyDescent="0.3">
      <c r="A368" s="19" t="s">
        <v>132</v>
      </c>
      <c r="B368" s="19" t="s">
        <v>133</v>
      </c>
      <c r="C368" s="19" t="s">
        <v>40</v>
      </c>
      <c r="D368" s="19" t="s">
        <v>39</v>
      </c>
      <c r="E368" s="19">
        <v>1</v>
      </c>
      <c r="F368" s="19">
        <v>40</v>
      </c>
      <c r="G368" s="19">
        <v>285</v>
      </c>
    </row>
    <row r="369" spans="1:7" x14ac:dyDescent="0.3">
      <c r="A369" s="19" t="s">
        <v>132</v>
      </c>
      <c r="B369" s="19" t="s">
        <v>133</v>
      </c>
      <c r="C369" s="19" t="s">
        <v>40</v>
      </c>
      <c r="D369" s="19" t="s">
        <v>41</v>
      </c>
      <c r="E369" s="19">
        <v>1</v>
      </c>
      <c r="F369" s="19">
        <v>34</v>
      </c>
      <c r="G369" s="19">
        <v>294</v>
      </c>
    </row>
    <row r="370" spans="1:7" x14ac:dyDescent="0.3">
      <c r="A370" s="19" t="s">
        <v>132</v>
      </c>
      <c r="B370" s="19" t="s">
        <v>133</v>
      </c>
      <c r="C370" s="19" t="s">
        <v>40</v>
      </c>
      <c r="D370" s="19" t="s">
        <v>43</v>
      </c>
      <c r="E370" s="19">
        <v>1</v>
      </c>
      <c r="F370" s="19">
        <v>30</v>
      </c>
      <c r="G370" s="19">
        <v>299</v>
      </c>
    </row>
    <row r="371" spans="1:7" x14ac:dyDescent="0.3">
      <c r="A371" s="19" t="s">
        <v>132</v>
      </c>
      <c r="B371" s="19" t="s">
        <v>133</v>
      </c>
      <c r="C371" s="19" t="s">
        <v>40</v>
      </c>
      <c r="D371" s="19" t="s">
        <v>45</v>
      </c>
      <c r="E371" s="19">
        <v>2</v>
      </c>
      <c r="F371" s="19">
        <v>43</v>
      </c>
      <c r="G371" s="19">
        <v>305</v>
      </c>
    </row>
    <row r="372" spans="1:7" x14ac:dyDescent="0.3">
      <c r="A372" s="19" t="s">
        <v>132</v>
      </c>
      <c r="B372" s="19" t="s">
        <v>133</v>
      </c>
      <c r="C372" s="19" t="s">
        <v>40</v>
      </c>
      <c r="D372" s="19" t="s">
        <v>47</v>
      </c>
      <c r="E372" s="19">
        <v>1</v>
      </c>
      <c r="F372" s="19">
        <v>33</v>
      </c>
      <c r="G372" s="19">
        <v>306</v>
      </c>
    </row>
    <row r="373" spans="1:7" x14ac:dyDescent="0.3">
      <c r="A373" s="19" t="s">
        <v>132</v>
      </c>
      <c r="B373" s="19" t="s">
        <v>133</v>
      </c>
      <c r="C373" s="19" t="s">
        <v>40</v>
      </c>
      <c r="D373" s="19" t="s">
        <v>49</v>
      </c>
      <c r="E373" s="19">
        <v>0</v>
      </c>
      <c r="F373" s="19">
        <v>36</v>
      </c>
      <c r="G373" s="19">
        <v>309</v>
      </c>
    </row>
    <row r="374" spans="1:7" x14ac:dyDescent="0.3">
      <c r="A374" s="19" t="s">
        <v>134</v>
      </c>
      <c r="B374" s="19" t="s">
        <v>135</v>
      </c>
      <c r="C374" s="19" t="s">
        <v>40</v>
      </c>
      <c r="D374" s="19" t="s">
        <v>27</v>
      </c>
      <c r="E374" s="19">
        <v>1</v>
      </c>
      <c r="F374" s="19">
        <v>33</v>
      </c>
      <c r="G374" s="19">
        <v>283</v>
      </c>
    </row>
    <row r="375" spans="1:7" x14ac:dyDescent="0.3">
      <c r="A375" s="19" t="s">
        <v>134</v>
      </c>
      <c r="B375" s="19" t="s">
        <v>135</v>
      </c>
      <c r="C375" s="19" t="s">
        <v>40</v>
      </c>
      <c r="D375" s="19" t="s">
        <v>29</v>
      </c>
      <c r="E375" s="19">
        <v>1</v>
      </c>
      <c r="F375" s="19">
        <v>24</v>
      </c>
      <c r="G375" s="19">
        <v>288</v>
      </c>
    </row>
    <row r="376" spans="1:7" x14ac:dyDescent="0.3">
      <c r="A376" s="19" t="s">
        <v>134</v>
      </c>
      <c r="B376" s="19" t="s">
        <v>135</v>
      </c>
      <c r="C376" s="19" t="s">
        <v>40</v>
      </c>
      <c r="D376" s="19" t="s">
        <v>31</v>
      </c>
      <c r="E376" s="19">
        <v>0</v>
      </c>
      <c r="F376" s="19">
        <v>28</v>
      </c>
      <c r="G376" s="19">
        <v>287</v>
      </c>
    </row>
    <row r="377" spans="1:7" x14ac:dyDescent="0.3">
      <c r="A377" s="19" t="s">
        <v>134</v>
      </c>
      <c r="B377" s="19" t="s">
        <v>135</v>
      </c>
      <c r="C377" s="19" t="s">
        <v>40</v>
      </c>
      <c r="D377" s="19" t="s">
        <v>33</v>
      </c>
      <c r="E377" s="19">
        <v>0</v>
      </c>
      <c r="F377" s="19">
        <v>30</v>
      </c>
      <c r="G377" s="19">
        <v>290</v>
      </c>
    </row>
    <row r="378" spans="1:7" x14ac:dyDescent="0.3">
      <c r="A378" s="19" t="s">
        <v>134</v>
      </c>
      <c r="B378" s="19" t="s">
        <v>135</v>
      </c>
      <c r="C378" s="19" t="s">
        <v>40</v>
      </c>
      <c r="D378" s="19" t="s">
        <v>35</v>
      </c>
      <c r="E378" s="19">
        <v>0</v>
      </c>
      <c r="F378" s="19">
        <v>30</v>
      </c>
      <c r="G378" s="19">
        <v>293</v>
      </c>
    </row>
    <row r="379" spans="1:7" x14ac:dyDescent="0.3">
      <c r="A379" s="19" t="s">
        <v>134</v>
      </c>
      <c r="B379" s="19" t="s">
        <v>135</v>
      </c>
      <c r="C379" s="19" t="s">
        <v>40</v>
      </c>
      <c r="D379" s="19" t="s">
        <v>37</v>
      </c>
      <c r="E379" s="19">
        <v>0</v>
      </c>
      <c r="F379" s="19">
        <v>21</v>
      </c>
      <c r="G379" s="19">
        <v>299</v>
      </c>
    </row>
    <row r="380" spans="1:7" x14ac:dyDescent="0.3">
      <c r="A380" s="19" t="s">
        <v>134</v>
      </c>
      <c r="B380" s="19" t="s">
        <v>135</v>
      </c>
      <c r="C380" s="19" t="s">
        <v>40</v>
      </c>
      <c r="D380" s="19" t="s">
        <v>39</v>
      </c>
      <c r="E380" s="19">
        <v>1</v>
      </c>
      <c r="F380" s="19">
        <v>29</v>
      </c>
      <c r="G380" s="19">
        <v>298</v>
      </c>
    </row>
    <row r="381" spans="1:7" x14ac:dyDescent="0.3">
      <c r="A381" s="19" t="s">
        <v>134</v>
      </c>
      <c r="B381" s="19" t="s">
        <v>135</v>
      </c>
      <c r="C381" s="19" t="s">
        <v>40</v>
      </c>
      <c r="D381" s="19" t="s">
        <v>41</v>
      </c>
      <c r="E381" s="19">
        <v>1</v>
      </c>
      <c r="F381" s="19">
        <v>25</v>
      </c>
      <c r="G381" s="19">
        <v>304</v>
      </c>
    </row>
    <row r="382" spans="1:7" x14ac:dyDescent="0.3">
      <c r="A382" s="19" t="s">
        <v>134</v>
      </c>
      <c r="B382" s="19" t="s">
        <v>135</v>
      </c>
      <c r="C382" s="19" t="s">
        <v>40</v>
      </c>
      <c r="D382" s="19" t="s">
        <v>43</v>
      </c>
      <c r="E382" s="19">
        <v>1</v>
      </c>
      <c r="F382" s="19">
        <v>26</v>
      </c>
      <c r="G382" s="19">
        <v>308</v>
      </c>
    </row>
    <row r="383" spans="1:7" x14ac:dyDescent="0.3">
      <c r="A383" s="19" t="s">
        <v>134</v>
      </c>
      <c r="B383" s="19" t="s">
        <v>135</v>
      </c>
      <c r="C383" s="19" t="s">
        <v>40</v>
      </c>
      <c r="D383" s="19" t="s">
        <v>45</v>
      </c>
      <c r="E383" s="19">
        <v>1</v>
      </c>
      <c r="F383" s="19">
        <v>41</v>
      </c>
      <c r="G383" s="19">
        <v>312</v>
      </c>
    </row>
    <row r="384" spans="1:7" x14ac:dyDescent="0.3">
      <c r="A384" s="19" t="s">
        <v>134</v>
      </c>
      <c r="B384" s="19" t="s">
        <v>135</v>
      </c>
      <c r="C384" s="19" t="s">
        <v>40</v>
      </c>
      <c r="D384" s="19" t="s">
        <v>47</v>
      </c>
      <c r="E384" s="19">
        <v>1</v>
      </c>
      <c r="F384" s="19">
        <v>35</v>
      </c>
      <c r="G384" s="19">
        <v>310</v>
      </c>
    </row>
    <row r="385" spans="1:7" x14ac:dyDescent="0.3">
      <c r="A385" s="19" t="s">
        <v>134</v>
      </c>
      <c r="B385" s="19" t="s">
        <v>135</v>
      </c>
      <c r="C385" s="19" t="s">
        <v>40</v>
      </c>
      <c r="D385" s="19" t="s">
        <v>49</v>
      </c>
      <c r="E385" s="19">
        <v>1</v>
      </c>
      <c r="F385" s="19">
        <v>19</v>
      </c>
      <c r="G385" s="19">
        <v>317</v>
      </c>
    </row>
    <row r="386" spans="1:7" x14ac:dyDescent="0.3">
      <c r="A386" s="19" t="s">
        <v>136</v>
      </c>
      <c r="B386" s="19" t="s">
        <v>137</v>
      </c>
      <c r="C386" s="19" t="s">
        <v>40</v>
      </c>
      <c r="D386" s="19" t="s">
        <v>27</v>
      </c>
      <c r="E386" s="19">
        <v>1</v>
      </c>
      <c r="F386" s="19">
        <v>35</v>
      </c>
      <c r="G386" s="19">
        <v>396</v>
      </c>
    </row>
    <row r="387" spans="1:7" x14ac:dyDescent="0.3">
      <c r="A387" s="19" t="s">
        <v>136</v>
      </c>
      <c r="B387" s="19" t="s">
        <v>137</v>
      </c>
      <c r="C387" s="19" t="s">
        <v>40</v>
      </c>
      <c r="D387" s="19" t="s">
        <v>29</v>
      </c>
      <c r="E387" s="19">
        <v>1</v>
      </c>
      <c r="F387" s="19">
        <v>38</v>
      </c>
      <c r="G387" s="19">
        <v>400</v>
      </c>
    </row>
    <row r="388" spans="1:7" x14ac:dyDescent="0.3">
      <c r="A388" s="19" t="s">
        <v>136</v>
      </c>
      <c r="B388" s="19" t="s">
        <v>137</v>
      </c>
      <c r="C388" s="19" t="s">
        <v>40</v>
      </c>
      <c r="D388" s="19" t="s">
        <v>31</v>
      </c>
      <c r="E388" s="19">
        <v>0</v>
      </c>
      <c r="F388" s="19">
        <v>27</v>
      </c>
      <c r="G388" s="19">
        <v>403</v>
      </c>
    </row>
    <row r="389" spans="1:7" x14ac:dyDescent="0.3">
      <c r="A389" s="19" t="s">
        <v>136</v>
      </c>
      <c r="B389" s="19" t="s">
        <v>137</v>
      </c>
      <c r="C389" s="19" t="s">
        <v>40</v>
      </c>
      <c r="D389" s="19" t="s">
        <v>33</v>
      </c>
      <c r="E389" s="19">
        <v>1</v>
      </c>
      <c r="F389" s="19">
        <v>30</v>
      </c>
      <c r="G389" s="19">
        <v>401</v>
      </c>
    </row>
    <row r="390" spans="1:7" x14ac:dyDescent="0.3">
      <c r="A390" s="19" t="s">
        <v>136</v>
      </c>
      <c r="B390" s="19" t="s">
        <v>137</v>
      </c>
      <c r="C390" s="19" t="s">
        <v>40</v>
      </c>
      <c r="D390" s="19" t="s">
        <v>35</v>
      </c>
      <c r="E390" s="19">
        <v>1</v>
      </c>
      <c r="F390" s="19">
        <v>39</v>
      </c>
      <c r="G390" s="19">
        <v>401</v>
      </c>
    </row>
    <row r="391" spans="1:7" x14ac:dyDescent="0.3">
      <c r="A391" s="19" t="s">
        <v>136</v>
      </c>
      <c r="B391" s="19" t="s">
        <v>137</v>
      </c>
      <c r="C391" s="19" t="s">
        <v>40</v>
      </c>
      <c r="D391" s="19" t="s">
        <v>37</v>
      </c>
      <c r="E391" s="19">
        <v>1</v>
      </c>
      <c r="F391" s="19">
        <v>29</v>
      </c>
      <c r="G391" s="19">
        <v>407</v>
      </c>
    </row>
    <row r="392" spans="1:7" x14ac:dyDescent="0.3">
      <c r="A392" s="19" t="s">
        <v>136</v>
      </c>
      <c r="B392" s="19" t="s">
        <v>137</v>
      </c>
      <c r="C392" s="19" t="s">
        <v>40</v>
      </c>
      <c r="D392" s="19" t="s">
        <v>39</v>
      </c>
      <c r="E392" s="19">
        <v>1</v>
      </c>
      <c r="F392" s="19">
        <v>31</v>
      </c>
      <c r="G392" s="19">
        <v>409</v>
      </c>
    </row>
    <row r="393" spans="1:7" x14ac:dyDescent="0.3">
      <c r="A393" s="19" t="s">
        <v>136</v>
      </c>
      <c r="B393" s="19" t="s">
        <v>137</v>
      </c>
      <c r="C393" s="19" t="s">
        <v>40</v>
      </c>
      <c r="D393" s="19" t="s">
        <v>41</v>
      </c>
      <c r="E393" s="19">
        <v>1</v>
      </c>
      <c r="F393" s="19">
        <v>31</v>
      </c>
      <c r="G393" s="19">
        <v>410</v>
      </c>
    </row>
    <row r="394" spans="1:7" x14ac:dyDescent="0.3">
      <c r="A394" s="19" t="s">
        <v>136</v>
      </c>
      <c r="B394" s="19" t="s">
        <v>137</v>
      </c>
      <c r="C394" s="19" t="s">
        <v>40</v>
      </c>
      <c r="D394" s="19" t="s">
        <v>43</v>
      </c>
      <c r="E394" s="19">
        <v>1</v>
      </c>
      <c r="F394" s="19">
        <v>33</v>
      </c>
      <c r="G394" s="19">
        <v>413</v>
      </c>
    </row>
    <row r="395" spans="1:7" x14ac:dyDescent="0.3">
      <c r="A395" s="19" t="s">
        <v>136</v>
      </c>
      <c r="B395" s="19" t="s">
        <v>137</v>
      </c>
      <c r="C395" s="19" t="s">
        <v>40</v>
      </c>
      <c r="D395" s="19" t="s">
        <v>45</v>
      </c>
      <c r="E395" s="19">
        <v>1</v>
      </c>
      <c r="F395" s="19">
        <v>57</v>
      </c>
      <c r="G395" s="19">
        <v>412</v>
      </c>
    </row>
    <row r="396" spans="1:7" x14ac:dyDescent="0.3">
      <c r="A396" s="19" t="s">
        <v>136</v>
      </c>
      <c r="B396" s="19" t="s">
        <v>137</v>
      </c>
      <c r="C396" s="19" t="s">
        <v>40</v>
      </c>
      <c r="D396" s="19" t="s">
        <v>47</v>
      </c>
      <c r="E396" s="19">
        <v>0</v>
      </c>
      <c r="F396" s="19">
        <v>37</v>
      </c>
      <c r="G396" s="19">
        <v>422</v>
      </c>
    </row>
    <row r="397" spans="1:7" x14ac:dyDescent="0.3">
      <c r="A397" s="19" t="s">
        <v>136</v>
      </c>
      <c r="B397" s="19" t="s">
        <v>137</v>
      </c>
      <c r="C397" s="19" t="s">
        <v>40</v>
      </c>
      <c r="D397" s="19" t="s">
        <v>49</v>
      </c>
      <c r="E397" s="19">
        <v>1</v>
      </c>
      <c r="F397" s="19">
        <v>40</v>
      </c>
      <c r="G397" s="19">
        <v>422</v>
      </c>
    </row>
    <row r="398" spans="1:7" x14ac:dyDescent="0.3">
      <c r="A398" s="19" t="s">
        <v>138</v>
      </c>
      <c r="B398" s="19" t="s">
        <v>139</v>
      </c>
      <c r="C398" s="19" t="s">
        <v>40</v>
      </c>
      <c r="D398" s="19" t="s">
        <v>27</v>
      </c>
      <c r="E398" s="19">
        <v>1</v>
      </c>
      <c r="F398" s="19">
        <v>30</v>
      </c>
      <c r="G398" s="19">
        <v>333</v>
      </c>
    </row>
    <row r="399" spans="1:7" x14ac:dyDescent="0.3">
      <c r="A399" s="19" t="s">
        <v>138</v>
      </c>
      <c r="B399" s="19" t="s">
        <v>139</v>
      </c>
      <c r="C399" s="19" t="s">
        <v>40</v>
      </c>
      <c r="D399" s="19" t="s">
        <v>29</v>
      </c>
      <c r="E399" s="19">
        <v>0</v>
      </c>
      <c r="F399" s="19">
        <v>19</v>
      </c>
      <c r="G399" s="19">
        <v>340</v>
      </c>
    </row>
    <row r="400" spans="1:7" x14ac:dyDescent="0.3">
      <c r="A400" s="19" t="s">
        <v>138</v>
      </c>
      <c r="B400" s="19" t="s">
        <v>139</v>
      </c>
      <c r="C400" s="19" t="s">
        <v>40</v>
      </c>
      <c r="D400" s="19" t="s">
        <v>31</v>
      </c>
      <c r="E400" s="19">
        <v>0</v>
      </c>
      <c r="F400" s="19">
        <v>23</v>
      </c>
      <c r="G400" s="19">
        <v>339</v>
      </c>
    </row>
    <row r="401" spans="1:7" x14ac:dyDescent="0.3">
      <c r="A401" s="19" t="s">
        <v>138</v>
      </c>
      <c r="B401" s="19" t="s">
        <v>139</v>
      </c>
      <c r="C401" s="19" t="s">
        <v>40</v>
      </c>
      <c r="D401" s="19" t="s">
        <v>33</v>
      </c>
      <c r="E401" s="19">
        <v>0</v>
      </c>
      <c r="F401" s="19">
        <v>24</v>
      </c>
      <c r="G401" s="19">
        <v>340</v>
      </c>
    </row>
    <row r="402" spans="1:7" x14ac:dyDescent="0.3">
      <c r="A402" s="19" t="s">
        <v>138</v>
      </c>
      <c r="B402" s="19" t="s">
        <v>139</v>
      </c>
      <c r="C402" s="19" t="s">
        <v>40</v>
      </c>
      <c r="D402" s="19" t="s">
        <v>35</v>
      </c>
      <c r="E402" s="19">
        <v>1</v>
      </c>
      <c r="F402" s="19">
        <v>26</v>
      </c>
      <c r="G402" s="19">
        <v>341</v>
      </c>
    </row>
    <row r="403" spans="1:7" x14ac:dyDescent="0.3">
      <c r="A403" s="19" t="s">
        <v>138</v>
      </c>
      <c r="B403" s="19" t="s">
        <v>139</v>
      </c>
      <c r="C403" s="19" t="s">
        <v>40</v>
      </c>
      <c r="D403" s="19" t="s">
        <v>37</v>
      </c>
      <c r="E403" s="19">
        <v>0</v>
      </c>
      <c r="F403" s="19">
        <v>23</v>
      </c>
      <c r="G403" s="19">
        <v>345</v>
      </c>
    </row>
    <row r="404" spans="1:7" x14ac:dyDescent="0.3">
      <c r="A404" s="19" t="s">
        <v>138</v>
      </c>
      <c r="B404" s="19" t="s">
        <v>139</v>
      </c>
      <c r="C404" s="19" t="s">
        <v>40</v>
      </c>
      <c r="D404" s="19" t="s">
        <v>39</v>
      </c>
      <c r="E404" s="19">
        <v>1</v>
      </c>
      <c r="F404" s="19">
        <v>29</v>
      </c>
      <c r="G404" s="19">
        <v>344</v>
      </c>
    </row>
    <row r="405" spans="1:7" x14ac:dyDescent="0.3">
      <c r="A405" s="19" t="s">
        <v>138</v>
      </c>
      <c r="B405" s="19" t="s">
        <v>139</v>
      </c>
      <c r="C405" s="19" t="s">
        <v>40</v>
      </c>
      <c r="D405" s="19" t="s">
        <v>41</v>
      </c>
      <c r="E405" s="19">
        <v>0</v>
      </c>
      <c r="F405" s="19">
        <v>25</v>
      </c>
      <c r="G405" s="19">
        <v>348</v>
      </c>
    </row>
    <row r="406" spans="1:7" x14ac:dyDescent="0.3">
      <c r="A406" s="19" t="s">
        <v>138</v>
      </c>
      <c r="B406" s="19" t="s">
        <v>139</v>
      </c>
      <c r="C406" s="19" t="s">
        <v>40</v>
      </c>
      <c r="D406" s="19" t="s">
        <v>43</v>
      </c>
      <c r="E406" s="19">
        <v>1</v>
      </c>
      <c r="F406" s="19">
        <v>29</v>
      </c>
      <c r="G406" s="19">
        <v>349</v>
      </c>
    </row>
    <row r="407" spans="1:7" x14ac:dyDescent="0.3">
      <c r="A407" s="19" t="s">
        <v>138</v>
      </c>
      <c r="B407" s="19" t="s">
        <v>139</v>
      </c>
      <c r="C407" s="19" t="s">
        <v>40</v>
      </c>
      <c r="D407" s="19" t="s">
        <v>45</v>
      </c>
      <c r="E407" s="19">
        <v>2</v>
      </c>
      <c r="F407" s="19">
        <v>39</v>
      </c>
      <c r="G407" s="19">
        <v>355</v>
      </c>
    </row>
    <row r="408" spans="1:7" x14ac:dyDescent="0.3">
      <c r="A408" s="19" t="s">
        <v>138</v>
      </c>
      <c r="B408" s="19" t="s">
        <v>139</v>
      </c>
      <c r="C408" s="19" t="s">
        <v>40</v>
      </c>
      <c r="D408" s="19" t="s">
        <v>47</v>
      </c>
      <c r="E408" s="19">
        <v>1</v>
      </c>
      <c r="F408" s="19">
        <v>30</v>
      </c>
      <c r="G408" s="19">
        <v>355</v>
      </c>
    </row>
    <row r="409" spans="1:7" x14ac:dyDescent="0.3">
      <c r="A409" s="19" t="s">
        <v>138</v>
      </c>
      <c r="B409" s="19" t="s">
        <v>139</v>
      </c>
      <c r="C409" s="19" t="s">
        <v>40</v>
      </c>
      <c r="D409" s="19" t="s">
        <v>49</v>
      </c>
      <c r="E409" s="19">
        <v>1</v>
      </c>
      <c r="F409" s="19">
        <v>25</v>
      </c>
      <c r="G409" s="19">
        <v>359</v>
      </c>
    </row>
    <row r="410" spans="1:7" x14ac:dyDescent="0.3">
      <c r="A410" s="19" t="s">
        <v>140</v>
      </c>
      <c r="B410" s="19" t="s">
        <v>141</v>
      </c>
      <c r="C410" s="19" t="s">
        <v>40</v>
      </c>
      <c r="D410" s="19" t="s">
        <v>27</v>
      </c>
      <c r="E410" s="19">
        <v>0</v>
      </c>
      <c r="F410" s="19">
        <v>6</v>
      </c>
      <c r="G410" s="19">
        <v>268</v>
      </c>
    </row>
    <row r="411" spans="1:7" x14ac:dyDescent="0.3">
      <c r="A411" s="19" t="s">
        <v>140</v>
      </c>
      <c r="B411" s="19" t="s">
        <v>141</v>
      </c>
      <c r="C411" s="19" t="s">
        <v>40</v>
      </c>
      <c r="D411" s="19" t="s">
        <v>29</v>
      </c>
      <c r="E411" s="19">
        <v>0</v>
      </c>
      <c r="F411" s="19">
        <v>9</v>
      </c>
      <c r="G411" s="19">
        <v>268</v>
      </c>
    </row>
    <row r="412" spans="1:7" x14ac:dyDescent="0.3">
      <c r="A412" s="19" t="s">
        <v>140</v>
      </c>
      <c r="B412" s="19" t="s">
        <v>141</v>
      </c>
      <c r="C412" s="19" t="s">
        <v>40</v>
      </c>
      <c r="D412" s="19" t="s">
        <v>31</v>
      </c>
      <c r="E412" s="19">
        <v>0</v>
      </c>
      <c r="F412" s="19">
        <v>7</v>
      </c>
      <c r="G412" s="19">
        <v>270</v>
      </c>
    </row>
    <row r="413" spans="1:7" x14ac:dyDescent="0.3">
      <c r="A413" s="19" t="s">
        <v>140</v>
      </c>
      <c r="B413" s="19" t="s">
        <v>141</v>
      </c>
      <c r="C413" s="19" t="s">
        <v>40</v>
      </c>
      <c r="D413" s="19" t="s">
        <v>33</v>
      </c>
      <c r="E413" s="19">
        <v>0</v>
      </c>
      <c r="F413" s="19">
        <v>6</v>
      </c>
      <c r="G413" s="19">
        <v>271</v>
      </c>
    </row>
    <row r="414" spans="1:7" x14ac:dyDescent="0.3">
      <c r="A414" s="19" t="s">
        <v>140</v>
      </c>
      <c r="B414" s="19" t="s">
        <v>141</v>
      </c>
      <c r="C414" s="19" t="s">
        <v>40</v>
      </c>
      <c r="D414" s="19" t="s">
        <v>35</v>
      </c>
      <c r="E414" s="19">
        <v>0</v>
      </c>
      <c r="F414" s="19">
        <v>7</v>
      </c>
      <c r="G414" s="19">
        <v>271</v>
      </c>
    </row>
    <row r="415" spans="1:7" x14ac:dyDescent="0.3">
      <c r="A415" s="19" t="s">
        <v>140</v>
      </c>
      <c r="B415" s="19" t="s">
        <v>141</v>
      </c>
      <c r="C415" s="19" t="s">
        <v>40</v>
      </c>
      <c r="D415" s="19" t="s">
        <v>37</v>
      </c>
      <c r="E415" s="19">
        <v>0</v>
      </c>
      <c r="F415" s="19">
        <v>7</v>
      </c>
      <c r="G415" s="19">
        <v>272</v>
      </c>
    </row>
    <row r="416" spans="1:7" x14ac:dyDescent="0.3">
      <c r="A416" s="19" t="s">
        <v>140</v>
      </c>
      <c r="B416" s="19" t="s">
        <v>141</v>
      </c>
      <c r="C416" s="19" t="s">
        <v>40</v>
      </c>
      <c r="D416" s="19" t="s">
        <v>39</v>
      </c>
      <c r="E416" s="19">
        <v>0</v>
      </c>
      <c r="F416" s="19">
        <v>6</v>
      </c>
      <c r="G416" s="19">
        <v>273</v>
      </c>
    </row>
    <row r="417" spans="1:7" x14ac:dyDescent="0.3">
      <c r="A417" s="19" t="s">
        <v>140</v>
      </c>
      <c r="B417" s="19" t="s">
        <v>141</v>
      </c>
      <c r="C417" s="19" t="s">
        <v>40</v>
      </c>
      <c r="D417" s="19" t="s">
        <v>41</v>
      </c>
      <c r="E417" s="19">
        <v>0</v>
      </c>
      <c r="F417" s="19">
        <v>7</v>
      </c>
      <c r="G417" s="19">
        <v>273</v>
      </c>
    </row>
    <row r="418" spans="1:7" x14ac:dyDescent="0.3">
      <c r="A418" s="19" t="s">
        <v>140</v>
      </c>
      <c r="B418" s="19" t="s">
        <v>141</v>
      </c>
      <c r="C418" s="19" t="s">
        <v>40</v>
      </c>
      <c r="D418" s="19" t="s">
        <v>43</v>
      </c>
      <c r="E418" s="19">
        <v>0</v>
      </c>
      <c r="F418" s="19">
        <v>7</v>
      </c>
      <c r="G418" s="19">
        <v>274</v>
      </c>
    </row>
    <row r="419" spans="1:7" x14ac:dyDescent="0.3">
      <c r="A419" s="19" t="s">
        <v>140</v>
      </c>
      <c r="B419" s="19" t="s">
        <v>141</v>
      </c>
      <c r="C419" s="19" t="s">
        <v>40</v>
      </c>
      <c r="D419" s="19" t="s">
        <v>45</v>
      </c>
      <c r="E419" s="19">
        <v>0</v>
      </c>
      <c r="F419" s="19">
        <v>12</v>
      </c>
      <c r="G419" s="19">
        <v>275</v>
      </c>
    </row>
    <row r="420" spans="1:7" x14ac:dyDescent="0.3">
      <c r="A420" s="19" t="s">
        <v>140</v>
      </c>
      <c r="B420" s="19" t="s">
        <v>141</v>
      </c>
      <c r="C420" s="19" t="s">
        <v>40</v>
      </c>
      <c r="D420" s="19" t="s">
        <v>47</v>
      </c>
      <c r="E420" s="19">
        <v>0</v>
      </c>
      <c r="F420" s="19">
        <v>8</v>
      </c>
      <c r="G420" s="19">
        <v>276</v>
      </c>
    </row>
    <row r="421" spans="1:7" x14ac:dyDescent="0.3">
      <c r="A421" s="19" t="s">
        <v>140</v>
      </c>
      <c r="B421" s="19" t="s">
        <v>141</v>
      </c>
      <c r="C421" s="19" t="s">
        <v>40</v>
      </c>
      <c r="D421" s="19" t="s">
        <v>49</v>
      </c>
      <c r="E421" s="19">
        <v>0</v>
      </c>
      <c r="F421" s="19">
        <v>8</v>
      </c>
      <c r="G421" s="19">
        <v>277</v>
      </c>
    </row>
    <row r="422" spans="1:7" x14ac:dyDescent="0.3">
      <c r="A422" s="19" t="s">
        <v>142</v>
      </c>
      <c r="B422" s="19" t="s">
        <v>143</v>
      </c>
      <c r="C422" s="19" t="s">
        <v>48</v>
      </c>
      <c r="D422" s="19" t="s">
        <v>27</v>
      </c>
      <c r="E422" s="19">
        <v>1</v>
      </c>
      <c r="F422" s="19">
        <v>16</v>
      </c>
      <c r="G422" s="19">
        <v>206</v>
      </c>
    </row>
    <row r="423" spans="1:7" x14ac:dyDescent="0.3">
      <c r="A423" s="19" t="s">
        <v>142</v>
      </c>
      <c r="B423" s="19" t="s">
        <v>143</v>
      </c>
      <c r="C423" s="19" t="s">
        <v>48</v>
      </c>
      <c r="D423" s="19" t="s">
        <v>29</v>
      </c>
      <c r="E423" s="19">
        <v>1</v>
      </c>
      <c r="F423" s="19">
        <v>21</v>
      </c>
      <c r="G423" s="19">
        <v>207</v>
      </c>
    </row>
    <row r="424" spans="1:7" x14ac:dyDescent="0.3">
      <c r="A424" s="19" t="s">
        <v>142</v>
      </c>
      <c r="B424" s="19" t="s">
        <v>143</v>
      </c>
      <c r="C424" s="19" t="s">
        <v>48</v>
      </c>
      <c r="D424" s="19" t="s">
        <v>31</v>
      </c>
      <c r="E424" s="19">
        <v>1</v>
      </c>
      <c r="F424" s="19">
        <v>19</v>
      </c>
      <c r="G424" s="19">
        <v>211</v>
      </c>
    </row>
    <row r="425" spans="1:7" x14ac:dyDescent="0.3">
      <c r="A425" s="19" t="s">
        <v>142</v>
      </c>
      <c r="B425" s="19" t="s">
        <v>143</v>
      </c>
      <c r="C425" s="19" t="s">
        <v>48</v>
      </c>
      <c r="D425" s="19" t="s">
        <v>33</v>
      </c>
      <c r="E425" s="19">
        <v>0</v>
      </c>
      <c r="F425" s="19">
        <v>18</v>
      </c>
      <c r="G425" s="19">
        <v>214</v>
      </c>
    </row>
    <row r="426" spans="1:7" x14ac:dyDescent="0.3">
      <c r="A426" s="19" t="s">
        <v>142</v>
      </c>
      <c r="B426" s="19" t="s">
        <v>143</v>
      </c>
      <c r="C426" s="19" t="s">
        <v>48</v>
      </c>
      <c r="D426" s="19" t="s">
        <v>35</v>
      </c>
      <c r="E426" s="19">
        <v>1</v>
      </c>
      <c r="F426" s="19">
        <v>17</v>
      </c>
      <c r="G426" s="19">
        <v>216</v>
      </c>
    </row>
    <row r="427" spans="1:7" x14ac:dyDescent="0.3">
      <c r="A427" s="19" t="s">
        <v>142</v>
      </c>
      <c r="B427" s="19" t="s">
        <v>143</v>
      </c>
      <c r="C427" s="19" t="s">
        <v>48</v>
      </c>
      <c r="D427" s="19" t="s">
        <v>37</v>
      </c>
      <c r="E427" s="19">
        <v>0</v>
      </c>
      <c r="F427" s="19">
        <v>19</v>
      </c>
      <c r="G427" s="19">
        <v>218</v>
      </c>
    </row>
    <row r="428" spans="1:7" x14ac:dyDescent="0.3">
      <c r="A428" s="19" t="s">
        <v>142</v>
      </c>
      <c r="B428" s="19" t="s">
        <v>143</v>
      </c>
      <c r="C428" s="19" t="s">
        <v>48</v>
      </c>
      <c r="D428" s="19" t="s">
        <v>39</v>
      </c>
      <c r="E428" s="19">
        <v>0</v>
      </c>
      <c r="F428" s="19">
        <v>22</v>
      </c>
      <c r="G428" s="19">
        <v>221</v>
      </c>
    </row>
    <row r="429" spans="1:7" x14ac:dyDescent="0.3">
      <c r="A429" s="19" t="s">
        <v>142</v>
      </c>
      <c r="B429" s="19" t="s">
        <v>143</v>
      </c>
      <c r="C429" s="19" t="s">
        <v>48</v>
      </c>
      <c r="D429" s="19" t="s">
        <v>41</v>
      </c>
      <c r="E429" s="19">
        <v>0</v>
      </c>
      <c r="F429" s="19">
        <v>18</v>
      </c>
      <c r="G429" s="19">
        <v>224</v>
      </c>
    </row>
    <row r="430" spans="1:7" x14ac:dyDescent="0.3">
      <c r="A430" s="19" t="s">
        <v>142</v>
      </c>
      <c r="B430" s="19" t="s">
        <v>143</v>
      </c>
      <c r="C430" s="19" t="s">
        <v>48</v>
      </c>
      <c r="D430" s="19" t="s">
        <v>43</v>
      </c>
      <c r="E430" s="19">
        <v>0</v>
      </c>
      <c r="F430" s="19">
        <v>18</v>
      </c>
      <c r="G430" s="19">
        <v>226</v>
      </c>
    </row>
    <row r="431" spans="1:7" x14ac:dyDescent="0.3">
      <c r="A431" s="19" t="s">
        <v>142</v>
      </c>
      <c r="B431" s="19" t="s">
        <v>143</v>
      </c>
      <c r="C431" s="19" t="s">
        <v>48</v>
      </c>
      <c r="D431" s="19" t="s">
        <v>45</v>
      </c>
      <c r="E431" s="19">
        <v>0</v>
      </c>
      <c r="F431" s="19">
        <v>25</v>
      </c>
      <c r="G431" s="19">
        <v>226</v>
      </c>
    </row>
    <row r="432" spans="1:7" x14ac:dyDescent="0.3">
      <c r="A432" s="19" t="s">
        <v>142</v>
      </c>
      <c r="B432" s="19" t="s">
        <v>143</v>
      </c>
      <c r="C432" s="19" t="s">
        <v>48</v>
      </c>
      <c r="D432" s="19" t="s">
        <v>47</v>
      </c>
      <c r="E432" s="19">
        <v>0</v>
      </c>
      <c r="F432" s="19">
        <v>22</v>
      </c>
      <c r="G432" s="19">
        <v>226</v>
      </c>
    </row>
    <row r="433" spans="1:7" x14ac:dyDescent="0.3">
      <c r="A433" s="19" t="s">
        <v>142</v>
      </c>
      <c r="B433" s="19" t="s">
        <v>143</v>
      </c>
      <c r="C433" s="19" t="s">
        <v>48</v>
      </c>
      <c r="D433" s="19" t="s">
        <v>49</v>
      </c>
      <c r="E433" s="19">
        <v>1</v>
      </c>
      <c r="F433" s="19">
        <v>18</v>
      </c>
      <c r="G433" s="19">
        <v>228</v>
      </c>
    </row>
    <row r="434" spans="1:7" x14ac:dyDescent="0.3">
      <c r="A434" s="19" t="s">
        <v>144</v>
      </c>
      <c r="B434" s="19" t="s">
        <v>145</v>
      </c>
      <c r="C434" s="19" t="s">
        <v>48</v>
      </c>
      <c r="D434" s="19" t="s">
        <v>27</v>
      </c>
      <c r="E434" s="19">
        <v>1</v>
      </c>
      <c r="F434" s="19">
        <v>39</v>
      </c>
      <c r="G434" s="19">
        <v>182</v>
      </c>
    </row>
    <row r="435" spans="1:7" x14ac:dyDescent="0.3">
      <c r="A435" s="19" t="s">
        <v>144</v>
      </c>
      <c r="B435" s="19" t="s">
        <v>145</v>
      </c>
      <c r="C435" s="19" t="s">
        <v>48</v>
      </c>
      <c r="D435" s="19" t="s">
        <v>29</v>
      </c>
      <c r="E435" s="19">
        <v>1</v>
      </c>
      <c r="F435" s="19">
        <v>44</v>
      </c>
      <c r="G435" s="19">
        <v>184</v>
      </c>
    </row>
    <row r="436" spans="1:7" x14ac:dyDescent="0.3">
      <c r="A436" s="19" t="s">
        <v>144</v>
      </c>
      <c r="B436" s="19" t="s">
        <v>145</v>
      </c>
      <c r="C436" s="19" t="s">
        <v>48</v>
      </c>
      <c r="D436" s="19" t="s">
        <v>31</v>
      </c>
      <c r="E436" s="19">
        <v>1</v>
      </c>
      <c r="F436" s="19">
        <v>36</v>
      </c>
      <c r="G436" s="19">
        <v>190</v>
      </c>
    </row>
    <row r="437" spans="1:7" x14ac:dyDescent="0.3">
      <c r="A437" s="19" t="s">
        <v>144</v>
      </c>
      <c r="B437" s="19" t="s">
        <v>145</v>
      </c>
      <c r="C437" s="19" t="s">
        <v>48</v>
      </c>
      <c r="D437" s="19" t="s">
        <v>33</v>
      </c>
      <c r="E437" s="19">
        <v>0</v>
      </c>
      <c r="F437" s="19">
        <v>50</v>
      </c>
      <c r="G437" s="19">
        <v>188</v>
      </c>
    </row>
    <row r="438" spans="1:7" x14ac:dyDescent="0.3">
      <c r="A438" s="19" t="s">
        <v>144</v>
      </c>
      <c r="B438" s="19" t="s">
        <v>145</v>
      </c>
      <c r="C438" s="19" t="s">
        <v>48</v>
      </c>
      <c r="D438" s="19" t="s">
        <v>35</v>
      </c>
      <c r="E438" s="19">
        <v>1</v>
      </c>
      <c r="F438" s="19">
        <v>37</v>
      </c>
      <c r="G438" s="19">
        <v>198</v>
      </c>
    </row>
    <row r="439" spans="1:7" x14ac:dyDescent="0.3">
      <c r="A439" s="19" t="s">
        <v>144</v>
      </c>
      <c r="B439" s="19" t="s">
        <v>145</v>
      </c>
      <c r="C439" s="19" t="s">
        <v>48</v>
      </c>
      <c r="D439" s="19" t="s">
        <v>37</v>
      </c>
      <c r="E439" s="19">
        <v>1</v>
      </c>
      <c r="F439" s="19">
        <v>30</v>
      </c>
      <c r="G439" s="19">
        <v>197</v>
      </c>
    </row>
    <row r="440" spans="1:7" x14ac:dyDescent="0.3">
      <c r="A440" s="19" t="s">
        <v>144</v>
      </c>
      <c r="B440" s="19" t="s">
        <v>145</v>
      </c>
      <c r="C440" s="19" t="s">
        <v>48</v>
      </c>
      <c r="D440" s="19" t="s">
        <v>39</v>
      </c>
      <c r="E440" s="19">
        <v>1</v>
      </c>
      <c r="F440" s="19">
        <v>40</v>
      </c>
      <c r="G440" s="19">
        <v>194</v>
      </c>
    </row>
    <row r="441" spans="1:7" x14ac:dyDescent="0.3">
      <c r="A441" s="19" t="s">
        <v>144</v>
      </c>
      <c r="B441" s="19" t="s">
        <v>145</v>
      </c>
      <c r="C441" s="19" t="s">
        <v>48</v>
      </c>
      <c r="D441" s="19" t="s">
        <v>41</v>
      </c>
      <c r="E441" s="19">
        <v>0</v>
      </c>
      <c r="F441" s="19">
        <v>44</v>
      </c>
      <c r="G441" s="19">
        <v>195</v>
      </c>
    </row>
    <row r="442" spans="1:7" x14ac:dyDescent="0.3">
      <c r="A442" s="19" t="s">
        <v>144</v>
      </c>
      <c r="B442" s="19" t="s">
        <v>145</v>
      </c>
      <c r="C442" s="19" t="s">
        <v>48</v>
      </c>
      <c r="D442" s="19" t="s">
        <v>43</v>
      </c>
      <c r="E442" s="19">
        <v>1</v>
      </c>
      <c r="F442" s="19">
        <v>40</v>
      </c>
      <c r="G442" s="19">
        <v>203</v>
      </c>
    </row>
    <row r="443" spans="1:7" x14ac:dyDescent="0.3">
      <c r="A443" s="19" t="s">
        <v>144</v>
      </c>
      <c r="B443" s="19" t="s">
        <v>145</v>
      </c>
      <c r="C443" s="19" t="s">
        <v>48</v>
      </c>
      <c r="D443" s="19" t="s">
        <v>45</v>
      </c>
      <c r="E443" s="19">
        <v>1</v>
      </c>
      <c r="F443" s="19">
        <v>69</v>
      </c>
      <c r="G443" s="19">
        <v>210</v>
      </c>
    </row>
    <row r="444" spans="1:7" x14ac:dyDescent="0.3">
      <c r="A444" s="19" t="s">
        <v>144</v>
      </c>
      <c r="B444" s="19" t="s">
        <v>145</v>
      </c>
      <c r="C444" s="19" t="s">
        <v>48</v>
      </c>
      <c r="D444" s="19" t="s">
        <v>47</v>
      </c>
      <c r="E444" s="19">
        <v>1</v>
      </c>
      <c r="F444" s="19">
        <v>44</v>
      </c>
      <c r="G444" s="19">
        <v>221</v>
      </c>
    </row>
    <row r="445" spans="1:7" x14ac:dyDescent="0.3">
      <c r="A445" s="19" t="s">
        <v>144</v>
      </c>
      <c r="B445" s="19" t="s">
        <v>145</v>
      </c>
      <c r="C445" s="19" t="s">
        <v>48</v>
      </c>
      <c r="D445" s="19" t="s">
        <v>49</v>
      </c>
      <c r="E445" s="19">
        <v>1</v>
      </c>
      <c r="F445" s="19">
        <v>38</v>
      </c>
      <c r="G445" s="19">
        <v>227</v>
      </c>
    </row>
    <row r="446" spans="1:7" x14ac:dyDescent="0.3">
      <c r="A446" s="19" t="s">
        <v>146</v>
      </c>
      <c r="B446" s="19" t="s">
        <v>147</v>
      </c>
      <c r="C446" s="19" t="s">
        <v>48</v>
      </c>
      <c r="D446" s="19" t="s">
        <v>27</v>
      </c>
      <c r="E446" s="19">
        <v>0</v>
      </c>
      <c r="F446" s="19">
        <v>14</v>
      </c>
      <c r="G446" s="19">
        <v>174</v>
      </c>
    </row>
    <row r="447" spans="1:7" x14ac:dyDescent="0.3">
      <c r="A447" s="19" t="s">
        <v>146</v>
      </c>
      <c r="B447" s="19" t="s">
        <v>147</v>
      </c>
      <c r="C447" s="19" t="s">
        <v>48</v>
      </c>
      <c r="D447" s="19" t="s">
        <v>29</v>
      </c>
      <c r="E447" s="19">
        <v>0</v>
      </c>
      <c r="F447" s="19">
        <v>12</v>
      </c>
      <c r="G447" s="19">
        <v>175</v>
      </c>
    </row>
    <row r="448" spans="1:7" x14ac:dyDescent="0.3">
      <c r="A448" s="19" t="s">
        <v>146</v>
      </c>
      <c r="B448" s="19" t="s">
        <v>147</v>
      </c>
      <c r="C448" s="19" t="s">
        <v>48</v>
      </c>
      <c r="D448" s="19" t="s">
        <v>31</v>
      </c>
      <c r="E448" s="19">
        <v>0</v>
      </c>
      <c r="F448" s="19">
        <v>12</v>
      </c>
      <c r="G448" s="19">
        <v>176</v>
      </c>
    </row>
    <row r="449" spans="1:7" x14ac:dyDescent="0.3">
      <c r="A449" s="19" t="s">
        <v>146</v>
      </c>
      <c r="B449" s="19" t="s">
        <v>147</v>
      </c>
      <c r="C449" s="19" t="s">
        <v>48</v>
      </c>
      <c r="D449" s="19" t="s">
        <v>33</v>
      </c>
      <c r="E449" s="19">
        <v>0</v>
      </c>
      <c r="F449" s="19">
        <v>12</v>
      </c>
      <c r="G449" s="19">
        <v>177</v>
      </c>
    </row>
    <row r="450" spans="1:7" x14ac:dyDescent="0.3">
      <c r="A450" s="19" t="s">
        <v>146</v>
      </c>
      <c r="B450" s="19" t="s">
        <v>147</v>
      </c>
      <c r="C450" s="19" t="s">
        <v>48</v>
      </c>
      <c r="D450" s="19" t="s">
        <v>35</v>
      </c>
      <c r="E450" s="19">
        <v>0</v>
      </c>
      <c r="F450" s="19">
        <v>15</v>
      </c>
      <c r="G450" s="19">
        <v>179</v>
      </c>
    </row>
    <row r="451" spans="1:7" x14ac:dyDescent="0.3">
      <c r="A451" s="19" t="s">
        <v>146</v>
      </c>
      <c r="B451" s="19" t="s">
        <v>147</v>
      </c>
      <c r="C451" s="19" t="s">
        <v>48</v>
      </c>
      <c r="D451" s="19" t="s">
        <v>37</v>
      </c>
      <c r="E451" s="19">
        <v>0</v>
      </c>
      <c r="F451" s="19">
        <v>14</v>
      </c>
      <c r="G451" s="19">
        <v>182</v>
      </c>
    </row>
    <row r="452" spans="1:7" x14ac:dyDescent="0.3">
      <c r="A452" s="19" t="s">
        <v>146</v>
      </c>
      <c r="B452" s="19" t="s">
        <v>147</v>
      </c>
      <c r="C452" s="19" t="s">
        <v>48</v>
      </c>
      <c r="D452" s="19" t="s">
        <v>39</v>
      </c>
      <c r="E452" s="19">
        <v>0</v>
      </c>
      <c r="F452" s="19">
        <v>13</v>
      </c>
      <c r="G452" s="19">
        <v>184</v>
      </c>
    </row>
    <row r="453" spans="1:7" x14ac:dyDescent="0.3">
      <c r="A453" s="19" t="s">
        <v>146</v>
      </c>
      <c r="B453" s="19" t="s">
        <v>147</v>
      </c>
      <c r="C453" s="19" t="s">
        <v>48</v>
      </c>
      <c r="D453" s="19" t="s">
        <v>41</v>
      </c>
      <c r="E453" s="19">
        <v>0</v>
      </c>
      <c r="F453" s="19">
        <v>14</v>
      </c>
      <c r="G453" s="19">
        <v>187</v>
      </c>
    </row>
    <row r="454" spans="1:7" x14ac:dyDescent="0.3">
      <c r="A454" s="19" t="s">
        <v>146</v>
      </c>
      <c r="B454" s="19" t="s">
        <v>147</v>
      </c>
      <c r="C454" s="19" t="s">
        <v>48</v>
      </c>
      <c r="D454" s="19" t="s">
        <v>43</v>
      </c>
      <c r="E454" s="19">
        <v>0</v>
      </c>
      <c r="F454" s="19">
        <v>15</v>
      </c>
      <c r="G454" s="19">
        <v>188</v>
      </c>
    </row>
    <row r="455" spans="1:7" x14ac:dyDescent="0.3">
      <c r="A455" s="19" t="s">
        <v>146</v>
      </c>
      <c r="B455" s="19" t="s">
        <v>147</v>
      </c>
      <c r="C455" s="19" t="s">
        <v>48</v>
      </c>
      <c r="D455" s="19" t="s">
        <v>45</v>
      </c>
      <c r="E455" s="19">
        <v>1</v>
      </c>
      <c r="F455" s="19">
        <v>22</v>
      </c>
      <c r="G455" s="19">
        <v>191</v>
      </c>
    </row>
    <row r="456" spans="1:7" x14ac:dyDescent="0.3">
      <c r="A456" s="19" t="s">
        <v>146</v>
      </c>
      <c r="B456" s="19" t="s">
        <v>147</v>
      </c>
      <c r="C456" s="19" t="s">
        <v>48</v>
      </c>
      <c r="D456" s="19" t="s">
        <v>47</v>
      </c>
      <c r="E456" s="19">
        <v>0</v>
      </c>
      <c r="F456" s="19">
        <v>14</v>
      </c>
      <c r="G456" s="19">
        <v>195</v>
      </c>
    </row>
    <row r="457" spans="1:7" x14ac:dyDescent="0.3">
      <c r="A457" s="19" t="s">
        <v>146</v>
      </c>
      <c r="B457" s="19" t="s">
        <v>147</v>
      </c>
      <c r="C457" s="19" t="s">
        <v>48</v>
      </c>
      <c r="D457" s="19" t="s">
        <v>49</v>
      </c>
      <c r="E457" s="19">
        <v>0</v>
      </c>
      <c r="F457" s="19">
        <v>15</v>
      </c>
      <c r="G457" s="19">
        <v>196</v>
      </c>
    </row>
    <row r="458" spans="1:7" x14ac:dyDescent="0.3">
      <c r="A458" s="19" t="s">
        <v>148</v>
      </c>
      <c r="B458" s="19" t="s">
        <v>149</v>
      </c>
      <c r="C458" s="19" t="s">
        <v>50</v>
      </c>
      <c r="D458" s="19" t="s">
        <v>27</v>
      </c>
      <c r="E458" s="19">
        <v>1</v>
      </c>
      <c r="F458" s="19">
        <v>29</v>
      </c>
      <c r="G458" s="19">
        <v>346</v>
      </c>
    </row>
    <row r="459" spans="1:7" x14ac:dyDescent="0.3">
      <c r="A459" s="19" t="s">
        <v>148</v>
      </c>
      <c r="B459" s="19" t="s">
        <v>149</v>
      </c>
      <c r="C459" s="19" t="s">
        <v>50</v>
      </c>
      <c r="D459" s="19" t="s">
        <v>29</v>
      </c>
      <c r="E459" s="19">
        <v>0</v>
      </c>
      <c r="F459" s="19">
        <v>30</v>
      </c>
      <c r="G459" s="19">
        <v>351</v>
      </c>
    </row>
    <row r="460" spans="1:7" x14ac:dyDescent="0.3">
      <c r="A460" s="19" t="s">
        <v>148</v>
      </c>
      <c r="B460" s="19" t="s">
        <v>149</v>
      </c>
      <c r="C460" s="19" t="s">
        <v>50</v>
      </c>
      <c r="D460" s="19" t="s">
        <v>31</v>
      </c>
      <c r="E460" s="19">
        <v>1</v>
      </c>
      <c r="F460" s="19">
        <v>27</v>
      </c>
      <c r="G460" s="19">
        <v>353</v>
      </c>
    </row>
    <row r="461" spans="1:7" x14ac:dyDescent="0.3">
      <c r="A461" s="19" t="s">
        <v>148</v>
      </c>
      <c r="B461" s="19" t="s">
        <v>149</v>
      </c>
      <c r="C461" s="19" t="s">
        <v>50</v>
      </c>
      <c r="D461" s="19" t="s">
        <v>33</v>
      </c>
      <c r="E461" s="19">
        <v>0</v>
      </c>
      <c r="F461" s="19">
        <v>22</v>
      </c>
      <c r="G461" s="19">
        <v>356</v>
      </c>
    </row>
    <row r="462" spans="1:7" x14ac:dyDescent="0.3">
      <c r="A462" s="19" t="s">
        <v>148</v>
      </c>
      <c r="B462" s="19" t="s">
        <v>149</v>
      </c>
      <c r="C462" s="19" t="s">
        <v>50</v>
      </c>
      <c r="D462" s="19" t="s">
        <v>35</v>
      </c>
      <c r="E462" s="19">
        <v>1</v>
      </c>
      <c r="F462" s="19">
        <v>21</v>
      </c>
      <c r="G462" s="19">
        <v>354</v>
      </c>
    </row>
    <row r="463" spans="1:7" x14ac:dyDescent="0.3">
      <c r="A463" s="19" t="s">
        <v>148</v>
      </c>
      <c r="B463" s="19" t="s">
        <v>149</v>
      </c>
      <c r="C463" s="19" t="s">
        <v>50</v>
      </c>
      <c r="D463" s="19" t="s">
        <v>37</v>
      </c>
      <c r="E463" s="19">
        <v>1</v>
      </c>
      <c r="F463" s="19">
        <v>23</v>
      </c>
      <c r="G463" s="19">
        <v>353</v>
      </c>
    </row>
    <row r="464" spans="1:7" x14ac:dyDescent="0.3">
      <c r="A464" s="19" t="s">
        <v>148</v>
      </c>
      <c r="B464" s="19" t="s">
        <v>149</v>
      </c>
      <c r="C464" s="19" t="s">
        <v>50</v>
      </c>
      <c r="D464" s="19" t="s">
        <v>39</v>
      </c>
      <c r="E464" s="19">
        <v>0</v>
      </c>
      <c r="F464" s="19">
        <v>25</v>
      </c>
      <c r="G464" s="19">
        <v>351</v>
      </c>
    </row>
    <row r="465" spans="1:7" x14ac:dyDescent="0.3">
      <c r="A465" s="19" t="s">
        <v>148</v>
      </c>
      <c r="B465" s="19" t="s">
        <v>149</v>
      </c>
      <c r="C465" s="19" t="s">
        <v>50</v>
      </c>
      <c r="D465" s="19" t="s">
        <v>41</v>
      </c>
      <c r="E465" s="19">
        <v>1</v>
      </c>
      <c r="F465" s="19">
        <v>31</v>
      </c>
      <c r="G465" s="19">
        <v>351</v>
      </c>
    </row>
    <row r="466" spans="1:7" x14ac:dyDescent="0.3">
      <c r="A466" s="19" t="s">
        <v>148</v>
      </c>
      <c r="B466" s="19" t="s">
        <v>149</v>
      </c>
      <c r="C466" s="19" t="s">
        <v>50</v>
      </c>
      <c r="D466" s="19" t="s">
        <v>43</v>
      </c>
      <c r="E466" s="19">
        <v>1</v>
      </c>
      <c r="F466" s="19">
        <v>30</v>
      </c>
      <c r="G466" s="19">
        <v>357</v>
      </c>
    </row>
    <row r="467" spans="1:7" x14ac:dyDescent="0.3">
      <c r="A467" s="19" t="s">
        <v>148</v>
      </c>
      <c r="B467" s="19" t="s">
        <v>149</v>
      </c>
      <c r="C467" s="19" t="s">
        <v>50</v>
      </c>
      <c r="D467" s="19" t="s">
        <v>45</v>
      </c>
      <c r="E467" s="19">
        <v>1</v>
      </c>
      <c r="F467" s="19">
        <v>45</v>
      </c>
      <c r="G467" s="19">
        <v>360</v>
      </c>
    </row>
    <row r="468" spans="1:7" x14ac:dyDescent="0.3">
      <c r="A468" s="19" t="s">
        <v>148</v>
      </c>
      <c r="B468" s="19" t="s">
        <v>149</v>
      </c>
      <c r="C468" s="19" t="s">
        <v>50</v>
      </c>
      <c r="D468" s="19" t="s">
        <v>47</v>
      </c>
      <c r="E468" s="19">
        <v>1</v>
      </c>
      <c r="F468" s="19">
        <v>30</v>
      </c>
      <c r="G468" s="19">
        <v>371</v>
      </c>
    </row>
    <row r="469" spans="1:7" x14ac:dyDescent="0.3">
      <c r="A469" s="19" t="s">
        <v>148</v>
      </c>
      <c r="B469" s="19" t="s">
        <v>149</v>
      </c>
      <c r="C469" s="19" t="s">
        <v>50</v>
      </c>
      <c r="D469" s="19" t="s">
        <v>49</v>
      </c>
      <c r="E469" s="19">
        <v>1</v>
      </c>
      <c r="F469" s="19">
        <v>28</v>
      </c>
      <c r="G469" s="19">
        <v>370</v>
      </c>
    </row>
    <row r="470" spans="1:7" x14ac:dyDescent="0.3">
      <c r="A470" s="19" t="s">
        <v>150</v>
      </c>
      <c r="B470" s="19" t="s">
        <v>151</v>
      </c>
      <c r="C470" s="19" t="s">
        <v>50</v>
      </c>
      <c r="D470" s="19" t="s">
        <v>27</v>
      </c>
      <c r="E470" s="19">
        <v>1</v>
      </c>
      <c r="F470" s="19">
        <v>35</v>
      </c>
      <c r="G470" s="19">
        <v>358</v>
      </c>
    </row>
    <row r="471" spans="1:7" x14ac:dyDescent="0.3">
      <c r="A471" s="19" t="s">
        <v>150</v>
      </c>
      <c r="B471" s="19" t="s">
        <v>151</v>
      </c>
      <c r="C471" s="19" t="s">
        <v>50</v>
      </c>
      <c r="D471" s="19" t="s">
        <v>29</v>
      </c>
      <c r="E471" s="19">
        <v>1</v>
      </c>
      <c r="F471" s="19">
        <v>29</v>
      </c>
      <c r="G471" s="19">
        <v>361</v>
      </c>
    </row>
    <row r="472" spans="1:7" x14ac:dyDescent="0.3">
      <c r="A472" s="19" t="s">
        <v>150</v>
      </c>
      <c r="B472" s="19" t="s">
        <v>151</v>
      </c>
      <c r="C472" s="19" t="s">
        <v>50</v>
      </c>
      <c r="D472" s="19" t="s">
        <v>31</v>
      </c>
      <c r="E472" s="19">
        <v>1</v>
      </c>
      <c r="F472" s="19">
        <v>34</v>
      </c>
      <c r="G472" s="19">
        <v>360</v>
      </c>
    </row>
    <row r="473" spans="1:7" x14ac:dyDescent="0.3">
      <c r="A473" s="19" t="s">
        <v>150</v>
      </c>
      <c r="B473" s="19" t="s">
        <v>151</v>
      </c>
      <c r="C473" s="19" t="s">
        <v>50</v>
      </c>
      <c r="D473" s="19" t="s">
        <v>33</v>
      </c>
      <c r="E473" s="19">
        <v>0</v>
      </c>
      <c r="F473" s="19">
        <v>38</v>
      </c>
      <c r="G473" s="19">
        <v>365</v>
      </c>
    </row>
    <row r="474" spans="1:7" x14ac:dyDescent="0.3">
      <c r="A474" s="19" t="s">
        <v>150</v>
      </c>
      <c r="B474" s="19" t="s">
        <v>151</v>
      </c>
      <c r="C474" s="19" t="s">
        <v>50</v>
      </c>
      <c r="D474" s="19" t="s">
        <v>35</v>
      </c>
      <c r="E474" s="19">
        <v>1</v>
      </c>
      <c r="F474" s="19">
        <v>39</v>
      </c>
      <c r="G474" s="19">
        <v>364</v>
      </c>
    </row>
    <row r="475" spans="1:7" x14ac:dyDescent="0.3">
      <c r="A475" s="19" t="s">
        <v>150</v>
      </c>
      <c r="B475" s="19" t="s">
        <v>151</v>
      </c>
      <c r="C475" s="19" t="s">
        <v>50</v>
      </c>
      <c r="D475" s="19" t="s">
        <v>37</v>
      </c>
      <c r="E475" s="19">
        <v>1</v>
      </c>
      <c r="F475" s="19">
        <v>31</v>
      </c>
      <c r="G475" s="19">
        <v>371</v>
      </c>
    </row>
    <row r="476" spans="1:7" x14ac:dyDescent="0.3">
      <c r="A476" s="19" t="s">
        <v>150</v>
      </c>
      <c r="B476" s="19" t="s">
        <v>151</v>
      </c>
      <c r="C476" s="19" t="s">
        <v>50</v>
      </c>
      <c r="D476" s="19" t="s">
        <v>39</v>
      </c>
      <c r="E476" s="19">
        <v>1</v>
      </c>
      <c r="F476" s="19">
        <v>35</v>
      </c>
      <c r="G476" s="19">
        <v>373</v>
      </c>
    </row>
    <row r="477" spans="1:7" x14ac:dyDescent="0.3">
      <c r="A477" s="19" t="s">
        <v>150</v>
      </c>
      <c r="B477" s="19" t="s">
        <v>151</v>
      </c>
      <c r="C477" s="19" t="s">
        <v>50</v>
      </c>
      <c r="D477" s="19" t="s">
        <v>41</v>
      </c>
      <c r="E477" s="19">
        <v>1</v>
      </c>
      <c r="F477" s="19">
        <v>43</v>
      </c>
      <c r="G477" s="19">
        <v>372</v>
      </c>
    </row>
    <row r="478" spans="1:7" x14ac:dyDescent="0.3">
      <c r="A478" s="19" t="s">
        <v>150</v>
      </c>
      <c r="B478" s="19" t="s">
        <v>151</v>
      </c>
      <c r="C478" s="19" t="s">
        <v>50</v>
      </c>
      <c r="D478" s="19" t="s">
        <v>43</v>
      </c>
      <c r="E478" s="19">
        <v>1</v>
      </c>
      <c r="F478" s="19">
        <v>37</v>
      </c>
      <c r="G478" s="19">
        <v>377</v>
      </c>
    </row>
    <row r="479" spans="1:7" x14ac:dyDescent="0.3">
      <c r="A479" s="19" t="s">
        <v>150</v>
      </c>
      <c r="B479" s="19" t="s">
        <v>151</v>
      </c>
      <c r="C479" s="19" t="s">
        <v>50</v>
      </c>
      <c r="D479" s="19" t="s">
        <v>45</v>
      </c>
      <c r="E479" s="19">
        <v>1</v>
      </c>
      <c r="F479" s="19">
        <v>59</v>
      </c>
      <c r="G479" s="19">
        <v>377</v>
      </c>
    </row>
    <row r="480" spans="1:7" x14ac:dyDescent="0.3">
      <c r="A480" s="19" t="s">
        <v>150</v>
      </c>
      <c r="B480" s="19" t="s">
        <v>151</v>
      </c>
      <c r="C480" s="19" t="s">
        <v>50</v>
      </c>
      <c r="D480" s="19" t="s">
        <v>47</v>
      </c>
      <c r="E480" s="19">
        <v>1</v>
      </c>
      <c r="F480" s="19">
        <v>48</v>
      </c>
      <c r="G480" s="19">
        <v>381</v>
      </c>
    </row>
    <row r="481" spans="1:7" x14ac:dyDescent="0.3">
      <c r="A481" s="19" t="s">
        <v>150</v>
      </c>
      <c r="B481" s="19" t="s">
        <v>151</v>
      </c>
      <c r="C481" s="19" t="s">
        <v>50</v>
      </c>
      <c r="D481" s="19" t="s">
        <v>49</v>
      </c>
      <c r="E481" s="19">
        <v>1</v>
      </c>
      <c r="F481" s="19">
        <v>32</v>
      </c>
      <c r="G481" s="19">
        <v>389</v>
      </c>
    </row>
    <row r="482" spans="1:7" x14ac:dyDescent="0.3">
      <c r="A482" s="19" t="s">
        <v>152</v>
      </c>
      <c r="B482" s="19" t="s">
        <v>153</v>
      </c>
      <c r="C482" s="19" t="s">
        <v>46</v>
      </c>
      <c r="D482" s="19" t="s">
        <v>27</v>
      </c>
      <c r="E482" s="19">
        <v>1</v>
      </c>
      <c r="F482" s="19">
        <v>43</v>
      </c>
      <c r="G482" s="19">
        <v>243</v>
      </c>
    </row>
    <row r="483" spans="1:7" x14ac:dyDescent="0.3">
      <c r="A483" s="19" t="s">
        <v>152</v>
      </c>
      <c r="B483" s="19" t="s">
        <v>153</v>
      </c>
      <c r="C483" s="19" t="s">
        <v>46</v>
      </c>
      <c r="D483" s="19" t="s">
        <v>29</v>
      </c>
      <c r="E483" s="19">
        <v>1</v>
      </c>
      <c r="F483" s="19">
        <v>38</v>
      </c>
      <c r="G483" s="19">
        <v>247</v>
      </c>
    </row>
    <row r="484" spans="1:7" x14ac:dyDescent="0.3">
      <c r="A484" s="19" t="s">
        <v>152</v>
      </c>
      <c r="B484" s="19" t="s">
        <v>153</v>
      </c>
      <c r="C484" s="19" t="s">
        <v>46</v>
      </c>
      <c r="D484" s="19" t="s">
        <v>31</v>
      </c>
      <c r="E484" s="19">
        <v>0</v>
      </c>
      <c r="F484" s="19">
        <v>37</v>
      </c>
      <c r="G484" s="19">
        <v>247</v>
      </c>
    </row>
    <row r="485" spans="1:7" x14ac:dyDescent="0.3">
      <c r="A485" s="19" t="s">
        <v>152</v>
      </c>
      <c r="B485" s="19" t="s">
        <v>153</v>
      </c>
      <c r="C485" s="19" t="s">
        <v>46</v>
      </c>
      <c r="D485" s="19" t="s">
        <v>33</v>
      </c>
      <c r="E485" s="19">
        <v>1</v>
      </c>
      <c r="F485" s="19">
        <v>41</v>
      </c>
      <c r="G485" s="19">
        <v>250</v>
      </c>
    </row>
    <row r="486" spans="1:7" x14ac:dyDescent="0.3">
      <c r="A486" s="19" t="s">
        <v>152</v>
      </c>
      <c r="B486" s="19" t="s">
        <v>153</v>
      </c>
      <c r="C486" s="19" t="s">
        <v>46</v>
      </c>
      <c r="D486" s="19" t="s">
        <v>35</v>
      </c>
      <c r="E486" s="19">
        <v>1</v>
      </c>
      <c r="F486" s="19">
        <v>34</v>
      </c>
      <c r="G486" s="19">
        <v>255</v>
      </c>
    </row>
    <row r="487" spans="1:7" x14ac:dyDescent="0.3">
      <c r="A487" s="19" t="s">
        <v>152</v>
      </c>
      <c r="B487" s="19" t="s">
        <v>153</v>
      </c>
      <c r="C487" s="19" t="s">
        <v>46</v>
      </c>
      <c r="D487" s="19" t="s">
        <v>37</v>
      </c>
      <c r="E487" s="19">
        <v>0</v>
      </c>
      <c r="F487" s="19">
        <v>47</v>
      </c>
      <c r="G487" s="19">
        <v>254</v>
      </c>
    </row>
    <row r="488" spans="1:7" x14ac:dyDescent="0.3">
      <c r="A488" s="19" t="s">
        <v>152</v>
      </c>
      <c r="B488" s="19" t="s">
        <v>153</v>
      </c>
      <c r="C488" s="19" t="s">
        <v>46</v>
      </c>
      <c r="D488" s="19" t="s">
        <v>39</v>
      </c>
      <c r="E488" s="19">
        <v>0</v>
      </c>
      <c r="F488" s="19">
        <v>36</v>
      </c>
      <c r="G488" s="19">
        <v>262</v>
      </c>
    </row>
    <row r="489" spans="1:7" x14ac:dyDescent="0.3">
      <c r="A489" s="19" t="s">
        <v>152</v>
      </c>
      <c r="B489" s="19" t="s">
        <v>153</v>
      </c>
      <c r="C489" s="19" t="s">
        <v>46</v>
      </c>
      <c r="D489" s="19" t="s">
        <v>41</v>
      </c>
      <c r="E489" s="19">
        <v>1</v>
      </c>
      <c r="F489" s="19">
        <v>46</v>
      </c>
      <c r="G489" s="19">
        <v>258</v>
      </c>
    </row>
    <row r="490" spans="1:7" x14ac:dyDescent="0.3">
      <c r="A490" s="19" t="s">
        <v>152</v>
      </c>
      <c r="B490" s="19" t="s">
        <v>153</v>
      </c>
      <c r="C490" s="19" t="s">
        <v>46</v>
      </c>
      <c r="D490" s="19" t="s">
        <v>43</v>
      </c>
      <c r="E490" s="19">
        <v>2</v>
      </c>
      <c r="F490" s="19">
        <v>44</v>
      </c>
      <c r="G490" s="19">
        <v>266</v>
      </c>
    </row>
    <row r="491" spans="1:7" x14ac:dyDescent="0.3">
      <c r="A491" s="19" t="s">
        <v>152</v>
      </c>
      <c r="B491" s="19" t="s">
        <v>153</v>
      </c>
      <c r="C491" s="19" t="s">
        <v>46</v>
      </c>
      <c r="D491" s="19" t="s">
        <v>45</v>
      </c>
      <c r="E491" s="19">
        <v>2</v>
      </c>
      <c r="F491" s="19">
        <v>66</v>
      </c>
      <c r="G491" s="19">
        <v>269</v>
      </c>
    </row>
    <row r="492" spans="1:7" x14ac:dyDescent="0.3">
      <c r="A492" s="19" t="s">
        <v>152</v>
      </c>
      <c r="B492" s="19" t="s">
        <v>153</v>
      </c>
      <c r="C492" s="19" t="s">
        <v>46</v>
      </c>
      <c r="D492" s="19" t="s">
        <v>47</v>
      </c>
      <c r="E492" s="19">
        <v>2</v>
      </c>
      <c r="F492" s="19">
        <v>58</v>
      </c>
      <c r="G492" s="19">
        <v>281</v>
      </c>
    </row>
    <row r="493" spans="1:7" x14ac:dyDescent="0.3">
      <c r="A493" s="19" t="s">
        <v>152</v>
      </c>
      <c r="B493" s="19" t="s">
        <v>153</v>
      </c>
      <c r="C493" s="19" t="s">
        <v>46</v>
      </c>
      <c r="D493" s="19" t="s">
        <v>49</v>
      </c>
      <c r="E493" s="19">
        <v>1</v>
      </c>
      <c r="F493" s="19">
        <v>36</v>
      </c>
      <c r="G493" s="19">
        <v>291</v>
      </c>
    </row>
    <row r="494" spans="1:7" x14ac:dyDescent="0.3">
      <c r="A494" s="19" t="s">
        <v>154</v>
      </c>
      <c r="B494" s="19" t="s">
        <v>155</v>
      </c>
      <c r="C494" s="19" t="s">
        <v>46</v>
      </c>
      <c r="D494" s="19" t="s">
        <v>27</v>
      </c>
      <c r="E494" s="19">
        <v>1</v>
      </c>
      <c r="F494" s="19">
        <v>29</v>
      </c>
      <c r="G494" s="19">
        <v>213</v>
      </c>
    </row>
    <row r="495" spans="1:7" x14ac:dyDescent="0.3">
      <c r="A495" s="19" t="s">
        <v>154</v>
      </c>
      <c r="B495" s="19" t="s">
        <v>155</v>
      </c>
      <c r="C495" s="19" t="s">
        <v>46</v>
      </c>
      <c r="D495" s="19" t="s">
        <v>29</v>
      </c>
      <c r="E495" s="19">
        <v>1</v>
      </c>
      <c r="F495" s="19">
        <v>31</v>
      </c>
      <c r="G495" s="19">
        <v>219</v>
      </c>
    </row>
    <row r="496" spans="1:7" x14ac:dyDescent="0.3">
      <c r="A496" s="19" t="s">
        <v>154</v>
      </c>
      <c r="B496" s="19" t="s">
        <v>155</v>
      </c>
      <c r="C496" s="19" t="s">
        <v>46</v>
      </c>
      <c r="D496" s="19" t="s">
        <v>31</v>
      </c>
      <c r="E496" s="19">
        <v>1</v>
      </c>
      <c r="F496" s="19">
        <v>21</v>
      </c>
      <c r="G496" s="19">
        <v>225</v>
      </c>
    </row>
    <row r="497" spans="1:7" x14ac:dyDescent="0.3">
      <c r="A497" s="19" t="s">
        <v>154</v>
      </c>
      <c r="B497" s="19" t="s">
        <v>155</v>
      </c>
      <c r="C497" s="19" t="s">
        <v>46</v>
      </c>
      <c r="D497" s="19" t="s">
        <v>33</v>
      </c>
      <c r="E497" s="19">
        <v>1</v>
      </c>
      <c r="F497" s="19">
        <v>24</v>
      </c>
      <c r="G497" s="19">
        <v>224</v>
      </c>
    </row>
    <row r="498" spans="1:7" x14ac:dyDescent="0.3">
      <c r="A498" s="19" t="s">
        <v>154</v>
      </c>
      <c r="B498" s="19" t="s">
        <v>155</v>
      </c>
      <c r="C498" s="19" t="s">
        <v>46</v>
      </c>
      <c r="D498" s="19" t="s">
        <v>35</v>
      </c>
      <c r="E498" s="19">
        <v>0</v>
      </c>
      <c r="F498" s="19">
        <v>23</v>
      </c>
      <c r="G498" s="19">
        <v>227</v>
      </c>
    </row>
    <row r="499" spans="1:7" x14ac:dyDescent="0.3">
      <c r="A499" s="19" t="s">
        <v>154</v>
      </c>
      <c r="B499" s="19" t="s">
        <v>155</v>
      </c>
      <c r="C499" s="19" t="s">
        <v>46</v>
      </c>
      <c r="D499" s="19" t="s">
        <v>37</v>
      </c>
      <c r="E499" s="19">
        <v>1</v>
      </c>
      <c r="F499" s="19">
        <v>25</v>
      </c>
      <c r="G499" s="19">
        <v>227</v>
      </c>
    </row>
    <row r="500" spans="1:7" x14ac:dyDescent="0.3">
      <c r="A500" s="19" t="s">
        <v>154</v>
      </c>
      <c r="B500" s="19" t="s">
        <v>155</v>
      </c>
      <c r="C500" s="19" t="s">
        <v>46</v>
      </c>
      <c r="D500" s="19" t="s">
        <v>39</v>
      </c>
      <c r="E500" s="19">
        <v>1</v>
      </c>
      <c r="F500" s="19">
        <v>28</v>
      </c>
      <c r="G500" s="19">
        <v>231</v>
      </c>
    </row>
    <row r="501" spans="1:7" x14ac:dyDescent="0.3">
      <c r="A501" s="19" t="s">
        <v>154</v>
      </c>
      <c r="B501" s="19" t="s">
        <v>155</v>
      </c>
      <c r="C501" s="19" t="s">
        <v>46</v>
      </c>
      <c r="D501" s="19" t="s">
        <v>41</v>
      </c>
      <c r="E501" s="19">
        <v>0</v>
      </c>
      <c r="F501" s="19">
        <v>29</v>
      </c>
      <c r="G501" s="19">
        <v>233</v>
      </c>
    </row>
    <row r="502" spans="1:7" x14ac:dyDescent="0.3">
      <c r="A502" s="19" t="s">
        <v>154</v>
      </c>
      <c r="B502" s="19" t="s">
        <v>155</v>
      </c>
      <c r="C502" s="19" t="s">
        <v>46</v>
      </c>
      <c r="D502" s="19" t="s">
        <v>43</v>
      </c>
      <c r="E502" s="19">
        <v>1</v>
      </c>
      <c r="F502" s="19">
        <v>23</v>
      </c>
      <c r="G502" s="19">
        <v>238</v>
      </c>
    </row>
    <row r="503" spans="1:7" x14ac:dyDescent="0.3">
      <c r="A503" s="19" t="s">
        <v>154</v>
      </c>
      <c r="B503" s="19" t="s">
        <v>155</v>
      </c>
      <c r="C503" s="19" t="s">
        <v>46</v>
      </c>
      <c r="D503" s="19" t="s">
        <v>45</v>
      </c>
      <c r="E503" s="19">
        <v>2</v>
      </c>
      <c r="F503" s="19">
        <v>49</v>
      </c>
      <c r="G503" s="19">
        <v>237</v>
      </c>
    </row>
    <row r="504" spans="1:7" x14ac:dyDescent="0.3">
      <c r="A504" s="19" t="s">
        <v>154</v>
      </c>
      <c r="B504" s="19" t="s">
        <v>155</v>
      </c>
      <c r="C504" s="19" t="s">
        <v>46</v>
      </c>
      <c r="D504" s="19" t="s">
        <v>47</v>
      </c>
      <c r="E504" s="19">
        <v>0</v>
      </c>
      <c r="F504" s="19">
        <v>28</v>
      </c>
      <c r="G504" s="19">
        <v>244</v>
      </c>
    </row>
    <row r="505" spans="1:7" x14ac:dyDescent="0.3">
      <c r="A505" s="19" t="s">
        <v>154</v>
      </c>
      <c r="B505" s="19" t="s">
        <v>155</v>
      </c>
      <c r="C505" s="19" t="s">
        <v>46</v>
      </c>
      <c r="D505" s="19" t="s">
        <v>49</v>
      </c>
      <c r="E505" s="19">
        <v>0</v>
      </c>
      <c r="F505" s="19">
        <v>23</v>
      </c>
      <c r="G505" s="19">
        <v>242</v>
      </c>
    </row>
    <row r="506" spans="1:7" x14ac:dyDescent="0.3">
      <c r="A506" s="19" t="s">
        <v>156</v>
      </c>
      <c r="B506" s="19" t="s">
        <v>157</v>
      </c>
      <c r="C506" s="19" t="s">
        <v>46</v>
      </c>
      <c r="D506" s="19" t="s">
        <v>27</v>
      </c>
      <c r="E506" s="19">
        <v>1</v>
      </c>
      <c r="F506" s="19">
        <v>34</v>
      </c>
      <c r="G506" s="19">
        <v>110</v>
      </c>
    </row>
    <row r="507" spans="1:7" x14ac:dyDescent="0.3">
      <c r="A507" s="19" t="s">
        <v>156</v>
      </c>
      <c r="B507" s="19" t="s">
        <v>157</v>
      </c>
      <c r="C507" s="19" t="s">
        <v>46</v>
      </c>
      <c r="D507" s="19" t="s">
        <v>29</v>
      </c>
      <c r="E507" s="19">
        <v>1</v>
      </c>
      <c r="F507" s="19">
        <v>25</v>
      </c>
      <c r="G507" s="19">
        <v>116</v>
      </c>
    </row>
    <row r="508" spans="1:7" x14ac:dyDescent="0.3">
      <c r="A508" s="19" t="s">
        <v>156</v>
      </c>
      <c r="B508" s="19" t="s">
        <v>157</v>
      </c>
      <c r="C508" s="19" t="s">
        <v>46</v>
      </c>
      <c r="D508" s="19" t="s">
        <v>31</v>
      </c>
      <c r="E508" s="19">
        <v>1</v>
      </c>
      <c r="F508" s="19">
        <v>28</v>
      </c>
      <c r="G508" s="19">
        <v>114</v>
      </c>
    </row>
    <row r="509" spans="1:7" x14ac:dyDescent="0.3">
      <c r="A509" s="19" t="s">
        <v>156</v>
      </c>
      <c r="B509" s="19" t="s">
        <v>157</v>
      </c>
      <c r="C509" s="19" t="s">
        <v>46</v>
      </c>
      <c r="D509" s="19" t="s">
        <v>33</v>
      </c>
      <c r="E509" s="19">
        <v>1</v>
      </c>
      <c r="F509" s="19">
        <v>36</v>
      </c>
      <c r="G509" s="19">
        <v>115</v>
      </c>
    </row>
    <row r="510" spans="1:7" x14ac:dyDescent="0.3">
      <c r="A510" s="19" t="s">
        <v>156</v>
      </c>
      <c r="B510" s="19" t="s">
        <v>157</v>
      </c>
      <c r="C510" s="19" t="s">
        <v>46</v>
      </c>
      <c r="D510" s="19" t="s">
        <v>35</v>
      </c>
      <c r="E510" s="19">
        <v>0</v>
      </c>
      <c r="F510" s="19">
        <v>23</v>
      </c>
      <c r="G510" s="19">
        <v>120</v>
      </c>
    </row>
    <row r="511" spans="1:7" x14ac:dyDescent="0.3">
      <c r="A511" s="19" t="s">
        <v>156</v>
      </c>
      <c r="B511" s="19" t="s">
        <v>157</v>
      </c>
      <c r="C511" s="19" t="s">
        <v>46</v>
      </c>
      <c r="D511" s="19" t="s">
        <v>37</v>
      </c>
      <c r="E511" s="19">
        <v>1</v>
      </c>
      <c r="F511" s="19">
        <v>34</v>
      </c>
      <c r="G511" s="19">
        <v>118</v>
      </c>
    </row>
    <row r="512" spans="1:7" x14ac:dyDescent="0.3">
      <c r="A512" s="19" t="s">
        <v>156</v>
      </c>
      <c r="B512" s="19" t="s">
        <v>157</v>
      </c>
      <c r="C512" s="19" t="s">
        <v>46</v>
      </c>
      <c r="D512" s="19" t="s">
        <v>39</v>
      </c>
      <c r="E512" s="19">
        <v>1</v>
      </c>
      <c r="F512" s="19">
        <v>29</v>
      </c>
      <c r="G512" s="19">
        <v>125</v>
      </c>
    </row>
    <row r="513" spans="1:7" x14ac:dyDescent="0.3">
      <c r="A513" s="19" t="s">
        <v>156</v>
      </c>
      <c r="B513" s="19" t="s">
        <v>157</v>
      </c>
      <c r="C513" s="19" t="s">
        <v>46</v>
      </c>
      <c r="D513" s="19" t="s">
        <v>41</v>
      </c>
      <c r="E513" s="19">
        <v>1</v>
      </c>
      <c r="F513" s="19">
        <v>31</v>
      </c>
      <c r="G513" s="19">
        <v>127</v>
      </c>
    </row>
    <row r="514" spans="1:7" x14ac:dyDescent="0.3">
      <c r="A514" s="19" t="s">
        <v>156</v>
      </c>
      <c r="B514" s="19" t="s">
        <v>157</v>
      </c>
      <c r="C514" s="19" t="s">
        <v>46</v>
      </c>
      <c r="D514" s="19" t="s">
        <v>43</v>
      </c>
      <c r="E514" s="19">
        <v>0</v>
      </c>
      <c r="F514" s="19">
        <v>37</v>
      </c>
      <c r="G514" s="19">
        <v>132</v>
      </c>
    </row>
    <row r="515" spans="1:7" x14ac:dyDescent="0.3">
      <c r="A515" s="19" t="s">
        <v>156</v>
      </c>
      <c r="B515" s="19" t="s">
        <v>157</v>
      </c>
      <c r="C515" s="19" t="s">
        <v>46</v>
      </c>
      <c r="D515" s="19" t="s">
        <v>45</v>
      </c>
      <c r="E515" s="19">
        <v>0</v>
      </c>
      <c r="F515" s="19">
        <v>42</v>
      </c>
      <c r="G515" s="19">
        <v>138</v>
      </c>
    </row>
    <row r="516" spans="1:7" x14ac:dyDescent="0.3">
      <c r="A516" s="19" t="s">
        <v>156</v>
      </c>
      <c r="B516" s="19" t="s">
        <v>157</v>
      </c>
      <c r="C516" s="19" t="s">
        <v>46</v>
      </c>
      <c r="D516" s="19" t="s">
        <v>47</v>
      </c>
      <c r="E516" s="19">
        <v>1</v>
      </c>
      <c r="F516" s="19">
        <v>34</v>
      </c>
      <c r="G516" s="19">
        <v>134</v>
      </c>
    </row>
    <row r="517" spans="1:7" x14ac:dyDescent="0.3">
      <c r="A517" s="19" t="s">
        <v>156</v>
      </c>
      <c r="B517" s="19" t="s">
        <v>157</v>
      </c>
      <c r="C517" s="19" t="s">
        <v>46</v>
      </c>
      <c r="D517" s="19" t="s">
        <v>49</v>
      </c>
      <c r="E517" s="19">
        <v>1</v>
      </c>
      <c r="F517" s="19">
        <v>29</v>
      </c>
      <c r="G517" s="19">
        <v>136</v>
      </c>
    </row>
    <row r="518" spans="1:7" x14ac:dyDescent="0.3">
      <c r="A518" s="19" t="s">
        <v>158</v>
      </c>
      <c r="B518" s="19" t="s">
        <v>159</v>
      </c>
      <c r="C518" s="19" t="s">
        <v>46</v>
      </c>
      <c r="D518" s="19" t="s">
        <v>27</v>
      </c>
      <c r="E518" s="19">
        <v>1</v>
      </c>
      <c r="F518" s="19">
        <v>28</v>
      </c>
      <c r="G518" s="19">
        <v>218</v>
      </c>
    </row>
    <row r="519" spans="1:7" x14ac:dyDescent="0.3">
      <c r="A519" s="19" t="s">
        <v>158</v>
      </c>
      <c r="B519" s="19" t="s">
        <v>159</v>
      </c>
      <c r="C519" s="19" t="s">
        <v>46</v>
      </c>
      <c r="D519" s="19" t="s">
        <v>29</v>
      </c>
      <c r="E519" s="19">
        <v>1</v>
      </c>
      <c r="F519" s="19">
        <v>33</v>
      </c>
      <c r="G519" s="19">
        <v>216</v>
      </c>
    </row>
    <row r="520" spans="1:7" x14ac:dyDescent="0.3">
      <c r="A520" s="19" t="s">
        <v>158</v>
      </c>
      <c r="B520" s="19" t="s">
        <v>159</v>
      </c>
      <c r="C520" s="19" t="s">
        <v>46</v>
      </c>
      <c r="D520" s="19" t="s">
        <v>31</v>
      </c>
      <c r="E520" s="19">
        <v>1</v>
      </c>
      <c r="F520" s="19">
        <v>45</v>
      </c>
      <c r="G520" s="19">
        <v>214</v>
      </c>
    </row>
    <row r="521" spans="1:7" x14ac:dyDescent="0.3">
      <c r="A521" s="19" t="s">
        <v>158</v>
      </c>
      <c r="B521" s="19" t="s">
        <v>159</v>
      </c>
      <c r="C521" s="19" t="s">
        <v>46</v>
      </c>
      <c r="D521" s="19" t="s">
        <v>33</v>
      </c>
      <c r="E521" s="19">
        <v>1</v>
      </c>
      <c r="F521" s="19">
        <v>32</v>
      </c>
      <c r="G521" s="19">
        <v>219</v>
      </c>
    </row>
    <row r="522" spans="1:7" x14ac:dyDescent="0.3">
      <c r="A522" s="19" t="s">
        <v>158</v>
      </c>
      <c r="B522" s="19" t="s">
        <v>159</v>
      </c>
      <c r="C522" s="19" t="s">
        <v>46</v>
      </c>
      <c r="D522" s="19" t="s">
        <v>35</v>
      </c>
      <c r="E522" s="19">
        <v>1</v>
      </c>
      <c r="F522" s="19">
        <v>41</v>
      </c>
      <c r="G522" s="19">
        <v>218</v>
      </c>
    </row>
    <row r="523" spans="1:7" x14ac:dyDescent="0.3">
      <c r="A523" s="19" t="s">
        <v>158</v>
      </c>
      <c r="B523" s="19" t="s">
        <v>159</v>
      </c>
      <c r="C523" s="19" t="s">
        <v>46</v>
      </c>
      <c r="D523" s="19" t="s">
        <v>37</v>
      </c>
      <c r="E523" s="19">
        <v>2</v>
      </c>
      <c r="F523" s="19">
        <v>36</v>
      </c>
      <c r="G523" s="19">
        <v>221</v>
      </c>
    </row>
    <row r="524" spans="1:7" x14ac:dyDescent="0.3">
      <c r="A524" s="19" t="s">
        <v>158</v>
      </c>
      <c r="B524" s="19" t="s">
        <v>159</v>
      </c>
      <c r="C524" s="19" t="s">
        <v>46</v>
      </c>
      <c r="D524" s="19" t="s">
        <v>39</v>
      </c>
      <c r="E524" s="19">
        <v>0</v>
      </c>
      <c r="F524" s="19">
        <v>45</v>
      </c>
      <c r="G524" s="19">
        <v>220</v>
      </c>
    </row>
    <row r="525" spans="1:7" x14ac:dyDescent="0.3">
      <c r="A525" s="19" t="s">
        <v>158</v>
      </c>
      <c r="B525" s="19" t="s">
        <v>159</v>
      </c>
      <c r="C525" s="19" t="s">
        <v>46</v>
      </c>
      <c r="D525" s="19" t="s">
        <v>41</v>
      </c>
      <c r="E525" s="19">
        <v>1</v>
      </c>
      <c r="F525" s="19">
        <v>40</v>
      </c>
      <c r="G525" s="19">
        <v>229</v>
      </c>
    </row>
    <row r="526" spans="1:7" x14ac:dyDescent="0.3">
      <c r="A526" s="19" t="s">
        <v>158</v>
      </c>
      <c r="B526" s="19" t="s">
        <v>159</v>
      </c>
      <c r="C526" s="19" t="s">
        <v>46</v>
      </c>
      <c r="D526" s="19" t="s">
        <v>43</v>
      </c>
      <c r="E526" s="19">
        <v>0</v>
      </c>
      <c r="F526" s="19">
        <v>41</v>
      </c>
      <c r="G526" s="19">
        <v>230</v>
      </c>
    </row>
    <row r="527" spans="1:7" x14ac:dyDescent="0.3">
      <c r="A527" s="19" t="s">
        <v>158</v>
      </c>
      <c r="B527" s="19" t="s">
        <v>159</v>
      </c>
      <c r="C527" s="19" t="s">
        <v>46</v>
      </c>
      <c r="D527" s="19" t="s">
        <v>45</v>
      </c>
      <c r="E527" s="19">
        <v>1</v>
      </c>
      <c r="F527" s="19">
        <v>70</v>
      </c>
      <c r="G527" s="19">
        <v>237</v>
      </c>
    </row>
    <row r="528" spans="1:7" x14ac:dyDescent="0.3">
      <c r="A528" s="19" t="s">
        <v>158</v>
      </c>
      <c r="B528" s="19" t="s">
        <v>159</v>
      </c>
      <c r="C528" s="19" t="s">
        <v>46</v>
      </c>
      <c r="D528" s="19" t="s">
        <v>47</v>
      </c>
      <c r="E528" s="19">
        <v>1</v>
      </c>
      <c r="F528" s="19">
        <v>46</v>
      </c>
      <c r="G528" s="19">
        <v>242</v>
      </c>
    </row>
    <row r="529" spans="1:7" x14ac:dyDescent="0.3">
      <c r="A529" s="19" t="s">
        <v>158</v>
      </c>
      <c r="B529" s="19" t="s">
        <v>159</v>
      </c>
      <c r="C529" s="19" t="s">
        <v>46</v>
      </c>
      <c r="D529" s="19" t="s">
        <v>49</v>
      </c>
      <c r="E529" s="19">
        <v>1</v>
      </c>
      <c r="F529" s="19">
        <v>44</v>
      </c>
      <c r="G529" s="19">
        <v>250</v>
      </c>
    </row>
    <row r="530" spans="1:7" x14ac:dyDescent="0.3">
      <c r="A530" s="19" t="s">
        <v>160</v>
      </c>
      <c r="B530" s="19" t="s">
        <v>161</v>
      </c>
      <c r="C530" s="19" t="s">
        <v>46</v>
      </c>
      <c r="D530" s="19" t="s">
        <v>27</v>
      </c>
      <c r="E530" s="19">
        <v>0</v>
      </c>
      <c r="F530" s="19">
        <v>32</v>
      </c>
      <c r="G530" s="19">
        <v>158</v>
      </c>
    </row>
    <row r="531" spans="1:7" x14ac:dyDescent="0.3">
      <c r="A531" s="19" t="s">
        <v>160</v>
      </c>
      <c r="B531" s="19" t="s">
        <v>161</v>
      </c>
      <c r="C531" s="19" t="s">
        <v>46</v>
      </c>
      <c r="D531" s="19" t="s">
        <v>29</v>
      </c>
      <c r="E531" s="19">
        <v>0</v>
      </c>
      <c r="F531" s="19">
        <v>28</v>
      </c>
      <c r="G531" s="19">
        <v>159</v>
      </c>
    </row>
    <row r="532" spans="1:7" x14ac:dyDescent="0.3">
      <c r="A532" s="19" t="s">
        <v>160</v>
      </c>
      <c r="B532" s="19" t="s">
        <v>161</v>
      </c>
      <c r="C532" s="19" t="s">
        <v>46</v>
      </c>
      <c r="D532" s="19" t="s">
        <v>31</v>
      </c>
      <c r="E532" s="19">
        <v>1</v>
      </c>
      <c r="F532" s="19">
        <v>28</v>
      </c>
      <c r="G532" s="19">
        <v>160</v>
      </c>
    </row>
    <row r="533" spans="1:7" x14ac:dyDescent="0.3">
      <c r="A533" s="19" t="s">
        <v>160</v>
      </c>
      <c r="B533" s="19" t="s">
        <v>161</v>
      </c>
      <c r="C533" s="19" t="s">
        <v>46</v>
      </c>
      <c r="D533" s="19" t="s">
        <v>33</v>
      </c>
      <c r="E533" s="19">
        <v>0</v>
      </c>
      <c r="F533" s="19">
        <v>26</v>
      </c>
      <c r="G533" s="19">
        <v>163</v>
      </c>
    </row>
    <row r="534" spans="1:7" x14ac:dyDescent="0.3">
      <c r="A534" s="19" t="s">
        <v>160</v>
      </c>
      <c r="B534" s="19" t="s">
        <v>161</v>
      </c>
      <c r="C534" s="19" t="s">
        <v>46</v>
      </c>
      <c r="D534" s="19" t="s">
        <v>35</v>
      </c>
      <c r="E534" s="19">
        <v>1</v>
      </c>
      <c r="F534" s="19">
        <v>28</v>
      </c>
      <c r="G534" s="19">
        <v>164</v>
      </c>
    </row>
    <row r="535" spans="1:7" x14ac:dyDescent="0.3">
      <c r="A535" s="19" t="s">
        <v>160</v>
      </c>
      <c r="B535" s="19" t="s">
        <v>161</v>
      </c>
      <c r="C535" s="19" t="s">
        <v>46</v>
      </c>
      <c r="D535" s="19" t="s">
        <v>37</v>
      </c>
      <c r="E535" s="19">
        <v>1</v>
      </c>
      <c r="F535" s="19">
        <v>32</v>
      </c>
      <c r="G535" s="19">
        <v>166</v>
      </c>
    </row>
    <row r="536" spans="1:7" x14ac:dyDescent="0.3">
      <c r="A536" s="19" t="s">
        <v>160</v>
      </c>
      <c r="B536" s="19" t="s">
        <v>161</v>
      </c>
      <c r="C536" s="19" t="s">
        <v>46</v>
      </c>
      <c r="D536" s="19" t="s">
        <v>39</v>
      </c>
      <c r="E536" s="19">
        <v>1</v>
      </c>
      <c r="F536" s="19">
        <v>29</v>
      </c>
      <c r="G536" s="19">
        <v>173</v>
      </c>
    </row>
    <row r="537" spans="1:7" x14ac:dyDescent="0.3">
      <c r="A537" s="19" t="s">
        <v>160</v>
      </c>
      <c r="B537" s="19" t="s">
        <v>161</v>
      </c>
      <c r="C537" s="19" t="s">
        <v>46</v>
      </c>
      <c r="D537" s="19" t="s">
        <v>41</v>
      </c>
      <c r="E537" s="19">
        <v>0</v>
      </c>
      <c r="F537" s="19">
        <v>30</v>
      </c>
      <c r="G537" s="19">
        <v>173</v>
      </c>
    </row>
    <row r="538" spans="1:7" x14ac:dyDescent="0.3">
      <c r="A538" s="19" t="s">
        <v>160</v>
      </c>
      <c r="B538" s="19" t="s">
        <v>161</v>
      </c>
      <c r="C538" s="19" t="s">
        <v>46</v>
      </c>
      <c r="D538" s="19" t="s">
        <v>43</v>
      </c>
      <c r="E538" s="19">
        <v>0</v>
      </c>
      <c r="F538" s="19">
        <v>31</v>
      </c>
      <c r="G538" s="19">
        <v>176</v>
      </c>
    </row>
    <row r="539" spans="1:7" x14ac:dyDescent="0.3">
      <c r="A539" s="19" t="s">
        <v>160</v>
      </c>
      <c r="B539" s="19" t="s">
        <v>161</v>
      </c>
      <c r="C539" s="19" t="s">
        <v>46</v>
      </c>
      <c r="D539" s="19" t="s">
        <v>45</v>
      </c>
      <c r="E539" s="19">
        <v>1</v>
      </c>
      <c r="F539" s="19">
        <v>49</v>
      </c>
      <c r="G539" s="19">
        <v>179</v>
      </c>
    </row>
    <row r="540" spans="1:7" x14ac:dyDescent="0.3">
      <c r="A540" s="19" t="s">
        <v>160</v>
      </c>
      <c r="B540" s="19" t="s">
        <v>161</v>
      </c>
      <c r="C540" s="19" t="s">
        <v>46</v>
      </c>
      <c r="D540" s="19" t="s">
        <v>47</v>
      </c>
      <c r="E540" s="19">
        <v>1</v>
      </c>
      <c r="F540" s="19">
        <v>30</v>
      </c>
      <c r="G540" s="19">
        <v>186</v>
      </c>
    </row>
    <row r="541" spans="1:7" x14ac:dyDescent="0.3">
      <c r="A541" s="19" t="s">
        <v>160</v>
      </c>
      <c r="B541" s="19" t="s">
        <v>161</v>
      </c>
      <c r="C541" s="19" t="s">
        <v>46</v>
      </c>
      <c r="D541" s="19" t="s">
        <v>49</v>
      </c>
      <c r="E541" s="19">
        <v>1</v>
      </c>
      <c r="F541" s="19">
        <v>37</v>
      </c>
      <c r="G541" s="19">
        <v>188</v>
      </c>
    </row>
    <row r="542" spans="1:7" x14ac:dyDescent="0.3">
      <c r="A542" s="19" t="s">
        <v>162</v>
      </c>
      <c r="B542" s="19" t="s">
        <v>163</v>
      </c>
      <c r="C542" s="19" t="s">
        <v>38</v>
      </c>
      <c r="D542" s="19" t="s">
        <v>27</v>
      </c>
      <c r="E542" s="19">
        <v>0</v>
      </c>
      <c r="F542" s="19">
        <v>15</v>
      </c>
      <c r="G542" s="19">
        <v>233</v>
      </c>
    </row>
    <row r="543" spans="1:7" x14ac:dyDescent="0.3">
      <c r="A543" s="19" t="s">
        <v>162</v>
      </c>
      <c r="B543" s="19" t="s">
        <v>163</v>
      </c>
      <c r="C543" s="19" t="s">
        <v>38</v>
      </c>
      <c r="D543" s="19" t="s">
        <v>29</v>
      </c>
      <c r="E543" s="19">
        <v>0</v>
      </c>
      <c r="F543" s="19">
        <v>19</v>
      </c>
      <c r="G543" s="19">
        <v>236</v>
      </c>
    </row>
    <row r="544" spans="1:7" x14ac:dyDescent="0.3">
      <c r="A544" s="19" t="s">
        <v>162</v>
      </c>
      <c r="B544" s="19" t="s">
        <v>163</v>
      </c>
      <c r="C544" s="19" t="s">
        <v>38</v>
      </c>
      <c r="D544" s="19" t="s">
        <v>31</v>
      </c>
      <c r="E544" s="19">
        <v>0</v>
      </c>
      <c r="F544" s="19">
        <v>15</v>
      </c>
      <c r="G544" s="19">
        <v>240</v>
      </c>
    </row>
    <row r="545" spans="1:7" x14ac:dyDescent="0.3">
      <c r="A545" s="19" t="s">
        <v>162</v>
      </c>
      <c r="B545" s="19" t="s">
        <v>163</v>
      </c>
      <c r="C545" s="19" t="s">
        <v>38</v>
      </c>
      <c r="D545" s="19" t="s">
        <v>33</v>
      </c>
      <c r="E545" s="19">
        <v>0</v>
      </c>
      <c r="F545" s="19">
        <v>15</v>
      </c>
      <c r="G545" s="19">
        <v>242</v>
      </c>
    </row>
    <row r="546" spans="1:7" x14ac:dyDescent="0.3">
      <c r="A546" s="19" t="s">
        <v>162</v>
      </c>
      <c r="B546" s="19" t="s">
        <v>163</v>
      </c>
      <c r="C546" s="19" t="s">
        <v>38</v>
      </c>
      <c r="D546" s="19" t="s">
        <v>35</v>
      </c>
      <c r="E546" s="19">
        <v>0</v>
      </c>
      <c r="F546" s="19">
        <v>15</v>
      </c>
      <c r="G546" s="19">
        <v>243</v>
      </c>
    </row>
    <row r="547" spans="1:7" x14ac:dyDescent="0.3">
      <c r="A547" s="19" t="s">
        <v>162</v>
      </c>
      <c r="B547" s="19" t="s">
        <v>163</v>
      </c>
      <c r="C547" s="19" t="s">
        <v>38</v>
      </c>
      <c r="D547" s="19" t="s">
        <v>37</v>
      </c>
      <c r="E547" s="19">
        <v>0</v>
      </c>
      <c r="F547" s="19">
        <v>16</v>
      </c>
      <c r="G547" s="19">
        <v>245</v>
      </c>
    </row>
    <row r="548" spans="1:7" x14ac:dyDescent="0.3">
      <c r="A548" s="19" t="s">
        <v>162</v>
      </c>
      <c r="B548" s="19" t="s">
        <v>163</v>
      </c>
      <c r="C548" s="19" t="s">
        <v>38</v>
      </c>
      <c r="D548" s="19" t="s">
        <v>39</v>
      </c>
      <c r="E548" s="19">
        <v>0</v>
      </c>
      <c r="F548" s="19">
        <v>14</v>
      </c>
      <c r="G548" s="19">
        <v>246</v>
      </c>
    </row>
    <row r="549" spans="1:7" x14ac:dyDescent="0.3">
      <c r="A549" s="19" t="s">
        <v>162</v>
      </c>
      <c r="B549" s="19" t="s">
        <v>163</v>
      </c>
      <c r="C549" s="19" t="s">
        <v>38</v>
      </c>
      <c r="D549" s="19" t="s">
        <v>41</v>
      </c>
      <c r="E549" s="19">
        <v>0</v>
      </c>
      <c r="F549" s="19">
        <v>14</v>
      </c>
      <c r="G549" s="19">
        <v>248</v>
      </c>
    </row>
    <row r="550" spans="1:7" x14ac:dyDescent="0.3">
      <c r="A550" s="19" t="s">
        <v>162</v>
      </c>
      <c r="B550" s="19" t="s">
        <v>163</v>
      </c>
      <c r="C550" s="19" t="s">
        <v>38</v>
      </c>
      <c r="D550" s="19" t="s">
        <v>43</v>
      </c>
      <c r="E550" s="19">
        <v>0</v>
      </c>
      <c r="F550" s="19">
        <v>17</v>
      </c>
      <c r="G550" s="19">
        <v>249</v>
      </c>
    </row>
    <row r="551" spans="1:7" x14ac:dyDescent="0.3">
      <c r="A551" s="19" t="s">
        <v>162</v>
      </c>
      <c r="B551" s="19" t="s">
        <v>163</v>
      </c>
      <c r="C551" s="19" t="s">
        <v>38</v>
      </c>
      <c r="D551" s="19" t="s">
        <v>45</v>
      </c>
      <c r="E551" s="19">
        <v>1</v>
      </c>
      <c r="F551" s="19">
        <v>26</v>
      </c>
      <c r="G551" s="19">
        <v>252</v>
      </c>
    </row>
    <row r="552" spans="1:7" x14ac:dyDescent="0.3">
      <c r="A552" s="19" t="s">
        <v>162</v>
      </c>
      <c r="B552" s="19" t="s">
        <v>163</v>
      </c>
      <c r="C552" s="19" t="s">
        <v>38</v>
      </c>
      <c r="D552" s="19" t="s">
        <v>47</v>
      </c>
      <c r="E552" s="19">
        <v>0</v>
      </c>
      <c r="F552" s="19">
        <v>20</v>
      </c>
      <c r="G552" s="19">
        <v>255</v>
      </c>
    </row>
    <row r="553" spans="1:7" x14ac:dyDescent="0.3">
      <c r="A553" s="19" t="s">
        <v>162</v>
      </c>
      <c r="B553" s="19" t="s">
        <v>163</v>
      </c>
      <c r="C553" s="19" t="s">
        <v>38</v>
      </c>
      <c r="D553" s="19" t="s">
        <v>49</v>
      </c>
      <c r="E553" s="19">
        <v>0</v>
      </c>
      <c r="F553" s="19">
        <v>15</v>
      </c>
      <c r="G553" s="19">
        <v>258</v>
      </c>
    </row>
    <row r="554" spans="1:7" x14ac:dyDescent="0.3">
      <c r="A554" s="19" t="s">
        <v>164</v>
      </c>
      <c r="B554" s="19" t="s">
        <v>165</v>
      </c>
      <c r="C554" s="19" t="s">
        <v>38</v>
      </c>
      <c r="D554" s="19" t="s">
        <v>27</v>
      </c>
      <c r="E554" s="19">
        <v>0</v>
      </c>
      <c r="F554" s="19">
        <v>13</v>
      </c>
      <c r="G554" s="19">
        <v>207</v>
      </c>
    </row>
    <row r="555" spans="1:7" x14ac:dyDescent="0.3">
      <c r="A555" s="19" t="s">
        <v>164</v>
      </c>
      <c r="B555" s="19" t="s">
        <v>165</v>
      </c>
      <c r="C555" s="19" t="s">
        <v>38</v>
      </c>
      <c r="D555" s="19" t="s">
        <v>29</v>
      </c>
      <c r="E555" s="19">
        <v>0</v>
      </c>
      <c r="F555" s="19">
        <v>15</v>
      </c>
      <c r="G555" s="19">
        <v>208</v>
      </c>
    </row>
    <row r="556" spans="1:7" x14ac:dyDescent="0.3">
      <c r="A556" s="19" t="s">
        <v>164</v>
      </c>
      <c r="B556" s="19" t="s">
        <v>165</v>
      </c>
      <c r="C556" s="19" t="s">
        <v>38</v>
      </c>
      <c r="D556" s="19" t="s">
        <v>31</v>
      </c>
      <c r="E556" s="19">
        <v>0</v>
      </c>
      <c r="F556" s="19">
        <v>14</v>
      </c>
      <c r="G556" s="19">
        <v>210</v>
      </c>
    </row>
    <row r="557" spans="1:7" x14ac:dyDescent="0.3">
      <c r="A557" s="19" t="s">
        <v>164</v>
      </c>
      <c r="B557" s="19" t="s">
        <v>165</v>
      </c>
      <c r="C557" s="19" t="s">
        <v>38</v>
      </c>
      <c r="D557" s="19" t="s">
        <v>33</v>
      </c>
      <c r="E557" s="19">
        <v>0</v>
      </c>
      <c r="F557" s="19">
        <v>12</v>
      </c>
      <c r="G557" s="19">
        <v>211</v>
      </c>
    </row>
    <row r="558" spans="1:7" x14ac:dyDescent="0.3">
      <c r="A558" s="19" t="s">
        <v>164</v>
      </c>
      <c r="B558" s="19" t="s">
        <v>165</v>
      </c>
      <c r="C558" s="19" t="s">
        <v>38</v>
      </c>
      <c r="D558" s="19" t="s">
        <v>35</v>
      </c>
      <c r="E558" s="19">
        <v>0</v>
      </c>
      <c r="F558" s="19">
        <v>12</v>
      </c>
      <c r="G558" s="19">
        <v>212</v>
      </c>
    </row>
    <row r="559" spans="1:7" x14ac:dyDescent="0.3">
      <c r="A559" s="19" t="s">
        <v>164</v>
      </c>
      <c r="B559" s="19" t="s">
        <v>165</v>
      </c>
      <c r="C559" s="19" t="s">
        <v>38</v>
      </c>
      <c r="D559" s="19" t="s">
        <v>37</v>
      </c>
      <c r="E559" s="19">
        <v>0</v>
      </c>
      <c r="F559" s="19">
        <v>11</v>
      </c>
      <c r="G559" s="19">
        <v>213</v>
      </c>
    </row>
    <row r="560" spans="1:7" x14ac:dyDescent="0.3">
      <c r="A560" s="19" t="s">
        <v>164</v>
      </c>
      <c r="B560" s="19" t="s">
        <v>165</v>
      </c>
      <c r="C560" s="19" t="s">
        <v>38</v>
      </c>
      <c r="D560" s="19" t="s">
        <v>39</v>
      </c>
      <c r="E560" s="19">
        <v>0</v>
      </c>
      <c r="F560" s="19">
        <v>14</v>
      </c>
      <c r="G560" s="19">
        <v>213</v>
      </c>
    </row>
    <row r="561" spans="1:7" x14ac:dyDescent="0.3">
      <c r="A561" s="19" t="s">
        <v>164</v>
      </c>
      <c r="B561" s="19" t="s">
        <v>165</v>
      </c>
      <c r="C561" s="19" t="s">
        <v>38</v>
      </c>
      <c r="D561" s="19" t="s">
        <v>41</v>
      </c>
      <c r="E561" s="19">
        <v>0</v>
      </c>
      <c r="F561" s="19">
        <v>10</v>
      </c>
      <c r="G561" s="19">
        <v>216</v>
      </c>
    </row>
    <row r="562" spans="1:7" x14ac:dyDescent="0.3">
      <c r="A562" s="19" t="s">
        <v>164</v>
      </c>
      <c r="B562" s="19" t="s">
        <v>165</v>
      </c>
      <c r="C562" s="19" t="s">
        <v>38</v>
      </c>
      <c r="D562" s="19" t="s">
        <v>43</v>
      </c>
      <c r="E562" s="19">
        <v>0</v>
      </c>
      <c r="F562" s="19">
        <v>12</v>
      </c>
      <c r="G562" s="19">
        <v>216</v>
      </c>
    </row>
    <row r="563" spans="1:7" x14ac:dyDescent="0.3">
      <c r="A563" s="19" t="s">
        <v>164</v>
      </c>
      <c r="B563" s="19" t="s">
        <v>165</v>
      </c>
      <c r="C563" s="19" t="s">
        <v>38</v>
      </c>
      <c r="D563" s="19" t="s">
        <v>45</v>
      </c>
      <c r="E563" s="19">
        <v>1</v>
      </c>
      <c r="F563" s="19">
        <v>17</v>
      </c>
      <c r="G563" s="19">
        <v>217</v>
      </c>
    </row>
    <row r="564" spans="1:7" x14ac:dyDescent="0.3">
      <c r="A564" s="19" t="s">
        <v>164</v>
      </c>
      <c r="B564" s="19" t="s">
        <v>165</v>
      </c>
      <c r="C564" s="19" t="s">
        <v>38</v>
      </c>
      <c r="D564" s="19" t="s">
        <v>47</v>
      </c>
      <c r="E564" s="19">
        <v>0</v>
      </c>
      <c r="F564" s="19">
        <v>16</v>
      </c>
      <c r="G564" s="19">
        <v>218</v>
      </c>
    </row>
    <row r="565" spans="1:7" x14ac:dyDescent="0.3">
      <c r="A565" s="19" t="s">
        <v>164</v>
      </c>
      <c r="B565" s="19" t="s">
        <v>165</v>
      </c>
      <c r="C565" s="19" t="s">
        <v>38</v>
      </c>
      <c r="D565" s="19" t="s">
        <v>49</v>
      </c>
      <c r="E565" s="19">
        <v>0</v>
      </c>
      <c r="F565" s="19">
        <v>13</v>
      </c>
      <c r="G565" s="19">
        <v>220</v>
      </c>
    </row>
    <row r="566" spans="1:7" x14ac:dyDescent="0.3">
      <c r="A566" s="19" t="s">
        <v>166</v>
      </c>
      <c r="B566" s="19" t="s">
        <v>167</v>
      </c>
      <c r="C566" s="19" t="s">
        <v>38</v>
      </c>
      <c r="D566" s="19" t="s">
        <v>27</v>
      </c>
      <c r="E566" s="19">
        <v>0</v>
      </c>
      <c r="F566" s="19">
        <v>31</v>
      </c>
      <c r="G566" s="19">
        <v>316</v>
      </c>
    </row>
    <row r="567" spans="1:7" x14ac:dyDescent="0.3">
      <c r="A567" s="19" t="s">
        <v>166</v>
      </c>
      <c r="B567" s="19" t="s">
        <v>167</v>
      </c>
      <c r="C567" s="19" t="s">
        <v>38</v>
      </c>
      <c r="D567" s="19" t="s">
        <v>29</v>
      </c>
      <c r="E567" s="19">
        <v>1</v>
      </c>
      <c r="F567" s="19">
        <v>28</v>
      </c>
      <c r="G567" s="19">
        <v>317</v>
      </c>
    </row>
    <row r="568" spans="1:7" x14ac:dyDescent="0.3">
      <c r="A568" s="19" t="s">
        <v>166</v>
      </c>
      <c r="B568" s="19" t="s">
        <v>167</v>
      </c>
      <c r="C568" s="19" t="s">
        <v>38</v>
      </c>
      <c r="D568" s="19" t="s">
        <v>31</v>
      </c>
      <c r="E568" s="19">
        <v>1</v>
      </c>
      <c r="F568" s="19">
        <v>35</v>
      </c>
      <c r="G568" s="19">
        <v>315</v>
      </c>
    </row>
    <row r="569" spans="1:7" x14ac:dyDescent="0.3">
      <c r="A569" s="19" t="s">
        <v>166</v>
      </c>
      <c r="B569" s="19" t="s">
        <v>167</v>
      </c>
      <c r="C569" s="19" t="s">
        <v>38</v>
      </c>
      <c r="D569" s="19" t="s">
        <v>33</v>
      </c>
      <c r="E569" s="19">
        <v>0</v>
      </c>
      <c r="F569" s="19">
        <v>42</v>
      </c>
      <c r="G569" s="19">
        <v>318</v>
      </c>
    </row>
    <row r="570" spans="1:7" x14ac:dyDescent="0.3">
      <c r="A570" s="19" t="s">
        <v>166</v>
      </c>
      <c r="B570" s="19" t="s">
        <v>167</v>
      </c>
      <c r="C570" s="19" t="s">
        <v>38</v>
      </c>
      <c r="D570" s="19" t="s">
        <v>35</v>
      </c>
      <c r="E570" s="19">
        <v>1</v>
      </c>
      <c r="F570" s="19">
        <v>35</v>
      </c>
      <c r="G570" s="19">
        <v>326</v>
      </c>
    </row>
    <row r="571" spans="1:7" x14ac:dyDescent="0.3">
      <c r="A571" s="19" t="s">
        <v>166</v>
      </c>
      <c r="B571" s="19" t="s">
        <v>167</v>
      </c>
      <c r="C571" s="19" t="s">
        <v>38</v>
      </c>
      <c r="D571" s="19" t="s">
        <v>37</v>
      </c>
      <c r="E571" s="19">
        <v>1</v>
      </c>
      <c r="F571" s="19">
        <v>37</v>
      </c>
      <c r="G571" s="19">
        <v>326</v>
      </c>
    </row>
    <row r="572" spans="1:7" x14ac:dyDescent="0.3">
      <c r="A572" s="19" t="s">
        <v>166</v>
      </c>
      <c r="B572" s="19" t="s">
        <v>167</v>
      </c>
      <c r="C572" s="19" t="s">
        <v>38</v>
      </c>
      <c r="D572" s="19" t="s">
        <v>39</v>
      </c>
      <c r="E572" s="19">
        <v>1</v>
      </c>
      <c r="F572" s="19">
        <v>38</v>
      </c>
      <c r="G572" s="19">
        <v>333</v>
      </c>
    </row>
    <row r="573" spans="1:7" x14ac:dyDescent="0.3">
      <c r="A573" s="19" t="s">
        <v>166</v>
      </c>
      <c r="B573" s="19" t="s">
        <v>167</v>
      </c>
      <c r="C573" s="19" t="s">
        <v>38</v>
      </c>
      <c r="D573" s="19" t="s">
        <v>41</v>
      </c>
      <c r="E573" s="19">
        <v>1</v>
      </c>
      <c r="F573" s="19">
        <v>40</v>
      </c>
      <c r="G573" s="19">
        <v>339</v>
      </c>
    </row>
    <row r="574" spans="1:7" x14ac:dyDescent="0.3">
      <c r="A574" s="19" t="s">
        <v>166</v>
      </c>
      <c r="B574" s="19" t="s">
        <v>167</v>
      </c>
      <c r="C574" s="19" t="s">
        <v>38</v>
      </c>
      <c r="D574" s="19" t="s">
        <v>43</v>
      </c>
      <c r="E574" s="19">
        <v>0</v>
      </c>
      <c r="F574" s="19">
        <v>34</v>
      </c>
      <c r="G574" s="19">
        <v>344</v>
      </c>
    </row>
    <row r="575" spans="1:7" x14ac:dyDescent="0.3">
      <c r="A575" s="19" t="s">
        <v>166</v>
      </c>
      <c r="B575" s="19" t="s">
        <v>167</v>
      </c>
      <c r="C575" s="19" t="s">
        <v>38</v>
      </c>
      <c r="D575" s="19" t="s">
        <v>45</v>
      </c>
      <c r="E575" s="19">
        <v>1</v>
      </c>
      <c r="F575" s="19">
        <v>46</v>
      </c>
      <c r="G575" s="19">
        <v>348</v>
      </c>
    </row>
    <row r="576" spans="1:7" x14ac:dyDescent="0.3">
      <c r="A576" s="19" t="s">
        <v>166</v>
      </c>
      <c r="B576" s="19" t="s">
        <v>167</v>
      </c>
      <c r="C576" s="19" t="s">
        <v>38</v>
      </c>
      <c r="D576" s="19" t="s">
        <v>47</v>
      </c>
      <c r="E576" s="19">
        <v>1</v>
      </c>
      <c r="F576" s="19">
        <v>39</v>
      </c>
      <c r="G576" s="19">
        <v>349</v>
      </c>
    </row>
    <row r="577" spans="1:7" x14ac:dyDescent="0.3">
      <c r="A577" s="19" t="s">
        <v>166</v>
      </c>
      <c r="B577" s="19" t="s">
        <v>167</v>
      </c>
      <c r="C577" s="19" t="s">
        <v>38</v>
      </c>
      <c r="D577" s="19" t="s">
        <v>49</v>
      </c>
      <c r="E577" s="19">
        <v>1</v>
      </c>
      <c r="F577" s="19">
        <v>33</v>
      </c>
      <c r="G577" s="19">
        <v>352</v>
      </c>
    </row>
    <row r="578" spans="1:7" x14ac:dyDescent="0.3">
      <c r="A578" s="19" t="s">
        <v>168</v>
      </c>
      <c r="B578" s="19" t="s">
        <v>169</v>
      </c>
      <c r="C578" s="19" t="s">
        <v>28</v>
      </c>
      <c r="D578" s="19" t="s">
        <v>27</v>
      </c>
      <c r="E578" s="19">
        <v>1</v>
      </c>
      <c r="F578" s="19">
        <v>38</v>
      </c>
      <c r="G578" s="19">
        <v>165</v>
      </c>
    </row>
    <row r="579" spans="1:7" x14ac:dyDescent="0.3">
      <c r="A579" s="19" t="s">
        <v>168</v>
      </c>
      <c r="B579" s="19" t="s">
        <v>169</v>
      </c>
      <c r="C579" s="19" t="s">
        <v>28</v>
      </c>
      <c r="D579" s="19" t="s">
        <v>29</v>
      </c>
      <c r="E579" s="19">
        <v>0</v>
      </c>
      <c r="F579" s="19">
        <v>37</v>
      </c>
      <c r="G579" s="19">
        <v>163</v>
      </c>
    </row>
    <row r="580" spans="1:7" x14ac:dyDescent="0.3">
      <c r="A580" s="19" t="s">
        <v>168</v>
      </c>
      <c r="B580" s="19" t="s">
        <v>169</v>
      </c>
      <c r="C580" s="19" t="s">
        <v>28</v>
      </c>
      <c r="D580" s="19" t="s">
        <v>31</v>
      </c>
      <c r="E580" s="19">
        <v>1</v>
      </c>
      <c r="F580" s="19">
        <v>57</v>
      </c>
      <c r="G580" s="19">
        <v>165</v>
      </c>
    </row>
    <row r="581" spans="1:7" x14ac:dyDescent="0.3">
      <c r="A581" s="19" t="s">
        <v>168</v>
      </c>
      <c r="B581" s="19" t="s">
        <v>169</v>
      </c>
      <c r="C581" s="19" t="s">
        <v>28</v>
      </c>
      <c r="D581" s="19" t="s">
        <v>33</v>
      </c>
      <c r="E581" s="19">
        <v>1</v>
      </c>
      <c r="F581" s="19">
        <v>45</v>
      </c>
      <c r="G581" s="19">
        <v>178</v>
      </c>
    </row>
    <row r="582" spans="1:7" x14ac:dyDescent="0.3">
      <c r="A582" s="19" t="s">
        <v>168</v>
      </c>
      <c r="B582" s="19" t="s">
        <v>169</v>
      </c>
      <c r="C582" s="19" t="s">
        <v>28</v>
      </c>
      <c r="D582" s="19" t="s">
        <v>35</v>
      </c>
      <c r="E582" s="19">
        <v>1</v>
      </c>
      <c r="F582" s="19">
        <v>32</v>
      </c>
      <c r="G582" s="19">
        <v>181</v>
      </c>
    </row>
    <row r="583" spans="1:7" x14ac:dyDescent="0.3">
      <c r="A583" s="19" t="s">
        <v>168</v>
      </c>
      <c r="B583" s="19" t="s">
        <v>169</v>
      </c>
      <c r="C583" s="19" t="s">
        <v>28</v>
      </c>
      <c r="D583" s="19" t="s">
        <v>37</v>
      </c>
      <c r="E583" s="19">
        <v>1</v>
      </c>
      <c r="F583" s="19">
        <v>41</v>
      </c>
      <c r="G583" s="19">
        <v>179</v>
      </c>
    </row>
    <row r="584" spans="1:7" x14ac:dyDescent="0.3">
      <c r="A584" s="19" t="s">
        <v>168</v>
      </c>
      <c r="B584" s="19" t="s">
        <v>169</v>
      </c>
      <c r="C584" s="19" t="s">
        <v>28</v>
      </c>
      <c r="D584" s="19" t="s">
        <v>39</v>
      </c>
      <c r="E584" s="19">
        <v>1</v>
      </c>
      <c r="F584" s="19">
        <v>52</v>
      </c>
      <c r="G584" s="19">
        <v>183</v>
      </c>
    </row>
    <row r="585" spans="1:7" x14ac:dyDescent="0.3">
      <c r="A585" s="19" t="s">
        <v>168</v>
      </c>
      <c r="B585" s="19" t="s">
        <v>169</v>
      </c>
      <c r="C585" s="19" t="s">
        <v>28</v>
      </c>
      <c r="D585" s="19" t="s">
        <v>41</v>
      </c>
      <c r="E585" s="19">
        <v>1</v>
      </c>
      <c r="F585" s="19">
        <v>42</v>
      </c>
      <c r="G585" s="19">
        <v>193</v>
      </c>
    </row>
    <row r="586" spans="1:7" x14ac:dyDescent="0.3">
      <c r="A586" s="19" t="s">
        <v>168</v>
      </c>
      <c r="B586" s="19" t="s">
        <v>169</v>
      </c>
      <c r="C586" s="19" t="s">
        <v>28</v>
      </c>
      <c r="D586" s="19" t="s">
        <v>43</v>
      </c>
      <c r="E586" s="19">
        <v>1</v>
      </c>
      <c r="F586" s="19">
        <v>40</v>
      </c>
      <c r="G586" s="19">
        <v>201</v>
      </c>
    </row>
    <row r="587" spans="1:7" x14ac:dyDescent="0.3">
      <c r="A587" s="19" t="s">
        <v>168</v>
      </c>
      <c r="B587" s="19" t="s">
        <v>169</v>
      </c>
      <c r="C587" s="19" t="s">
        <v>28</v>
      </c>
      <c r="D587" s="19" t="s">
        <v>45</v>
      </c>
      <c r="E587" s="19">
        <v>3</v>
      </c>
      <c r="F587" s="19">
        <v>69</v>
      </c>
      <c r="G587" s="19">
        <v>197</v>
      </c>
    </row>
    <row r="588" spans="1:7" x14ac:dyDescent="0.3">
      <c r="A588" s="19" t="s">
        <v>168</v>
      </c>
      <c r="B588" s="19" t="s">
        <v>169</v>
      </c>
      <c r="C588" s="19" t="s">
        <v>28</v>
      </c>
      <c r="D588" s="19" t="s">
        <v>47</v>
      </c>
      <c r="E588" s="19">
        <v>1</v>
      </c>
      <c r="F588" s="19">
        <v>56</v>
      </c>
      <c r="G588" s="19">
        <v>194</v>
      </c>
    </row>
    <row r="589" spans="1:7" x14ac:dyDescent="0.3">
      <c r="A589" s="19" t="s">
        <v>168</v>
      </c>
      <c r="B589" s="19" t="s">
        <v>169</v>
      </c>
      <c r="C589" s="19" t="s">
        <v>28</v>
      </c>
      <c r="D589" s="19" t="s">
        <v>49</v>
      </c>
      <c r="E589" s="19">
        <v>2</v>
      </c>
      <c r="F589" s="19">
        <v>47</v>
      </c>
      <c r="G589" s="19">
        <v>207</v>
      </c>
    </row>
    <row r="590" spans="1:7" x14ac:dyDescent="0.3">
      <c r="A590" s="19" t="s">
        <v>170</v>
      </c>
      <c r="B590" s="19" t="s">
        <v>171</v>
      </c>
      <c r="C590" s="19" t="s">
        <v>28</v>
      </c>
      <c r="D590" s="19" t="s">
        <v>27</v>
      </c>
      <c r="E590" s="19">
        <v>1</v>
      </c>
      <c r="F590" s="19">
        <v>24</v>
      </c>
      <c r="G590" s="19">
        <v>381</v>
      </c>
    </row>
    <row r="591" spans="1:7" x14ac:dyDescent="0.3">
      <c r="A591" s="19" t="s">
        <v>170</v>
      </c>
      <c r="B591" s="19" t="s">
        <v>171</v>
      </c>
      <c r="C591" s="19" t="s">
        <v>28</v>
      </c>
      <c r="D591" s="19" t="s">
        <v>29</v>
      </c>
      <c r="E591" s="19">
        <v>1</v>
      </c>
      <c r="F591" s="19">
        <v>23</v>
      </c>
      <c r="G591" s="19">
        <v>387</v>
      </c>
    </row>
    <row r="592" spans="1:7" x14ac:dyDescent="0.3">
      <c r="A592" s="19" t="s">
        <v>170</v>
      </c>
      <c r="B592" s="19" t="s">
        <v>171</v>
      </c>
      <c r="C592" s="19" t="s">
        <v>28</v>
      </c>
      <c r="D592" s="19" t="s">
        <v>31</v>
      </c>
      <c r="E592" s="19">
        <v>1</v>
      </c>
      <c r="F592" s="19">
        <v>20</v>
      </c>
      <c r="G592" s="19">
        <v>391</v>
      </c>
    </row>
    <row r="593" spans="1:7" x14ac:dyDescent="0.3">
      <c r="A593" s="19" t="s">
        <v>170</v>
      </c>
      <c r="B593" s="19" t="s">
        <v>171</v>
      </c>
      <c r="C593" s="19" t="s">
        <v>28</v>
      </c>
      <c r="D593" s="19" t="s">
        <v>33</v>
      </c>
      <c r="E593" s="19">
        <v>1</v>
      </c>
      <c r="F593" s="19">
        <v>21</v>
      </c>
      <c r="G593" s="19">
        <v>394</v>
      </c>
    </row>
    <row r="594" spans="1:7" x14ac:dyDescent="0.3">
      <c r="A594" s="19" t="s">
        <v>170</v>
      </c>
      <c r="B594" s="19" t="s">
        <v>171</v>
      </c>
      <c r="C594" s="19" t="s">
        <v>28</v>
      </c>
      <c r="D594" s="19" t="s">
        <v>35</v>
      </c>
      <c r="E594" s="19">
        <v>1</v>
      </c>
      <c r="F594" s="19">
        <v>23</v>
      </c>
      <c r="G594" s="19">
        <v>394</v>
      </c>
    </row>
    <row r="595" spans="1:7" x14ac:dyDescent="0.3">
      <c r="A595" s="19" t="s">
        <v>170</v>
      </c>
      <c r="B595" s="19" t="s">
        <v>171</v>
      </c>
      <c r="C595" s="19" t="s">
        <v>28</v>
      </c>
      <c r="D595" s="19" t="s">
        <v>37</v>
      </c>
      <c r="E595" s="19">
        <v>0</v>
      </c>
      <c r="F595" s="19">
        <v>20</v>
      </c>
      <c r="G595" s="19">
        <v>400</v>
      </c>
    </row>
    <row r="596" spans="1:7" x14ac:dyDescent="0.3">
      <c r="A596" s="19" t="s">
        <v>170</v>
      </c>
      <c r="B596" s="19" t="s">
        <v>171</v>
      </c>
      <c r="C596" s="19" t="s">
        <v>28</v>
      </c>
      <c r="D596" s="19" t="s">
        <v>39</v>
      </c>
      <c r="E596" s="19">
        <v>0</v>
      </c>
      <c r="F596" s="19">
        <v>22</v>
      </c>
      <c r="G596" s="19">
        <v>401</v>
      </c>
    </row>
    <row r="597" spans="1:7" x14ac:dyDescent="0.3">
      <c r="A597" s="19" t="s">
        <v>170</v>
      </c>
      <c r="B597" s="19" t="s">
        <v>171</v>
      </c>
      <c r="C597" s="19" t="s">
        <v>28</v>
      </c>
      <c r="D597" s="19" t="s">
        <v>41</v>
      </c>
      <c r="E597" s="19">
        <v>1</v>
      </c>
      <c r="F597" s="19">
        <v>17</v>
      </c>
      <c r="G597" s="19">
        <v>404</v>
      </c>
    </row>
    <row r="598" spans="1:7" x14ac:dyDescent="0.3">
      <c r="A598" s="19" t="s">
        <v>170</v>
      </c>
      <c r="B598" s="19" t="s">
        <v>171</v>
      </c>
      <c r="C598" s="19" t="s">
        <v>28</v>
      </c>
      <c r="D598" s="19" t="s">
        <v>43</v>
      </c>
      <c r="E598" s="19">
        <v>0</v>
      </c>
      <c r="F598" s="19">
        <v>18</v>
      </c>
      <c r="G598" s="19">
        <v>405</v>
      </c>
    </row>
    <row r="599" spans="1:7" x14ac:dyDescent="0.3">
      <c r="A599" s="19" t="s">
        <v>170</v>
      </c>
      <c r="B599" s="19" t="s">
        <v>171</v>
      </c>
      <c r="C599" s="19" t="s">
        <v>28</v>
      </c>
      <c r="D599" s="19" t="s">
        <v>45</v>
      </c>
      <c r="E599" s="19">
        <v>1</v>
      </c>
      <c r="F599" s="19">
        <v>30</v>
      </c>
      <c r="G599" s="19">
        <v>407</v>
      </c>
    </row>
    <row r="600" spans="1:7" x14ac:dyDescent="0.3">
      <c r="A600" s="19" t="s">
        <v>170</v>
      </c>
      <c r="B600" s="19" t="s">
        <v>171</v>
      </c>
      <c r="C600" s="19" t="s">
        <v>28</v>
      </c>
      <c r="D600" s="19" t="s">
        <v>47</v>
      </c>
      <c r="E600" s="19">
        <v>1</v>
      </c>
      <c r="F600" s="19">
        <v>26</v>
      </c>
      <c r="G600" s="19">
        <v>413</v>
      </c>
    </row>
    <row r="601" spans="1:7" x14ac:dyDescent="0.3">
      <c r="A601" s="19" t="s">
        <v>170</v>
      </c>
      <c r="B601" s="19" t="s">
        <v>171</v>
      </c>
      <c r="C601" s="19" t="s">
        <v>28</v>
      </c>
      <c r="D601" s="19" t="s">
        <v>49</v>
      </c>
      <c r="E601" s="19">
        <v>1</v>
      </c>
      <c r="F601" s="19">
        <v>20</v>
      </c>
      <c r="G601" s="19">
        <v>418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8" customWidth="1"/>
    <col min="4" max="4" width="10" customWidth="1"/>
    <col min="5" max="5" width="16" customWidth="1"/>
    <col min="6" max="6" width="10" customWidth="1"/>
  </cols>
  <sheetData>
    <row r="1" spans="1:6" ht="27.75" customHeight="1" x14ac:dyDescent="0.3">
      <c r="A1" s="18" t="s">
        <v>60</v>
      </c>
      <c r="B1" s="18" t="s">
        <v>61</v>
      </c>
      <c r="C1" s="18" t="s">
        <v>172</v>
      </c>
      <c r="D1" s="18" t="s">
        <v>22</v>
      </c>
      <c r="E1" s="18" t="s">
        <v>176</v>
      </c>
      <c r="F1" s="18" t="s">
        <v>177</v>
      </c>
    </row>
    <row r="2" spans="1:6" x14ac:dyDescent="0.3">
      <c r="A2" s="19" t="s">
        <v>67</v>
      </c>
      <c r="B2" s="19" t="s">
        <v>68</v>
      </c>
      <c r="C2" s="19" t="s">
        <v>30</v>
      </c>
      <c r="D2" s="19" t="s">
        <v>27</v>
      </c>
      <c r="E2" s="19">
        <v>3</v>
      </c>
      <c r="F2" s="19">
        <v>132</v>
      </c>
    </row>
    <row r="3" spans="1:6" x14ac:dyDescent="0.3">
      <c r="A3" s="19" t="s">
        <v>67</v>
      </c>
      <c r="B3" s="19" t="s">
        <v>68</v>
      </c>
      <c r="C3" s="19" t="s">
        <v>30</v>
      </c>
      <c r="D3" s="19" t="s">
        <v>29</v>
      </c>
      <c r="E3" s="19">
        <v>0</v>
      </c>
      <c r="F3" s="19">
        <v>145</v>
      </c>
    </row>
    <row r="4" spans="1:6" x14ac:dyDescent="0.3">
      <c r="A4" s="19" t="s">
        <v>67</v>
      </c>
      <c r="B4" s="19" t="s">
        <v>68</v>
      </c>
      <c r="C4" s="19" t="s">
        <v>30</v>
      </c>
      <c r="D4" s="19" t="s">
        <v>31</v>
      </c>
      <c r="E4" s="19">
        <v>3</v>
      </c>
      <c r="F4" s="19">
        <v>132</v>
      </c>
    </row>
    <row r="5" spans="1:6" x14ac:dyDescent="0.3">
      <c r="A5" s="19" t="s">
        <v>67</v>
      </c>
      <c r="B5" s="19" t="s">
        <v>68</v>
      </c>
      <c r="C5" s="19" t="s">
        <v>30</v>
      </c>
      <c r="D5" s="19" t="s">
        <v>33</v>
      </c>
      <c r="E5" s="19">
        <v>1</v>
      </c>
      <c r="F5" s="19">
        <v>152</v>
      </c>
    </row>
    <row r="6" spans="1:6" x14ac:dyDescent="0.3">
      <c r="A6" s="19" t="s">
        <v>67</v>
      </c>
      <c r="B6" s="19" t="s">
        <v>68</v>
      </c>
      <c r="C6" s="19" t="s">
        <v>30</v>
      </c>
      <c r="D6" s="19" t="s">
        <v>35</v>
      </c>
      <c r="E6" s="19">
        <v>2</v>
      </c>
      <c r="F6" s="19">
        <v>159</v>
      </c>
    </row>
    <row r="7" spans="1:6" x14ac:dyDescent="0.3">
      <c r="A7" s="19" t="s">
        <v>67</v>
      </c>
      <c r="B7" s="19" t="s">
        <v>68</v>
      </c>
      <c r="C7" s="19" t="s">
        <v>30</v>
      </c>
      <c r="D7" s="19" t="s">
        <v>37</v>
      </c>
      <c r="E7" s="19">
        <v>0</v>
      </c>
      <c r="F7" s="19">
        <v>133</v>
      </c>
    </row>
    <row r="8" spans="1:6" x14ac:dyDescent="0.3">
      <c r="A8" s="19" t="s">
        <v>67</v>
      </c>
      <c r="B8" s="19" t="s">
        <v>68</v>
      </c>
      <c r="C8" s="19" t="s">
        <v>30</v>
      </c>
      <c r="D8" s="19" t="s">
        <v>39</v>
      </c>
      <c r="E8" s="19">
        <v>1</v>
      </c>
      <c r="F8" s="19">
        <v>138</v>
      </c>
    </row>
    <row r="9" spans="1:6" x14ac:dyDescent="0.3">
      <c r="A9" s="19" t="s">
        <v>67</v>
      </c>
      <c r="B9" s="19" t="s">
        <v>68</v>
      </c>
      <c r="C9" s="19" t="s">
        <v>30</v>
      </c>
      <c r="D9" s="19" t="s">
        <v>41</v>
      </c>
      <c r="E9" s="19">
        <v>4</v>
      </c>
      <c r="F9" s="19">
        <v>123</v>
      </c>
    </row>
    <row r="10" spans="1:6" x14ac:dyDescent="0.3">
      <c r="A10" s="19" t="s">
        <v>67</v>
      </c>
      <c r="B10" s="19" t="s">
        <v>68</v>
      </c>
      <c r="C10" s="19" t="s">
        <v>30</v>
      </c>
      <c r="D10" s="19" t="s">
        <v>43</v>
      </c>
      <c r="E10" s="19">
        <v>3</v>
      </c>
      <c r="F10" s="19">
        <v>125</v>
      </c>
    </row>
    <row r="11" spans="1:6" x14ac:dyDescent="0.3">
      <c r="A11" s="19" t="s">
        <v>67</v>
      </c>
      <c r="B11" s="19" t="s">
        <v>68</v>
      </c>
      <c r="C11" s="19" t="s">
        <v>30</v>
      </c>
      <c r="D11" s="19" t="s">
        <v>45</v>
      </c>
      <c r="E11" s="19">
        <v>4</v>
      </c>
      <c r="F11" s="19">
        <v>219</v>
      </c>
    </row>
    <row r="12" spans="1:6" x14ac:dyDescent="0.3">
      <c r="A12" s="19" t="s">
        <v>67</v>
      </c>
      <c r="B12" s="19" t="s">
        <v>68</v>
      </c>
      <c r="C12" s="19" t="s">
        <v>30</v>
      </c>
      <c r="D12" s="19" t="s">
        <v>47</v>
      </c>
      <c r="E12" s="19">
        <v>6</v>
      </c>
      <c r="F12" s="19">
        <v>178</v>
      </c>
    </row>
    <row r="13" spans="1:6" x14ac:dyDescent="0.3">
      <c r="A13" s="19" t="s">
        <v>67</v>
      </c>
      <c r="B13" s="19" t="s">
        <v>68</v>
      </c>
      <c r="C13" s="19" t="s">
        <v>30</v>
      </c>
      <c r="D13" s="19" t="s">
        <v>49</v>
      </c>
      <c r="E13" s="19">
        <v>1</v>
      </c>
      <c r="F13" s="19">
        <v>138</v>
      </c>
    </row>
    <row r="14" spans="1:6" x14ac:dyDescent="0.3">
      <c r="A14" s="19" t="s">
        <v>70</v>
      </c>
      <c r="B14" s="19" t="s">
        <v>71</v>
      </c>
      <c r="C14" s="19" t="s">
        <v>30</v>
      </c>
      <c r="D14" s="19" t="s">
        <v>27</v>
      </c>
      <c r="E14" s="19">
        <v>4</v>
      </c>
      <c r="F14" s="19">
        <v>176</v>
      </c>
    </row>
    <row r="15" spans="1:6" x14ac:dyDescent="0.3">
      <c r="A15" s="19" t="s">
        <v>70</v>
      </c>
      <c r="B15" s="19" t="s">
        <v>71</v>
      </c>
      <c r="C15" s="19" t="s">
        <v>30</v>
      </c>
      <c r="D15" s="19" t="s">
        <v>29</v>
      </c>
      <c r="E15" s="19">
        <v>1</v>
      </c>
      <c r="F15" s="19">
        <v>168</v>
      </c>
    </row>
    <row r="16" spans="1:6" x14ac:dyDescent="0.3">
      <c r="A16" s="19" t="s">
        <v>70</v>
      </c>
      <c r="B16" s="19" t="s">
        <v>71</v>
      </c>
      <c r="C16" s="19" t="s">
        <v>30</v>
      </c>
      <c r="D16" s="19" t="s">
        <v>31</v>
      </c>
      <c r="E16" s="19">
        <v>2</v>
      </c>
      <c r="F16" s="19">
        <v>187</v>
      </c>
    </row>
    <row r="17" spans="1:6" x14ac:dyDescent="0.3">
      <c r="A17" s="19" t="s">
        <v>70</v>
      </c>
      <c r="B17" s="19" t="s">
        <v>71</v>
      </c>
      <c r="C17" s="19" t="s">
        <v>30</v>
      </c>
      <c r="D17" s="19" t="s">
        <v>33</v>
      </c>
      <c r="E17" s="19">
        <v>4</v>
      </c>
      <c r="F17" s="19">
        <v>179</v>
      </c>
    </row>
    <row r="18" spans="1:6" x14ac:dyDescent="0.3">
      <c r="A18" s="19" t="s">
        <v>70</v>
      </c>
      <c r="B18" s="19" t="s">
        <v>71</v>
      </c>
      <c r="C18" s="19" t="s">
        <v>30</v>
      </c>
      <c r="D18" s="19" t="s">
        <v>35</v>
      </c>
      <c r="E18" s="19">
        <v>3</v>
      </c>
      <c r="F18" s="19">
        <v>161</v>
      </c>
    </row>
    <row r="19" spans="1:6" x14ac:dyDescent="0.3">
      <c r="A19" s="19" t="s">
        <v>70</v>
      </c>
      <c r="B19" s="19" t="s">
        <v>71</v>
      </c>
      <c r="C19" s="19" t="s">
        <v>30</v>
      </c>
      <c r="D19" s="19" t="s">
        <v>37</v>
      </c>
      <c r="E19" s="19">
        <v>5</v>
      </c>
      <c r="F19" s="19">
        <v>177</v>
      </c>
    </row>
    <row r="20" spans="1:6" x14ac:dyDescent="0.3">
      <c r="A20" s="19" t="s">
        <v>70</v>
      </c>
      <c r="B20" s="19" t="s">
        <v>71</v>
      </c>
      <c r="C20" s="19" t="s">
        <v>30</v>
      </c>
      <c r="D20" s="19" t="s">
        <v>39</v>
      </c>
      <c r="E20" s="19">
        <v>4</v>
      </c>
      <c r="F20" s="19">
        <v>173</v>
      </c>
    </row>
    <row r="21" spans="1:6" x14ac:dyDescent="0.3">
      <c r="A21" s="19" t="s">
        <v>70</v>
      </c>
      <c r="B21" s="19" t="s">
        <v>71</v>
      </c>
      <c r="C21" s="19" t="s">
        <v>30</v>
      </c>
      <c r="D21" s="19" t="s">
        <v>41</v>
      </c>
      <c r="E21" s="19">
        <v>4</v>
      </c>
      <c r="F21" s="19">
        <v>168</v>
      </c>
    </row>
    <row r="22" spans="1:6" x14ac:dyDescent="0.3">
      <c r="A22" s="19" t="s">
        <v>70</v>
      </c>
      <c r="B22" s="19" t="s">
        <v>71</v>
      </c>
      <c r="C22" s="19" t="s">
        <v>30</v>
      </c>
      <c r="D22" s="19" t="s">
        <v>43</v>
      </c>
      <c r="E22" s="19">
        <v>3</v>
      </c>
      <c r="F22" s="19">
        <v>159</v>
      </c>
    </row>
    <row r="23" spans="1:6" x14ac:dyDescent="0.3">
      <c r="A23" s="19" t="s">
        <v>70</v>
      </c>
      <c r="B23" s="19" t="s">
        <v>71</v>
      </c>
      <c r="C23" s="19" t="s">
        <v>30</v>
      </c>
      <c r="D23" s="19" t="s">
        <v>45</v>
      </c>
      <c r="E23" s="19">
        <v>2</v>
      </c>
      <c r="F23" s="19">
        <v>286</v>
      </c>
    </row>
    <row r="24" spans="1:6" x14ac:dyDescent="0.3">
      <c r="A24" s="19" t="s">
        <v>70</v>
      </c>
      <c r="B24" s="19" t="s">
        <v>71</v>
      </c>
      <c r="C24" s="19" t="s">
        <v>30</v>
      </c>
      <c r="D24" s="19" t="s">
        <v>47</v>
      </c>
      <c r="E24" s="19">
        <v>4</v>
      </c>
      <c r="F24" s="19">
        <v>201</v>
      </c>
    </row>
    <row r="25" spans="1:6" x14ac:dyDescent="0.3">
      <c r="A25" s="19" t="s">
        <v>70</v>
      </c>
      <c r="B25" s="19" t="s">
        <v>71</v>
      </c>
      <c r="C25" s="19" t="s">
        <v>30</v>
      </c>
      <c r="D25" s="19" t="s">
        <v>49</v>
      </c>
      <c r="E25" s="19">
        <v>5</v>
      </c>
      <c r="F25" s="19">
        <v>164</v>
      </c>
    </row>
    <row r="26" spans="1:6" x14ac:dyDescent="0.3">
      <c r="A26" s="19" t="s">
        <v>73</v>
      </c>
      <c r="B26" s="19" t="s">
        <v>74</v>
      </c>
      <c r="C26" s="19" t="s">
        <v>30</v>
      </c>
      <c r="D26" s="19" t="s">
        <v>27</v>
      </c>
      <c r="E26" s="19">
        <v>1</v>
      </c>
      <c r="F26" s="19">
        <v>225</v>
      </c>
    </row>
    <row r="27" spans="1:6" x14ac:dyDescent="0.3">
      <c r="A27" s="19" t="s">
        <v>73</v>
      </c>
      <c r="B27" s="19" t="s">
        <v>74</v>
      </c>
      <c r="C27" s="19" t="s">
        <v>30</v>
      </c>
      <c r="D27" s="19" t="s">
        <v>29</v>
      </c>
      <c r="E27" s="19">
        <v>6</v>
      </c>
      <c r="F27" s="19">
        <v>177</v>
      </c>
    </row>
    <row r="28" spans="1:6" x14ac:dyDescent="0.3">
      <c r="A28" s="19" t="s">
        <v>73</v>
      </c>
      <c r="B28" s="19" t="s">
        <v>74</v>
      </c>
      <c r="C28" s="19" t="s">
        <v>30</v>
      </c>
      <c r="D28" s="19" t="s">
        <v>31</v>
      </c>
      <c r="E28" s="19">
        <v>5</v>
      </c>
      <c r="F28" s="19">
        <v>224</v>
      </c>
    </row>
    <row r="29" spans="1:6" x14ac:dyDescent="0.3">
      <c r="A29" s="19" t="s">
        <v>73</v>
      </c>
      <c r="B29" s="19" t="s">
        <v>74</v>
      </c>
      <c r="C29" s="19" t="s">
        <v>30</v>
      </c>
      <c r="D29" s="19" t="s">
        <v>33</v>
      </c>
      <c r="E29" s="19">
        <v>3</v>
      </c>
      <c r="F29" s="19">
        <v>229</v>
      </c>
    </row>
    <row r="30" spans="1:6" x14ac:dyDescent="0.3">
      <c r="A30" s="19" t="s">
        <v>73</v>
      </c>
      <c r="B30" s="19" t="s">
        <v>74</v>
      </c>
      <c r="C30" s="19" t="s">
        <v>30</v>
      </c>
      <c r="D30" s="19" t="s">
        <v>35</v>
      </c>
      <c r="E30" s="19">
        <v>7</v>
      </c>
      <c r="F30" s="19">
        <v>187</v>
      </c>
    </row>
    <row r="31" spans="1:6" x14ac:dyDescent="0.3">
      <c r="A31" s="19" t="s">
        <v>73</v>
      </c>
      <c r="B31" s="19" t="s">
        <v>74</v>
      </c>
      <c r="C31" s="19" t="s">
        <v>30</v>
      </c>
      <c r="D31" s="19" t="s">
        <v>37</v>
      </c>
      <c r="E31" s="19">
        <v>3</v>
      </c>
      <c r="F31" s="19">
        <v>214</v>
      </c>
    </row>
    <row r="32" spans="1:6" x14ac:dyDescent="0.3">
      <c r="A32" s="19" t="s">
        <v>73</v>
      </c>
      <c r="B32" s="19" t="s">
        <v>74</v>
      </c>
      <c r="C32" s="19" t="s">
        <v>30</v>
      </c>
      <c r="D32" s="19" t="s">
        <v>39</v>
      </c>
      <c r="E32" s="19">
        <v>2</v>
      </c>
      <c r="F32" s="19">
        <v>238</v>
      </c>
    </row>
    <row r="33" spans="1:6" x14ac:dyDescent="0.3">
      <c r="A33" s="19" t="s">
        <v>73</v>
      </c>
      <c r="B33" s="19" t="s">
        <v>74</v>
      </c>
      <c r="C33" s="19" t="s">
        <v>30</v>
      </c>
      <c r="D33" s="19" t="s">
        <v>41</v>
      </c>
      <c r="E33" s="19">
        <v>5</v>
      </c>
      <c r="F33" s="19">
        <v>212</v>
      </c>
    </row>
    <row r="34" spans="1:6" x14ac:dyDescent="0.3">
      <c r="A34" s="19" t="s">
        <v>73</v>
      </c>
      <c r="B34" s="19" t="s">
        <v>74</v>
      </c>
      <c r="C34" s="19" t="s">
        <v>30</v>
      </c>
      <c r="D34" s="19" t="s">
        <v>43</v>
      </c>
      <c r="E34" s="19">
        <v>5</v>
      </c>
      <c r="F34" s="19">
        <v>238</v>
      </c>
    </row>
    <row r="35" spans="1:6" x14ac:dyDescent="0.3">
      <c r="A35" s="19" t="s">
        <v>73</v>
      </c>
      <c r="B35" s="19" t="s">
        <v>74</v>
      </c>
      <c r="C35" s="19" t="s">
        <v>30</v>
      </c>
      <c r="D35" s="19" t="s">
        <v>45</v>
      </c>
      <c r="E35" s="19">
        <v>7</v>
      </c>
      <c r="F35" s="19">
        <v>377</v>
      </c>
    </row>
    <row r="36" spans="1:6" x14ac:dyDescent="0.3">
      <c r="A36" s="19" t="s">
        <v>73</v>
      </c>
      <c r="B36" s="19" t="s">
        <v>74</v>
      </c>
      <c r="C36" s="19" t="s">
        <v>30</v>
      </c>
      <c r="D36" s="19" t="s">
        <v>47</v>
      </c>
      <c r="E36" s="19">
        <v>7</v>
      </c>
      <c r="F36" s="19">
        <v>273</v>
      </c>
    </row>
    <row r="37" spans="1:6" x14ac:dyDescent="0.3">
      <c r="A37" s="19" t="s">
        <v>73</v>
      </c>
      <c r="B37" s="19" t="s">
        <v>74</v>
      </c>
      <c r="C37" s="19" t="s">
        <v>30</v>
      </c>
      <c r="D37" s="19" t="s">
        <v>49</v>
      </c>
      <c r="E37" s="19">
        <v>3</v>
      </c>
      <c r="F37" s="19">
        <v>221</v>
      </c>
    </row>
    <row r="38" spans="1:6" x14ac:dyDescent="0.3">
      <c r="A38" s="19" t="s">
        <v>75</v>
      </c>
      <c r="B38" s="19" t="s">
        <v>76</v>
      </c>
      <c r="C38" s="19" t="s">
        <v>30</v>
      </c>
      <c r="D38" s="19" t="s">
        <v>27</v>
      </c>
      <c r="E38" s="19">
        <v>3</v>
      </c>
      <c r="F38" s="19">
        <v>182</v>
      </c>
    </row>
    <row r="39" spans="1:6" x14ac:dyDescent="0.3">
      <c r="A39" s="19" t="s">
        <v>75</v>
      </c>
      <c r="B39" s="19" t="s">
        <v>76</v>
      </c>
      <c r="C39" s="19" t="s">
        <v>30</v>
      </c>
      <c r="D39" s="19" t="s">
        <v>29</v>
      </c>
      <c r="E39" s="19">
        <v>0</v>
      </c>
      <c r="F39" s="19">
        <v>202</v>
      </c>
    </row>
    <row r="40" spans="1:6" x14ac:dyDescent="0.3">
      <c r="A40" s="19" t="s">
        <v>75</v>
      </c>
      <c r="B40" s="19" t="s">
        <v>76</v>
      </c>
      <c r="C40" s="19" t="s">
        <v>30</v>
      </c>
      <c r="D40" s="19" t="s">
        <v>31</v>
      </c>
      <c r="E40" s="19">
        <v>2</v>
      </c>
      <c r="F40" s="19">
        <v>171</v>
      </c>
    </row>
    <row r="41" spans="1:6" x14ac:dyDescent="0.3">
      <c r="A41" s="19" t="s">
        <v>75</v>
      </c>
      <c r="B41" s="19" t="s">
        <v>76</v>
      </c>
      <c r="C41" s="19" t="s">
        <v>30</v>
      </c>
      <c r="D41" s="19" t="s">
        <v>33</v>
      </c>
      <c r="E41" s="19">
        <v>4</v>
      </c>
      <c r="F41" s="19">
        <v>184</v>
      </c>
    </row>
    <row r="42" spans="1:6" x14ac:dyDescent="0.3">
      <c r="A42" s="19" t="s">
        <v>75</v>
      </c>
      <c r="B42" s="19" t="s">
        <v>76</v>
      </c>
      <c r="C42" s="19" t="s">
        <v>30</v>
      </c>
      <c r="D42" s="19" t="s">
        <v>35</v>
      </c>
      <c r="E42" s="19">
        <v>4</v>
      </c>
      <c r="F42" s="19">
        <v>220</v>
      </c>
    </row>
    <row r="43" spans="1:6" x14ac:dyDescent="0.3">
      <c r="A43" s="19" t="s">
        <v>75</v>
      </c>
      <c r="B43" s="19" t="s">
        <v>76</v>
      </c>
      <c r="C43" s="19" t="s">
        <v>30</v>
      </c>
      <c r="D43" s="19" t="s">
        <v>37</v>
      </c>
      <c r="E43" s="19">
        <v>2</v>
      </c>
      <c r="F43" s="19">
        <v>192</v>
      </c>
    </row>
    <row r="44" spans="1:6" x14ac:dyDescent="0.3">
      <c r="A44" s="19" t="s">
        <v>75</v>
      </c>
      <c r="B44" s="19" t="s">
        <v>76</v>
      </c>
      <c r="C44" s="19" t="s">
        <v>30</v>
      </c>
      <c r="D44" s="19" t="s">
        <v>39</v>
      </c>
      <c r="E44" s="19">
        <v>5</v>
      </c>
      <c r="F44" s="19">
        <v>192</v>
      </c>
    </row>
    <row r="45" spans="1:6" x14ac:dyDescent="0.3">
      <c r="A45" s="19" t="s">
        <v>75</v>
      </c>
      <c r="B45" s="19" t="s">
        <v>76</v>
      </c>
      <c r="C45" s="19" t="s">
        <v>30</v>
      </c>
      <c r="D45" s="19" t="s">
        <v>41</v>
      </c>
      <c r="E45" s="19">
        <v>5</v>
      </c>
      <c r="F45" s="19">
        <v>206</v>
      </c>
    </row>
    <row r="46" spans="1:6" x14ac:dyDescent="0.3">
      <c r="A46" s="19" t="s">
        <v>75</v>
      </c>
      <c r="B46" s="19" t="s">
        <v>76</v>
      </c>
      <c r="C46" s="19" t="s">
        <v>30</v>
      </c>
      <c r="D46" s="19" t="s">
        <v>43</v>
      </c>
      <c r="E46" s="19">
        <v>1</v>
      </c>
      <c r="F46" s="19">
        <v>174</v>
      </c>
    </row>
    <row r="47" spans="1:6" x14ac:dyDescent="0.3">
      <c r="A47" s="19" t="s">
        <v>75</v>
      </c>
      <c r="B47" s="19" t="s">
        <v>76</v>
      </c>
      <c r="C47" s="19" t="s">
        <v>30</v>
      </c>
      <c r="D47" s="19" t="s">
        <v>45</v>
      </c>
      <c r="E47" s="19">
        <v>1</v>
      </c>
      <c r="F47" s="19">
        <v>285</v>
      </c>
    </row>
    <row r="48" spans="1:6" x14ac:dyDescent="0.3">
      <c r="A48" s="19" t="s">
        <v>75</v>
      </c>
      <c r="B48" s="19" t="s">
        <v>76</v>
      </c>
      <c r="C48" s="19" t="s">
        <v>30</v>
      </c>
      <c r="D48" s="19" t="s">
        <v>47</v>
      </c>
      <c r="E48" s="19">
        <v>6</v>
      </c>
      <c r="F48" s="19">
        <v>247</v>
      </c>
    </row>
    <row r="49" spans="1:6" x14ac:dyDescent="0.3">
      <c r="A49" s="19" t="s">
        <v>75</v>
      </c>
      <c r="B49" s="19" t="s">
        <v>76</v>
      </c>
      <c r="C49" s="19" t="s">
        <v>30</v>
      </c>
      <c r="D49" s="19" t="s">
        <v>49</v>
      </c>
      <c r="E49" s="19">
        <v>4</v>
      </c>
      <c r="F49" s="19">
        <v>199</v>
      </c>
    </row>
    <row r="50" spans="1:6" x14ac:dyDescent="0.3">
      <c r="A50" s="19" t="s">
        <v>78</v>
      </c>
      <c r="B50" s="19" t="s">
        <v>79</v>
      </c>
      <c r="C50" s="19" t="s">
        <v>30</v>
      </c>
      <c r="D50" s="19" t="s">
        <v>27</v>
      </c>
      <c r="E50" s="19">
        <v>0</v>
      </c>
      <c r="F50" s="19">
        <v>160</v>
      </c>
    </row>
    <row r="51" spans="1:6" x14ac:dyDescent="0.3">
      <c r="A51" s="19" t="s">
        <v>78</v>
      </c>
      <c r="B51" s="19" t="s">
        <v>79</v>
      </c>
      <c r="C51" s="19" t="s">
        <v>30</v>
      </c>
      <c r="D51" s="19" t="s">
        <v>29</v>
      </c>
      <c r="E51" s="19">
        <v>5</v>
      </c>
      <c r="F51" s="19">
        <v>155</v>
      </c>
    </row>
    <row r="52" spans="1:6" x14ac:dyDescent="0.3">
      <c r="A52" s="19" t="s">
        <v>78</v>
      </c>
      <c r="B52" s="19" t="s">
        <v>79</v>
      </c>
      <c r="C52" s="19" t="s">
        <v>30</v>
      </c>
      <c r="D52" s="19" t="s">
        <v>31</v>
      </c>
      <c r="E52" s="19">
        <v>5</v>
      </c>
      <c r="F52" s="19">
        <v>159</v>
      </c>
    </row>
    <row r="53" spans="1:6" x14ac:dyDescent="0.3">
      <c r="A53" s="19" t="s">
        <v>78</v>
      </c>
      <c r="B53" s="19" t="s">
        <v>79</v>
      </c>
      <c r="C53" s="19" t="s">
        <v>30</v>
      </c>
      <c r="D53" s="19" t="s">
        <v>33</v>
      </c>
      <c r="E53" s="19">
        <v>2</v>
      </c>
      <c r="F53" s="19">
        <v>164</v>
      </c>
    </row>
    <row r="54" spans="1:6" x14ac:dyDescent="0.3">
      <c r="A54" s="19" t="s">
        <v>78</v>
      </c>
      <c r="B54" s="19" t="s">
        <v>79</v>
      </c>
      <c r="C54" s="19" t="s">
        <v>30</v>
      </c>
      <c r="D54" s="19" t="s">
        <v>35</v>
      </c>
      <c r="E54" s="19">
        <v>5</v>
      </c>
      <c r="F54" s="19">
        <v>184</v>
      </c>
    </row>
    <row r="55" spans="1:6" x14ac:dyDescent="0.3">
      <c r="A55" s="19" t="s">
        <v>78</v>
      </c>
      <c r="B55" s="19" t="s">
        <v>79</v>
      </c>
      <c r="C55" s="19" t="s">
        <v>30</v>
      </c>
      <c r="D55" s="19" t="s">
        <v>37</v>
      </c>
      <c r="E55" s="19">
        <v>4</v>
      </c>
      <c r="F55" s="19">
        <v>140</v>
      </c>
    </row>
    <row r="56" spans="1:6" x14ac:dyDescent="0.3">
      <c r="A56" s="19" t="s">
        <v>78</v>
      </c>
      <c r="B56" s="19" t="s">
        <v>79</v>
      </c>
      <c r="C56" s="19" t="s">
        <v>30</v>
      </c>
      <c r="D56" s="19" t="s">
        <v>39</v>
      </c>
      <c r="E56" s="19">
        <v>1</v>
      </c>
      <c r="F56" s="19">
        <v>144</v>
      </c>
    </row>
    <row r="57" spans="1:6" x14ac:dyDescent="0.3">
      <c r="A57" s="19" t="s">
        <v>78</v>
      </c>
      <c r="B57" s="19" t="s">
        <v>79</v>
      </c>
      <c r="C57" s="19" t="s">
        <v>30</v>
      </c>
      <c r="D57" s="19" t="s">
        <v>41</v>
      </c>
      <c r="E57" s="19">
        <v>1</v>
      </c>
      <c r="F57" s="19">
        <v>166</v>
      </c>
    </row>
    <row r="58" spans="1:6" x14ac:dyDescent="0.3">
      <c r="A58" s="19" t="s">
        <v>78</v>
      </c>
      <c r="B58" s="19" t="s">
        <v>79</v>
      </c>
      <c r="C58" s="19" t="s">
        <v>30</v>
      </c>
      <c r="D58" s="19" t="s">
        <v>43</v>
      </c>
      <c r="E58" s="19">
        <v>3</v>
      </c>
      <c r="F58" s="19">
        <v>180</v>
      </c>
    </row>
    <row r="59" spans="1:6" x14ac:dyDescent="0.3">
      <c r="A59" s="19" t="s">
        <v>78</v>
      </c>
      <c r="B59" s="19" t="s">
        <v>79</v>
      </c>
      <c r="C59" s="19" t="s">
        <v>30</v>
      </c>
      <c r="D59" s="19" t="s">
        <v>45</v>
      </c>
      <c r="E59" s="19">
        <v>8</v>
      </c>
      <c r="F59" s="19">
        <v>251</v>
      </c>
    </row>
    <row r="60" spans="1:6" x14ac:dyDescent="0.3">
      <c r="A60" s="19" t="s">
        <v>78</v>
      </c>
      <c r="B60" s="19" t="s">
        <v>79</v>
      </c>
      <c r="C60" s="19" t="s">
        <v>30</v>
      </c>
      <c r="D60" s="19" t="s">
        <v>47</v>
      </c>
      <c r="E60" s="19">
        <v>2</v>
      </c>
      <c r="F60" s="19">
        <v>169</v>
      </c>
    </row>
    <row r="61" spans="1:6" x14ac:dyDescent="0.3">
      <c r="A61" s="19" t="s">
        <v>78</v>
      </c>
      <c r="B61" s="19" t="s">
        <v>79</v>
      </c>
      <c r="C61" s="19" t="s">
        <v>30</v>
      </c>
      <c r="D61" s="19" t="s">
        <v>49</v>
      </c>
      <c r="E61" s="19">
        <v>4</v>
      </c>
      <c r="F61" s="19">
        <v>169</v>
      </c>
    </row>
    <row r="62" spans="1:6" x14ac:dyDescent="0.3">
      <c r="A62" s="19" t="s">
        <v>81</v>
      </c>
      <c r="B62" s="19" t="s">
        <v>82</v>
      </c>
      <c r="C62" s="19" t="s">
        <v>32</v>
      </c>
      <c r="D62" s="19" t="s">
        <v>27</v>
      </c>
      <c r="E62" s="19">
        <v>3</v>
      </c>
      <c r="F62" s="19">
        <v>146</v>
      </c>
    </row>
    <row r="63" spans="1:6" x14ac:dyDescent="0.3">
      <c r="A63" s="19" t="s">
        <v>81</v>
      </c>
      <c r="B63" s="19" t="s">
        <v>82</v>
      </c>
      <c r="C63" s="19" t="s">
        <v>32</v>
      </c>
      <c r="D63" s="19" t="s">
        <v>29</v>
      </c>
      <c r="E63" s="19">
        <v>0</v>
      </c>
      <c r="F63" s="19">
        <v>141</v>
      </c>
    </row>
    <row r="64" spans="1:6" x14ac:dyDescent="0.3">
      <c r="A64" s="19" t="s">
        <v>81</v>
      </c>
      <c r="B64" s="19" t="s">
        <v>82</v>
      </c>
      <c r="C64" s="19" t="s">
        <v>32</v>
      </c>
      <c r="D64" s="19" t="s">
        <v>31</v>
      </c>
      <c r="E64" s="19">
        <v>2</v>
      </c>
      <c r="F64" s="19">
        <v>130</v>
      </c>
    </row>
    <row r="65" spans="1:6" x14ac:dyDescent="0.3">
      <c r="A65" s="19" t="s">
        <v>81</v>
      </c>
      <c r="B65" s="19" t="s">
        <v>82</v>
      </c>
      <c r="C65" s="19" t="s">
        <v>32</v>
      </c>
      <c r="D65" s="19" t="s">
        <v>33</v>
      </c>
      <c r="E65" s="19">
        <v>3</v>
      </c>
      <c r="F65" s="19">
        <v>133</v>
      </c>
    </row>
    <row r="66" spans="1:6" x14ac:dyDescent="0.3">
      <c r="A66" s="19" t="s">
        <v>81</v>
      </c>
      <c r="B66" s="19" t="s">
        <v>82</v>
      </c>
      <c r="C66" s="19" t="s">
        <v>32</v>
      </c>
      <c r="D66" s="19" t="s">
        <v>35</v>
      </c>
      <c r="E66" s="19">
        <v>1</v>
      </c>
      <c r="F66" s="19">
        <v>148</v>
      </c>
    </row>
    <row r="67" spans="1:6" x14ac:dyDescent="0.3">
      <c r="A67" s="19" t="s">
        <v>81</v>
      </c>
      <c r="B67" s="19" t="s">
        <v>82</v>
      </c>
      <c r="C67" s="19" t="s">
        <v>32</v>
      </c>
      <c r="D67" s="19" t="s">
        <v>37</v>
      </c>
      <c r="E67" s="19">
        <v>4</v>
      </c>
      <c r="F67" s="19">
        <v>157</v>
      </c>
    </row>
    <row r="68" spans="1:6" x14ac:dyDescent="0.3">
      <c r="A68" s="19" t="s">
        <v>81</v>
      </c>
      <c r="B68" s="19" t="s">
        <v>82</v>
      </c>
      <c r="C68" s="19" t="s">
        <v>32</v>
      </c>
      <c r="D68" s="19" t="s">
        <v>39</v>
      </c>
      <c r="E68" s="19">
        <v>1</v>
      </c>
      <c r="F68" s="19">
        <v>126</v>
      </c>
    </row>
    <row r="69" spans="1:6" x14ac:dyDescent="0.3">
      <c r="A69" s="19" t="s">
        <v>81</v>
      </c>
      <c r="B69" s="19" t="s">
        <v>82</v>
      </c>
      <c r="C69" s="19" t="s">
        <v>32</v>
      </c>
      <c r="D69" s="19" t="s">
        <v>41</v>
      </c>
      <c r="E69" s="19">
        <v>1</v>
      </c>
      <c r="F69" s="19">
        <v>149</v>
      </c>
    </row>
    <row r="70" spans="1:6" x14ac:dyDescent="0.3">
      <c r="A70" s="19" t="s">
        <v>81</v>
      </c>
      <c r="B70" s="19" t="s">
        <v>82</v>
      </c>
      <c r="C70" s="19" t="s">
        <v>32</v>
      </c>
      <c r="D70" s="19" t="s">
        <v>43</v>
      </c>
      <c r="E70" s="19">
        <v>4</v>
      </c>
      <c r="F70" s="19">
        <v>158</v>
      </c>
    </row>
    <row r="71" spans="1:6" x14ac:dyDescent="0.3">
      <c r="A71" s="19" t="s">
        <v>81</v>
      </c>
      <c r="B71" s="19" t="s">
        <v>82</v>
      </c>
      <c r="C71" s="19" t="s">
        <v>32</v>
      </c>
      <c r="D71" s="19" t="s">
        <v>45</v>
      </c>
      <c r="E71" s="19">
        <v>6</v>
      </c>
      <c r="F71" s="19">
        <v>195</v>
      </c>
    </row>
    <row r="72" spans="1:6" x14ac:dyDescent="0.3">
      <c r="A72" s="19" t="s">
        <v>81</v>
      </c>
      <c r="B72" s="19" t="s">
        <v>82</v>
      </c>
      <c r="C72" s="19" t="s">
        <v>32</v>
      </c>
      <c r="D72" s="19" t="s">
        <v>47</v>
      </c>
      <c r="E72" s="19">
        <v>3</v>
      </c>
      <c r="F72" s="19">
        <v>146</v>
      </c>
    </row>
    <row r="73" spans="1:6" x14ac:dyDescent="0.3">
      <c r="A73" s="19" t="s">
        <v>81</v>
      </c>
      <c r="B73" s="19" t="s">
        <v>82</v>
      </c>
      <c r="C73" s="19" t="s">
        <v>32</v>
      </c>
      <c r="D73" s="19" t="s">
        <v>49</v>
      </c>
      <c r="E73" s="19">
        <v>1</v>
      </c>
      <c r="F73" s="19">
        <v>125</v>
      </c>
    </row>
    <row r="74" spans="1:6" x14ac:dyDescent="0.3">
      <c r="A74" s="19" t="s">
        <v>83</v>
      </c>
      <c r="B74" s="19" t="s">
        <v>84</v>
      </c>
      <c r="C74" s="19" t="s">
        <v>32</v>
      </c>
      <c r="D74" s="19" t="s">
        <v>27</v>
      </c>
      <c r="E74" s="19">
        <v>2</v>
      </c>
      <c r="F74" s="19">
        <v>190</v>
      </c>
    </row>
    <row r="75" spans="1:6" x14ac:dyDescent="0.3">
      <c r="A75" s="19" t="s">
        <v>83</v>
      </c>
      <c r="B75" s="19" t="s">
        <v>84</v>
      </c>
      <c r="C75" s="19" t="s">
        <v>32</v>
      </c>
      <c r="D75" s="19" t="s">
        <v>29</v>
      </c>
      <c r="E75" s="19">
        <v>3</v>
      </c>
      <c r="F75" s="19">
        <v>211</v>
      </c>
    </row>
    <row r="76" spans="1:6" x14ac:dyDescent="0.3">
      <c r="A76" s="19" t="s">
        <v>83</v>
      </c>
      <c r="B76" s="19" t="s">
        <v>84</v>
      </c>
      <c r="C76" s="19" t="s">
        <v>32</v>
      </c>
      <c r="D76" s="19" t="s">
        <v>31</v>
      </c>
      <c r="E76" s="19">
        <v>4</v>
      </c>
      <c r="F76" s="19">
        <v>197</v>
      </c>
    </row>
    <row r="77" spans="1:6" x14ac:dyDescent="0.3">
      <c r="A77" s="19" t="s">
        <v>83</v>
      </c>
      <c r="B77" s="19" t="s">
        <v>84</v>
      </c>
      <c r="C77" s="19" t="s">
        <v>32</v>
      </c>
      <c r="D77" s="19" t="s">
        <v>33</v>
      </c>
      <c r="E77" s="19">
        <v>7</v>
      </c>
      <c r="F77" s="19">
        <v>208</v>
      </c>
    </row>
    <row r="78" spans="1:6" x14ac:dyDescent="0.3">
      <c r="A78" s="19" t="s">
        <v>83</v>
      </c>
      <c r="B78" s="19" t="s">
        <v>84</v>
      </c>
      <c r="C78" s="19" t="s">
        <v>32</v>
      </c>
      <c r="D78" s="19" t="s">
        <v>35</v>
      </c>
      <c r="E78" s="19">
        <v>1</v>
      </c>
      <c r="F78" s="19">
        <v>172</v>
      </c>
    </row>
    <row r="79" spans="1:6" x14ac:dyDescent="0.3">
      <c r="A79" s="19" t="s">
        <v>83</v>
      </c>
      <c r="B79" s="19" t="s">
        <v>84</v>
      </c>
      <c r="C79" s="19" t="s">
        <v>32</v>
      </c>
      <c r="D79" s="19" t="s">
        <v>37</v>
      </c>
      <c r="E79" s="19">
        <v>4</v>
      </c>
      <c r="F79" s="19">
        <v>182</v>
      </c>
    </row>
    <row r="80" spans="1:6" x14ac:dyDescent="0.3">
      <c r="A80" s="19" t="s">
        <v>83</v>
      </c>
      <c r="B80" s="19" t="s">
        <v>84</v>
      </c>
      <c r="C80" s="19" t="s">
        <v>32</v>
      </c>
      <c r="D80" s="19" t="s">
        <v>39</v>
      </c>
      <c r="E80" s="19">
        <v>2</v>
      </c>
      <c r="F80" s="19">
        <v>182</v>
      </c>
    </row>
    <row r="81" spans="1:6" x14ac:dyDescent="0.3">
      <c r="A81" s="19" t="s">
        <v>83</v>
      </c>
      <c r="B81" s="19" t="s">
        <v>84</v>
      </c>
      <c r="C81" s="19" t="s">
        <v>32</v>
      </c>
      <c r="D81" s="19" t="s">
        <v>41</v>
      </c>
      <c r="E81" s="19">
        <v>0</v>
      </c>
      <c r="F81" s="19">
        <v>168</v>
      </c>
    </row>
    <row r="82" spans="1:6" x14ac:dyDescent="0.3">
      <c r="A82" s="19" t="s">
        <v>83</v>
      </c>
      <c r="B82" s="19" t="s">
        <v>84</v>
      </c>
      <c r="C82" s="19" t="s">
        <v>32</v>
      </c>
      <c r="D82" s="19" t="s">
        <v>43</v>
      </c>
      <c r="E82" s="19">
        <v>2</v>
      </c>
      <c r="F82" s="19">
        <v>185</v>
      </c>
    </row>
    <row r="83" spans="1:6" x14ac:dyDescent="0.3">
      <c r="A83" s="19" t="s">
        <v>83</v>
      </c>
      <c r="B83" s="19" t="s">
        <v>84</v>
      </c>
      <c r="C83" s="19" t="s">
        <v>32</v>
      </c>
      <c r="D83" s="19" t="s">
        <v>45</v>
      </c>
      <c r="E83" s="19">
        <v>8</v>
      </c>
      <c r="F83" s="19">
        <v>328</v>
      </c>
    </row>
    <row r="84" spans="1:6" x14ac:dyDescent="0.3">
      <c r="A84" s="19" t="s">
        <v>83</v>
      </c>
      <c r="B84" s="19" t="s">
        <v>84</v>
      </c>
      <c r="C84" s="19" t="s">
        <v>32</v>
      </c>
      <c r="D84" s="19" t="s">
        <v>47</v>
      </c>
      <c r="E84" s="19">
        <v>5</v>
      </c>
      <c r="F84" s="19">
        <v>208</v>
      </c>
    </row>
    <row r="85" spans="1:6" x14ac:dyDescent="0.3">
      <c r="A85" s="19" t="s">
        <v>83</v>
      </c>
      <c r="B85" s="19" t="s">
        <v>84</v>
      </c>
      <c r="C85" s="19" t="s">
        <v>32</v>
      </c>
      <c r="D85" s="19" t="s">
        <v>49</v>
      </c>
      <c r="E85" s="19">
        <v>5</v>
      </c>
      <c r="F85" s="19">
        <v>179</v>
      </c>
    </row>
    <row r="86" spans="1:6" x14ac:dyDescent="0.3">
      <c r="A86" s="19" t="s">
        <v>85</v>
      </c>
      <c r="B86" s="19" t="s">
        <v>86</v>
      </c>
      <c r="C86" s="19" t="s">
        <v>32</v>
      </c>
      <c r="D86" s="19" t="s">
        <v>27</v>
      </c>
      <c r="E86" s="19">
        <v>5</v>
      </c>
      <c r="F86" s="19">
        <v>159</v>
      </c>
    </row>
    <row r="87" spans="1:6" x14ac:dyDescent="0.3">
      <c r="A87" s="19" t="s">
        <v>85</v>
      </c>
      <c r="B87" s="19" t="s">
        <v>86</v>
      </c>
      <c r="C87" s="19" t="s">
        <v>32</v>
      </c>
      <c r="D87" s="19" t="s">
        <v>29</v>
      </c>
      <c r="E87" s="19">
        <v>3</v>
      </c>
      <c r="F87" s="19">
        <v>123</v>
      </c>
    </row>
    <row r="88" spans="1:6" x14ac:dyDescent="0.3">
      <c r="A88" s="19" t="s">
        <v>85</v>
      </c>
      <c r="B88" s="19" t="s">
        <v>86</v>
      </c>
      <c r="C88" s="19" t="s">
        <v>32</v>
      </c>
      <c r="D88" s="19" t="s">
        <v>31</v>
      </c>
      <c r="E88" s="19">
        <v>5</v>
      </c>
      <c r="F88" s="19">
        <v>140</v>
      </c>
    </row>
    <row r="89" spans="1:6" x14ac:dyDescent="0.3">
      <c r="A89" s="19" t="s">
        <v>85</v>
      </c>
      <c r="B89" s="19" t="s">
        <v>86</v>
      </c>
      <c r="C89" s="19" t="s">
        <v>32</v>
      </c>
      <c r="D89" s="19" t="s">
        <v>33</v>
      </c>
      <c r="E89" s="19">
        <v>2</v>
      </c>
      <c r="F89" s="19">
        <v>130</v>
      </c>
    </row>
    <row r="90" spans="1:6" x14ac:dyDescent="0.3">
      <c r="A90" s="19" t="s">
        <v>85</v>
      </c>
      <c r="B90" s="19" t="s">
        <v>86</v>
      </c>
      <c r="C90" s="19" t="s">
        <v>32</v>
      </c>
      <c r="D90" s="19" t="s">
        <v>35</v>
      </c>
      <c r="E90" s="19">
        <v>4</v>
      </c>
      <c r="F90" s="19">
        <v>156</v>
      </c>
    </row>
    <row r="91" spans="1:6" x14ac:dyDescent="0.3">
      <c r="A91" s="19" t="s">
        <v>85</v>
      </c>
      <c r="B91" s="19" t="s">
        <v>86</v>
      </c>
      <c r="C91" s="19" t="s">
        <v>32</v>
      </c>
      <c r="D91" s="19" t="s">
        <v>37</v>
      </c>
      <c r="E91" s="19">
        <v>4</v>
      </c>
      <c r="F91" s="19">
        <v>130</v>
      </c>
    </row>
    <row r="92" spans="1:6" x14ac:dyDescent="0.3">
      <c r="A92" s="19" t="s">
        <v>85</v>
      </c>
      <c r="B92" s="19" t="s">
        <v>86</v>
      </c>
      <c r="C92" s="19" t="s">
        <v>32</v>
      </c>
      <c r="D92" s="19" t="s">
        <v>39</v>
      </c>
      <c r="E92" s="19">
        <v>5</v>
      </c>
      <c r="F92" s="19">
        <v>148</v>
      </c>
    </row>
    <row r="93" spans="1:6" x14ac:dyDescent="0.3">
      <c r="A93" s="19" t="s">
        <v>85</v>
      </c>
      <c r="B93" s="19" t="s">
        <v>86</v>
      </c>
      <c r="C93" s="19" t="s">
        <v>32</v>
      </c>
      <c r="D93" s="19" t="s">
        <v>41</v>
      </c>
      <c r="E93" s="19">
        <v>3</v>
      </c>
      <c r="F93" s="19">
        <v>143</v>
      </c>
    </row>
    <row r="94" spans="1:6" x14ac:dyDescent="0.3">
      <c r="A94" s="19" t="s">
        <v>85</v>
      </c>
      <c r="B94" s="19" t="s">
        <v>86</v>
      </c>
      <c r="C94" s="19" t="s">
        <v>32</v>
      </c>
      <c r="D94" s="19" t="s">
        <v>43</v>
      </c>
      <c r="E94" s="19">
        <v>2</v>
      </c>
      <c r="F94" s="19">
        <v>145</v>
      </c>
    </row>
    <row r="95" spans="1:6" x14ac:dyDescent="0.3">
      <c r="A95" s="19" t="s">
        <v>85</v>
      </c>
      <c r="B95" s="19" t="s">
        <v>86</v>
      </c>
      <c r="C95" s="19" t="s">
        <v>32</v>
      </c>
      <c r="D95" s="19" t="s">
        <v>45</v>
      </c>
      <c r="E95" s="19">
        <v>3</v>
      </c>
      <c r="F95" s="19">
        <v>246</v>
      </c>
    </row>
    <row r="96" spans="1:6" x14ac:dyDescent="0.3">
      <c r="A96" s="19" t="s">
        <v>85</v>
      </c>
      <c r="B96" s="19" t="s">
        <v>86</v>
      </c>
      <c r="C96" s="19" t="s">
        <v>32</v>
      </c>
      <c r="D96" s="19" t="s">
        <v>47</v>
      </c>
      <c r="E96" s="19">
        <v>4</v>
      </c>
      <c r="F96" s="19">
        <v>181</v>
      </c>
    </row>
    <row r="97" spans="1:6" x14ac:dyDescent="0.3">
      <c r="A97" s="19" t="s">
        <v>85</v>
      </c>
      <c r="B97" s="19" t="s">
        <v>86</v>
      </c>
      <c r="C97" s="19" t="s">
        <v>32</v>
      </c>
      <c r="D97" s="19" t="s">
        <v>49</v>
      </c>
      <c r="E97" s="19">
        <v>3</v>
      </c>
      <c r="F97" s="19">
        <v>148</v>
      </c>
    </row>
    <row r="98" spans="1:6" x14ac:dyDescent="0.3">
      <c r="A98" s="19" t="s">
        <v>87</v>
      </c>
      <c r="B98" s="19" t="s">
        <v>88</v>
      </c>
      <c r="C98" s="19" t="s">
        <v>32</v>
      </c>
      <c r="D98" s="19" t="s">
        <v>27</v>
      </c>
      <c r="E98" s="19">
        <v>4</v>
      </c>
      <c r="F98" s="19">
        <v>210</v>
      </c>
    </row>
    <row r="99" spans="1:6" x14ac:dyDescent="0.3">
      <c r="A99" s="19" t="s">
        <v>87</v>
      </c>
      <c r="B99" s="19" t="s">
        <v>88</v>
      </c>
      <c r="C99" s="19" t="s">
        <v>32</v>
      </c>
      <c r="D99" s="19" t="s">
        <v>29</v>
      </c>
      <c r="E99" s="19">
        <v>2</v>
      </c>
      <c r="F99" s="19">
        <v>176</v>
      </c>
    </row>
    <row r="100" spans="1:6" x14ac:dyDescent="0.3">
      <c r="A100" s="19" t="s">
        <v>87</v>
      </c>
      <c r="B100" s="19" t="s">
        <v>88</v>
      </c>
      <c r="C100" s="19" t="s">
        <v>32</v>
      </c>
      <c r="D100" s="19" t="s">
        <v>31</v>
      </c>
      <c r="E100" s="19">
        <v>6</v>
      </c>
      <c r="F100" s="19">
        <v>218</v>
      </c>
    </row>
    <row r="101" spans="1:6" x14ac:dyDescent="0.3">
      <c r="A101" s="19" t="s">
        <v>87</v>
      </c>
      <c r="B101" s="19" t="s">
        <v>88</v>
      </c>
      <c r="C101" s="19" t="s">
        <v>32</v>
      </c>
      <c r="D101" s="19" t="s">
        <v>33</v>
      </c>
      <c r="E101" s="19">
        <v>7</v>
      </c>
      <c r="F101" s="19">
        <v>207</v>
      </c>
    </row>
    <row r="102" spans="1:6" x14ac:dyDescent="0.3">
      <c r="A102" s="19" t="s">
        <v>87</v>
      </c>
      <c r="B102" s="19" t="s">
        <v>88</v>
      </c>
      <c r="C102" s="19" t="s">
        <v>32</v>
      </c>
      <c r="D102" s="19" t="s">
        <v>35</v>
      </c>
      <c r="E102" s="19">
        <v>3</v>
      </c>
      <c r="F102" s="19">
        <v>205</v>
      </c>
    </row>
    <row r="103" spans="1:6" x14ac:dyDescent="0.3">
      <c r="A103" s="19" t="s">
        <v>87</v>
      </c>
      <c r="B103" s="19" t="s">
        <v>88</v>
      </c>
      <c r="C103" s="19" t="s">
        <v>32</v>
      </c>
      <c r="D103" s="19" t="s">
        <v>37</v>
      </c>
      <c r="E103" s="19">
        <v>5</v>
      </c>
      <c r="F103" s="19">
        <v>179</v>
      </c>
    </row>
    <row r="104" spans="1:6" x14ac:dyDescent="0.3">
      <c r="A104" s="19" t="s">
        <v>87</v>
      </c>
      <c r="B104" s="19" t="s">
        <v>88</v>
      </c>
      <c r="C104" s="19" t="s">
        <v>32</v>
      </c>
      <c r="D104" s="19" t="s">
        <v>39</v>
      </c>
      <c r="E104" s="19">
        <v>7</v>
      </c>
      <c r="F104" s="19">
        <v>223</v>
      </c>
    </row>
    <row r="105" spans="1:6" x14ac:dyDescent="0.3">
      <c r="A105" s="19" t="s">
        <v>87</v>
      </c>
      <c r="B105" s="19" t="s">
        <v>88</v>
      </c>
      <c r="C105" s="19" t="s">
        <v>32</v>
      </c>
      <c r="D105" s="19" t="s">
        <v>41</v>
      </c>
      <c r="E105" s="19">
        <v>6</v>
      </c>
      <c r="F105" s="19">
        <v>212</v>
      </c>
    </row>
    <row r="106" spans="1:6" x14ac:dyDescent="0.3">
      <c r="A106" s="19" t="s">
        <v>87</v>
      </c>
      <c r="B106" s="19" t="s">
        <v>88</v>
      </c>
      <c r="C106" s="19" t="s">
        <v>32</v>
      </c>
      <c r="D106" s="19" t="s">
        <v>43</v>
      </c>
      <c r="E106" s="19">
        <v>3</v>
      </c>
      <c r="F106" s="19">
        <v>177</v>
      </c>
    </row>
    <row r="107" spans="1:6" x14ac:dyDescent="0.3">
      <c r="A107" s="19" t="s">
        <v>87</v>
      </c>
      <c r="B107" s="19" t="s">
        <v>88</v>
      </c>
      <c r="C107" s="19" t="s">
        <v>32</v>
      </c>
      <c r="D107" s="19" t="s">
        <v>45</v>
      </c>
      <c r="E107" s="19">
        <v>4</v>
      </c>
      <c r="F107" s="19">
        <v>326</v>
      </c>
    </row>
    <row r="108" spans="1:6" x14ac:dyDescent="0.3">
      <c r="A108" s="19" t="s">
        <v>87</v>
      </c>
      <c r="B108" s="19" t="s">
        <v>88</v>
      </c>
      <c r="C108" s="19" t="s">
        <v>32</v>
      </c>
      <c r="D108" s="19" t="s">
        <v>47</v>
      </c>
      <c r="E108" s="19">
        <v>9</v>
      </c>
      <c r="F108" s="19">
        <v>252</v>
      </c>
    </row>
    <row r="109" spans="1:6" x14ac:dyDescent="0.3">
      <c r="A109" s="19" t="s">
        <v>87</v>
      </c>
      <c r="B109" s="19" t="s">
        <v>88</v>
      </c>
      <c r="C109" s="19" t="s">
        <v>32</v>
      </c>
      <c r="D109" s="19" t="s">
        <v>49</v>
      </c>
      <c r="E109" s="19">
        <v>3</v>
      </c>
      <c r="F109" s="19">
        <v>197</v>
      </c>
    </row>
    <row r="110" spans="1:6" x14ac:dyDescent="0.3">
      <c r="A110" s="19" t="s">
        <v>89</v>
      </c>
      <c r="B110" s="19" t="s">
        <v>90</v>
      </c>
      <c r="C110" s="19" t="s">
        <v>32</v>
      </c>
      <c r="D110" s="19" t="s">
        <v>27</v>
      </c>
      <c r="E110" s="19">
        <v>4</v>
      </c>
      <c r="F110" s="19">
        <v>174</v>
      </c>
    </row>
    <row r="111" spans="1:6" x14ac:dyDescent="0.3">
      <c r="A111" s="19" t="s">
        <v>89</v>
      </c>
      <c r="B111" s="19" t="s">
        <v>90</v>
      </c>
      <c r="C111" s="19" t="s">
        <v>32</v>
      </c>
      <c r="D111" s="19" t="s">
        <v>29</v>
      </c>
      <c r="E111" s="19">
        <v>0</v>
      </c>
      <c r="F111" s="19">
        <v>161</v>
      </c>
    </row>
    <row r="112" spans="1:6" x14ac:dyDescent="0.3">
      <c r="A112" s="19" t="s">
        <v>89</v>
      </c>
      <c r="B112" s="19" t="s">
        <v>90</v>
      </c>
      <c r="C112" s="19" t="s">
        <v>32</v>
      </c>
      <c r="D112" s="19" t="s">
        <v>31</v>
      </c>
      <c r="E112" s="19">
        <v>1</v>
      </c>
      <c r="F112" s="19">
        <v>157</v>
      </c>
    </row>
    <row r="113" spans="1:6" x14ac:dyDescent="0.3">
      <c r="A113" s="19" t="s">
        <v>89</v>
      </c>
      <c r="B113" s="19" t="s">
        <v>90</v>
      </c>
      <c r="C113" s="19" t="s">
        <v>32</v>
      </c>
      <c r="D113" s="19" t="s">
        <v>33</v>
      </c>
      <c r="E113" s="19">
        <v>0</v>
      </c>
      <c r="F113" s="19">
        <v>171</v>
      </c>
    </row>
    <row r="114" spans="1:6" x14ac:dyDescent="0.3">
      <c r="A114" s="19" t="s">
        <v>89</v>
      </c>
      <c r="B114" s="19" t="s">
        <v>90</v>
      </c>
      <c r="C114" s="19" t="s">
        <v>32</v>
      </c>
      <c r="D114" s="19" t="s">
        <v>35</v>
      </c>
      <c r="E114" s="19">
        <v>6</v>
      </c>
      <c r="F114" s="19">
        <v>192</v>
      </c>
    </row>
    <row r="115" spans="1:6" x14ac:dyDescent="0.3">
      <c r="A115" s="19" t="s">
        <v>89</v>
      </c>
      <c r="B115" s="19" t="s">
        <v>90</v>
      </c>
      <c r="C115" s="19" t="s">
        <v>32</v>
      </c>
      <c r="D115" s="19" t="s">
        <v>37</v>
      </c>
      <c r="E115" s="19">
        <v>3</v>
      </c>
      <c r="F115" s="19">
        <v>150</v>
      </c>
    </row>
    <row r="116" spans="1:6" x14ac:dyDescent="0.3">
      <c r="A116" s="19" t="s">
        <v>89</v>
      </c>
      <c r="B116" s="19" t="s">
        <v>90</v>
      </c>
      <c r="C116" s="19" t="s">
        <v>32</v>
      </c>
      <c r="D116" s="19" t="s">
        <v>39</v>
      </c>
      <c r="E116" s="19">
        <v>5</v>
      </c>
      <c r="F116" s="19">
        <v>198</v>
      </c>
    </row>
    <row r="117" spans="1:6" x14ac:dyDescent="0.3">
      <c r="A117" s="19" t="s">
        <v>89</v>
      </c>
      <c r="B117" s="19" t="s">
        <v>90</v>
      </c>
      <c r="C117" s="19" t="s">
        <v>32</v>
      </c>
      <c r="D117" s="19" t="s">
        <v>41</v>
      </c>
      <c r="E117" s="19">
        <v>5</v>
      </c>
      <c r="F117" s="19">
        <v>193</v>
      </c>
    </row>
    <row r="118" spans="1:6" x14ac:dyDescent="0.3">
      <c r="A118" s="19" t="s">
        <v>89</v>
      </c>
      <c r="B118" s="19" t="s">
        <v>90</v>
      </c>
      <c r="C118" s="19" t="s">
        <v>32</v>
      </c>
      <c r="D118" s="19" t="s">
        <v>43</v>
      </c>
      <c r="E118" s="19">
        <v>3</v>
      </c>
      <c r="F118" s="19">
        <v>196</v>
      </c>
    </row>
    <row r="119" spans="1:6" x14ac:dyDescent="0.3">
      <c r="A119" s="19" t="s">
        <v>89</v>
      </c>
      <c r="B119" s="19" t="s">
        <v>90</v>
      </c>
      <c r="C119" s="19" t="s">
        <v>32</v>
      </c>
      <c r="D119" s="19" t="s">
        <v>45</v>
      </c>
      <c r="E119" s="19">
        <v>7</v>
      </c>
      <c r="F119" s="19">
        <v>271</v>
      </c>
    </row>
    <row r="120" spans="1:6" x14ac:dyDescent="0.3">
      <c r="A120" s="19" t="s">
        <v>89</v>
      </c>
      <c r="B120" s="19" t="s">
        <v>90</v>
      </c>
      <c r="C120" s="19" t="s">
        <v>32</v>
      </c>
      <c r="D120" s="19" t="s">
        <v>47</v>
      </c>
      <c r="E120" s="19">
        <v>5</v>
      </c>
      <c r="F120" s="19">
        <v>222</v>
      </c>
    </row>
    <row r="121" spans="1:6" x14ac:dyDescent="0.3">
      <c r="A121" s="19" t="s">
        <v>89</v>
      </c>
      <c r="B121" s="19" t="s">
        <v>90</v>
      </c>
      <c r="C121" s="19" t="s">
        <v>32</v>
      </c>
      <c r="D121" s="19" t="s">
        <v>49</v>
      </c>
      <c r="E121" s="19">
        <v>1</v>
      </c>
      <c r="F121" s="19">
        <v>196</v>
      </c>
    </row>
    <row r="122" spans="1:6" x14ac:dyDescent="0.3">
      <c r="A122" s="19" t="s">
        <v>91</v>
      </c>
      <c r="B122" s="19" t="s">
        <v>92</v>
      </c>
      <c r="C122" s="19" t="s">
        <v>36</v>
      </c>
      <c r="D122" s="19" t="s">
        <v>27</v>
      </c>
      <c r="E122" s="19">
        <v>1</v>
      </c>
      <c r="F122" s="19">
        <v>61</v>
      </c>
    </row>
    <row r="123" spans="1:6" x14ac:dyDescent="0.3">
      <c r="A123" s="19" t="s">
        <v>91</v>
      </c>
      <c r="B123" s="19" t="s">
        <v>92</v>
      </c>
      <c r="C123" s="19" t="s">
        <v>36</v>
      </c>
      <c r="D123" s="19" t="s">
        <v>29</v>
      </c>
      <c r="E123" s="19">
        <v>2</v>
      </c>
      <c r="F123" s="19">
        <v>64</v>
      </c>
    </row>
    <row r="124" spans="1:6" x14ac:dyDescent="0.3">
      <c r="A124" s="19" t="s">
        <v>91</v>
      </c>
      <c r="B124" s="19" t="s">
        <v>92</v>
      </c>
      <c r="C124" s="19" t="s">
        <v>36</v>
      </c>
      <c r="D124" s="19" t="s">
        <v>31</v>
      </c>
      <c r="E124" s="19">
        <v>2</v>
      </c>
      <c r="F124" s="19">
        <v>65</v>
      </c>
    </row>
    <row r="125" spans="1:6" x14ac:dyDescent="0.3">
      <c r="A125" s="19" t="s">
        <v>91</v>
      </c>
      <c r="B125" s="19" t="s">
        <v>92</v>
      </c>
      <c r="C125" s="19" t="s">
        <v>36</v>
      </c>
      <c r="D125" s="19" t="s">
        <v>33</v>
      </c>
      <c r="E125" s="19">
        <v>0</v>
      </c>
      <c r="F125" s="19">
        <v>58</v>
      </c>
    </row>
    <row r="126" spans="1:6" x14ac:dyDescent="0.3">
      <c r="A126" s="19" t="s">
        <v>91</v>
      </c>
      <c r="B126" s="19" t="s">
        <v>92</v>
      </c>
      <c r="C126" s="19" t="s">
        <v>36</v>
      </c>
      <c r="D126" s="19" t="s">
        <v>35</v>
      </c>
      <c r="E126" s="19">
        <v>1</v>
      </c>
      <c r="F126" s="19">
        <v>76</v>
      </c>
    </row>
    <row r="127" spans="1:6" x14ac:dyDescent="0.3">
      <c r="A127" s="19" t="s">
        <v>91</v>
      </c>
      <c r="B127" s="19" t="s">
        <v>92</v>
      </c>
      <c r="C127" s="19" t="s">
        <v>36</v>
      </c>
      <c r="D127" s="19" t="s">
        <v>37</v>
      </c>
      <c r="E127" s="19">
        <v>1</v>
      </c>
      <c r="F127" s="19">
        <v>74</v>
      </c>
    </row>
    <row r="128" spans="1:6" x14ac:dyDescent="0.3">
      <c r="A128" s="19" t="s">
        <v>91</v>
      </c>
      <c r="B128" s="19" t="s">
        <v>92</v>
      </c>
      <c r="C128" s="19" t="s">
        <v>36</v>
      </c>
      <c r="D128" s="19" t="s">
        <v>39</v>
      </c>
      <c r="E128" s="19">
        <v>1</v>
      </c>
      <c r="F128" s="19">
        <v>59</v>
      </c>
    </row>
    <row r="129" spans="1:6" x14ac:dyDescent="0.3">
      <c r="A129" s="19" t="s">
        <v>91</v>
      </c>
      <c r="B129" s="19" t="s">
        <v>92</v>
      </c>
      <c r="C129" s="19" t="s">
        <v>36</v>
      </c>
      <c r="D129" s="19" t="s">
        <v>41</v>
      </c>
      <c r="E129" s="19">
        <v>2</v>
      </c>
      <c r="F129" s="19">
        <v>64</v>
      </c>
    </row>
    <row r="130" spans="1:6" x14ac:dyDescent="0.3">
      <c r="A130" s="19" t="s">
        <v>91</v>
      </c>
      <c r="B130" s="19" t="s">
        <v>92</v>
      </c>
      <c r="C130" s="19" t="s">
        <v>36</v>
      </c>
      <c r="D130" s="19" t="s">
        <v>43</v>
      </c>
      <c r="E130" s="19">
        <v>1</v>
      </c>
      <c r="F130" s="19">
        <v>73</v>
      </c>
    </row>
    <row r="131" spans="1:6" x14ac:dyDescent="0.3">
      <c r="A131" s="19" t="s">
        <v>91</v>
      </c>
      <c r="B131" s="19" t="s">
        <v>92</v>
      </c>
      <c r="C131" s="19" t="s">
        <v>36</v>
      </c>
      <c r="D131" s="19" t="s">
        <v>45</v>
      </c>
      <c r="E131" s="19">
        <v>2</v>
      </c>
      <c r="F131" s="19">
        <v>121</v>
      </c>
    </row>
    <row r="132" spans="1:6" x14ac:dyDescent="0.3">
      <c r="A132" s="19" t="s">
        <v>91</v>
      </c>
      <c r="B132" s="19" t="s">
        <v>92</v>
      </c>
      <c r="C132" s="19" t="s">
        <v>36</v>
      </c>
      <c r="D132" s="19" t="s">
        <v>47</v>
      </c>
      <c r="E132" s="19">
        <v>2</v>
      </c>
      <c r="F132" s="19">
        <v>87</v>
      </c>
    </row>
    <row r="133" spans="1:6" x14ac:dyDescent="0.3">
      <c r="A133" s="19" t="s">
        <v>91</v>
      </c>
      <c r="B133" s="19" t="s">
        <v>92</v>
      </c>
      <c r="C133" s="19" t="s">
        <v>36</v>
      </c>
      <c r="D133" s="19" t="s">
        <v>49</v>
      </c>
      <c r="E133" s="19">
        <v>1</v>
      </c>
      <c r="F133" s="19">
        <v>62</v>
      </c>
    </row>
    <row r="134" spans="1:6" x14ac:dyDescent="0.3">
      <c r="A134" s="19" t="s">
        <v>94</v>
      </c>
      <c r="B134" s="19" t="s">
        <v>95</v>
      </c>
      <c r="C134" s="19" t="s">
        <v>36</v>
      </c>
      <c r="D134" s="19" t="s">
        <v>27</v>
      </c>
      <c r="E134" s="19">
        <v>2</v>
      </c>
      <c r="F134" s="19">
        <v>116</v>
      </c>
    </row>
    <row r="135" spans="1:6" x14ac:dyDescent="0.3">
      <c r="A135" s="19" t="s">
        <v>94</v>
      </c>
      <c r="B135" s="19" t="s">
        <v>95</v>
      </c>
      <c r="C135" s="19" t="s">
        <v>36</v>
      </c>
      <c r="D135" s="19" t="s">
        <v>29</v>
      </c>
      <c r="E135" s="19">
        <v>0</v>
      </c>
      <c r="F135" s="19">
        <v>116</v>
      </c>
    </row>
    <row r="136" spans="1:6" x14ac:dyDescent="0.3">
      <c r="A136" s="19" t="s">
        <v>94</v>
      </c>
      <c r="B136" s="19" t="s">
        <v>95</v>
      </c>
      <c r="C136" s="19" t="s">
        <v>36</v>
      </c>
      <c r="D136" s="19" t="s">
        <v>31</v>
      </c>
      <c r="E136" s="19">
        <v>3</v>
      </c>
      <c r="F136" s="19">
        <v>139</v>
      </c>
    </row>
    <row r="137" spans="1:6" x14ac:dyDescent="0.3">
      <c r="A137" s="19" t="s">
        <v>94</v>
      </c>
      <c r="B137" s="19" t="s">
        <v>95</v>
      </c>
      <c r="C137" s="19" t="s">
        <v>36</v>
      </c>
      <c r="D137" s="19" t="s">
        <v>33</v>
      </c>
      <c r="E137" s="19">
        <v>1</v>
      </c>
      <c r="F137" s="19">
        <v>120</v>
      </c>
    </row>
    <row r="138" spans="1:6" x14ac:dyDescent="0.3">
      <c r="A138" s="19" t="s">
        <v>94</v>
      </c>
      <c r="B138" s="19" t="s">
        <v>95</v>
      </c>
      <c r="C138" s="19" t="s">
        <v>36</v>
      </c>
      <c r="D138" s="19" t="s">
        <v>35</v>
      </c>
      <c r="E138" s="19">
        <v>2</v>
      </c>
      <c r="F138" s="19">
        <v>133</v>
      </c>
    </row>
    <row r="139" spans="1:6" x14ac:dyDescent="0.3">
      <c r="A139" s="19" t="s">
        <v>94</v>
      </c>
      <c r="B139" s="19" t="s">
        <v>95</v>
      </c>
      <c r="C139" s="19" t="s">
        <v>36</v>
      </c>
      <c r="D139" s="19" t="s">
        <v>37</v>
      </c>
      <c r="E139" s="19">
        <v>3</v>
      </c>
      <c r="F139" s="19">
        <v>130</v>
      </c>
    </row>
    <row r="140" spans="1:6" x14ac:dyDescent="0.3">
      <c r="A140" s="19" t="s">
        <v>94</v>
      </c>
      <c r="B140" s="19" t="s">
        <v>95</v>
      </c>
      <c r="C140" s="19" t="s">
        <v>36</v>
      </c>
      <c r="D140" s="19" t="s">
        <v>39</v>
      </c>
      <c r="E140" s="19">
        <v>2</v>
      </c>
      <c r="F140" s="19">
        <v>107</v>
      </c>
    </row>
    <row r="141" spans="1:6" x14ac:dyDescent="0.3">
      <c r="A141" s="19" t="s">
        <v>94</v>
      </c>
      <c r="B141" s="19" t="s">
        <v>95</v>
      </c>
      <c r="C141" s="19" t="s">
        <v>36</v>
      </c>
      <c r="D141" s="19" t="s">
        <v>41</v>
      </c>
      <c r="E141" s="19">
        <v>3</v>
      </c>
      <c r="F141" s="19">
        <v>126</v>
      </c>
    </row>
    <row r="142" spans="1:6" x14ac:dyDescent="0.3">
      <c r="A142" s="19" t="s">
        <v>94</v>
      </c>
      <c r="B142" s="19" t="s">
        <v>95</v>
      </c>
      <c r="C142" s="19" t="s">
        <v>36</v>
      </c>
      <c r="D142" s="19" t="s">
        <v>43</v>
      </c>
      <c r="E142" s="19">
        <v>1</v>
      </c>
      <c r="F142" s="19">
        <v>110</v>
      </c>
    </row>
    <row r="143" spans="1:6" x14ac:dyDescent="0.3">
      <c r="A143" s="19" t="s">
        <v>94</v>
      </c>
      <c r="B143" s="19" t="s">
        <v>95</v>
      </c>
      <c r="C143" s="19" t="s">
        <v>36</v>
      </c>
      <c r="D143" s="19" t="s">
        <v>45</v>
      </c>
      <c r="E143" s="19">
        <v>0</v>
      </c>
      <c r="F143" s="19">
        <v>217</v>
      </c>
    </row>
    <row r="144" spans="1:6" x14ac:dyDescent="0.3">
      <c r="A144" s="19" t="s">
        <v>94</v>
      </c>
      <c r="B144" s="19" t="s">
        <v>95</v>
      </c>
      <c r="C144" s="19" t="s">
        <v>36</v>
      </c>
      <c r="D144" s="19" t="s">
        <v>47</v>
      </c>
      <c r="E144" s="19">
        <v>2</v>
      </c>
      <c r="F144" s="19">
        <v>159</v>
      </c>
    </row>
    <row r="145" spans="1:6" x14ac:dyDescent="0.3">
      <c r="A145" s="19" t="s">
        <v>94</v>
      </c>
      <c r="B145" s="19" t="s">
        <v>95</v>
      </c>
      <c r="C145" s="19" t="s">
        <v>36</v>
      </c>
      <c r="D145" s="19" t="s">
        <v>49</v>
      </c>
      <c r="E145" s="19">
        <v>2</v>
      </c>
      <c r="F145" s="19">
        <v>131</v>
      </c>
    </row>
    <row r="146" spans="1:6" x14ac:dyDescent="0.3">
      <c r="A146" s="19" t="s">
        <v>96</v>
      </c>
      <c r="B146" s="19" t="s">
        <v>97</v>
      </c>
      <c r="C146" s="19" t="s">
        <v>36</v>
      </c>
      <c r="D146" s="19" t="s">
        <v>27</v>
      </c>
      <c r="E146" s="19">
        <v>1</v>
      </c>
      <c r="F146" s="19">
        <v>56</v>
      </c>
    </row>
    <row r="147" spans="1:6" x14ac:dyDescent="0.3">
      <c r="A147" s="19" t="s">
        <v>96</v>
      </c>
      <c r="B147" s="19" t="s">
        <v>97</v>
      </c>
      <c r="C147" s="19" t="s">
        <v>36</v>
      </c>
      <c r="D147" s="19" t="s">
        <v>29</v>
      </c>
      <c r="E147" s="19">
        <v>2</v>
      </c>
      <c r="F147" s="19">
        <v>61</v>
      </c>
    </row>
    <row r="148" spans="1:6" x14ac:dyDescent="0.3">
      <c r="A148" s="19" t="s">
        <v>96</v>
      </c>
      <c r="B148" s="19" t="s">
        <v>97</v>
      </c>
      <c r="C148" s="19" t="s">
        <v>36</v>
      </c>
      <c r="D148" s="19" t="s">
        <v>31</v>
      </c>
      <c r="E148" s="19">
        <v>1</v>
      </c>
      <c r="F148" s="19">
        <v>58</v>
      </c>
    </row>
    <row r="149" spans="1:6" x14ac:dyDescent="0.3">
      <c r="A149" s="19" t="s">
        <v>96</v>
      </c>
      <c r="B149" s="19" t="s">
        <v>97</v>
      </c>
      <c r="C149" s="19" t="s">
        <v>36</v>
      </c>
      <c r="D149" s="19" t="s">
        <v>33</v>
      </c>
      <c r="E149" s="19">
        <v>1</v>
      </c>
      <c r="F149" s="19">
        <v>54</v>
      </c>
    </row>
    <row r="150" spans="1:6" x14ac:dyDescent="0.3">
      <c r="A150" s="19" t="s">
        <v>96</v>
      </c>
      <c r="B150" s="19" t="s">
        <v>97</v>
      </c>
      <c r="C150" s="19" t="s">
        <v>36</v>
      </c>
      <c r="D150" s="19" t="s">
        <v>35</v>
      </c>
      <c r="E150" s="19">
        <v>1</v>
      </c>
      <c r="F150" s="19">
        <v>66</v>
      </c>
    </row>
    <row r="151" spans="1:6" x14ac:dyDescent="0.3">
      <c r="A151" s="19" t="s">
        <v>96</v>
      </c>
      <c r="B151" s="19" t="s">
        <v>97</v>
      </c>
      <c r="C151" s="19" t="s">
        <v>36</v>
      </c>
      <c r="D151" s="19" t="s">
        <v>37</v>
      </c>
      <c r="E151" s="19">
        <v>1</v>
      </c>
      <c r="F151" s="19">
        <v>65</v>
      </c>
    </row>
    <row r="152" spans="1:6" x14ac:dyDescent="0.3">
      <c r="A152" s="19" t="s">
        <v>96</v>
      </c>
      <c r="B152" s="19" t="s">
        <v>97</v>
      </c>
      <c r="C152" s="19" t="s">
        <v>36</v>
      </c>
      <c r="D152" s="19" t="s">
        <v>39</v>
      </c>
      <c r="E152" s="19">
        <v>0</v>
      </c>
      <c r="F152" s="19">
        <v>54</v>
      </c>
    </row>
    <row r="153" spans="1:6" x14ac:dyDescent="0.3">
      <c r="A153" s="19" t="s">
        <v>96</v>
      </c>
      <c r="B153" s="19" t="s">
        <v>97</v>
      </c>
      <c r="C153" s="19" t="s">
        <v>36</v>
      </c>
      <c r="D153" s="19" t="s">
        <v>41</v>
      </c>
      <c r="E153" s="19">
        <v>2</v>
      </c>
      <c r="F153" s="19">
        <v>52</v>
      </c>
    </row>
    <row r="154" spans="1:6" x14ac:dyDescent="0.3">
      <c r="A154" s="19" t="s">
        <v>96</v>
      </c>
      <c r="B154" s="19" t="s">
        <v>97</v>
      </c>
      <c r="C154" s="19" t="s">
        <v>36</v>
      </c>
      <c r="D154" s="19" t="s">
        <v>43</v>
      </c>
      <c r="E154" s="19">
        <v>2</v>
      </c>
      <c r="F154" s="19">
        <v>62</v>
      </c>
    </row>
    <row r="155" spans="1:6" x14ac:dyDescent="0.3">
      <c r="A155" s="19" t="s">
        <v>96</v>
      </c>
      <c r="B155" s="19" t="s">
        <v>97</v>
      </c>
      <c r="C155" s="19" t="s">
        <v>36</v>
      </c>
      <c r="D155" s="19" t="s">
        <v>45</v>
      </c>
      <c r="E155" s="19">
        <v>2</v>
      </c>
      <c r="F155" s="19">
        <v>97</v>
      </c>
    </row>
    <row r="156" spans="1:6" x14ac:dyDescent="0.3">
      <c r="A156" s="19" t="s">
        <v>96</v>
      </c>
      <c r="B156" s="19" t="s">
        <v>97</v>
      </c>
      <c r="C156" s="19" t="s">
        <v>36</v>
      </c>
      <c r="D156" s="19" t="s">
        <v>47</v>
      </c>
      <c r="E156" s="19">
        <v>2</v>
      </c>
      <c r="F156" s="19">
        <v>69</v>
      </c>
    </row>
    <row r="157" spans="1:6" x14ac:dyDescent="0.3">
      <c r="A157" s="19" t="s">
        <v>96</v>
      </c>
      <c r="B157" s="19" t="s">
        <v>97</v>
      </c>
      <c r="C157" s="19" t="s">
        <v>36</v>
      </c>
      <c r="D157" s="19" t="s">
        <v>49</v>
      </c>
      <c r="E157" s="19">
        <v>0</v>
      </c>
      <c r="F157" s="19">
        <v>61</v>
      </c>
    </row>
    <row r="158" spans="1:6" x14ac:dyDescent="0.3">
      <c r="A158" s="19" t="s">
        <v>98</v>
      </c>
      <c r="B158" s="19" t="s">
        <v>99</v>
      </c>
      <c r="C158" s="19" t="s">
        <v>36</v>
      </c>
      <c r="D158" s="19" t="s">
        <v>27</v>
      </c>
      <c r="E158" s="19">
        <v>1</v>
      </c>
      <c r="F158" s="19">
        <v>75</v>
      </c>
    </row>
    <row r="159" spans="1:6" x14ac:dyDescent="0.3">
      <c r="A159" s="19" t="s">
        <v>98</v>
      </c>
      <c r="B159" s="19" t="s">
        <v>99</v>
      </c>
      <c r="C159" s="19" t="s">
        <v>36</v>
      </c>
      <c r="D159" s="19" t="s">
        <v>29</v>
      </c>
      <c r="E159" s="19">
        <v>1</v>
      </c>
      <c r="F159" s="19">
        <v>70</v>
      </c>
    </row>
    <row r="160" spans="1:6" x14ac:dyDescent="0.3">
      <c r="A160" s="19" t="s">
        <v>98</v>
      </c>
      <c r="B160" s="19" t="s">
        <v>99</v>
      </c>
      <c r="C160" s="19" t="s">
        <v>36</v>
      </c>
      <c r="D160" s="19" t="s">
        <v>31</v>
      </c>
      <c r="E160" s="19">
        <v>1</v>
      </c>
      <c r="F160" s="19">
        <v>75</v>
      </c>
    </row>
    <row r="161" spans="1:6" x14ac:dyDescent="0.3">
      <c r="A161" s="19" t="s">
        <v>98</v>
      </c>
      <c r="B161" s="19" t="s">
        <v>99</v>
      </c>
      <c r="C161" s="19" t="s">
        <v>36</v>
      </c>
      <c r="D161" s="19" t="s">
        <v>33</v>
      </c>
      <c r="E161" s="19">
        <v>0</v>
      </c>
      <c r="F161" s="19">
        <v>71</v>
      </c>
    </row>
    <row r="162" spans="1:6" x14ac:dyDescent="0.3">
      <c r="A162" s="19" t="s">
        <v>98</v>
      </c>
      <c r="B162" s="19" t="s">
        <v>99</v>
      </c>
      <c r="C162" s="19" t="s">
        <v>36</v>
      </c>
      <c r="D162" s="19" t="s">
        <v>35</v>
      </c>
      <c r="E162" s="19">
        <v>1</v>
      </c>
      <c r="F162" s="19">
        <v>79</v>
      </c>
    </row>
    <row r="163" spans="1:6" x14ac:dyDescent="0.3">
      <c r="A163" s="19" t="s">
        <v>98</v>
      </c>
      <c r="B163" s="19" t="s">
        <v>99</v>
      </c>
      <c r="C163" s="19" t="s">
        <v>36</v>
      </c>
      <c r="D163" s="19" t="s">
        <v>37</v>
      </c>
      <c r="E163" s="19">
        <v>1</v>
      </c>
      <c r="F163" s="19">
        <v>64</v>
      </c>
    </row>
    <row r="164" spans="1:6" x14ac:dyDescent="0.3">
      <c r="A164" s="19" t="s">
        <v>98</v>
      </c>
      <c r="B164" s="19" t="s">
        <v>99</v>
      </c>
      <c r="C164" s="19" t="s">
        <v>36</v>
      </c>
      <c r="D164" s="19" t="s">
        <v>39</v>
      </c>
      <c r="E164" s="19">
        <v>1</v>
      </c>
      <c r="F164" s="19">
        <v>62</v>
      </c>
    </row>
    <row r="165" spans="1:6" x14ac:dyDescent="0.3">
      <c r="A165" s="19" t="s">
        <v>98</v>
      </c>
      <c r="B165" s="19" t="s">
        <v>99</v>
      </c>
      <c r="C165" s="19" t="s">
        <v>36</v>
      </c>
      <c r="D165" s="19" t="s">
        <v>41</v>
      </c>
      <c r="E165" s="19">
        <v>2</v>
      </c>
      <c r="F165" s="19">
        <v>59</v>
      </c>
    </row>
    <row r="166" spans="1:6" x14ac:dyDescent="0.3">
      <c r="A166" s="19" t="s">
        <v>98</v>
      </c>
      <c r="B166" s="19" t="s">
        <v>99</v>
      </c>
      <c r="C166" s="19" t="s">
        <v>36</v>
      </c>
      <c r="D166" s="19" t="s">
        <v>43</v>
      </c>
      <c r="E166" s="19">
        <v>1</v>
      </c>
      <c r="F166" s="19">
        <v>60</v>
      </c>
    </row>
    <row r="167" spans="1:6" x14ac:dyDescent="0.3">
      <c r="A167" s="19" t="s">
        <v>98</v>
      </c>
      <c r="B167" s="19" t="s">
        <v>99</v>
      </c>
      <c r="C167" s="19" t="s">
        <v>36</v>
      </c>
      <c r="D167" s="19" t="s">
        <v>45</v>
      </c>
      <c r="E167" s="19">
        <v>0</v>
      </c>
      <c r="F167" s="19">
        <v>113</v>
      </c>
    </row>
    <row r="168" spans="1:6" x14ac:dyDescent="0.3">
      <c r="A168" s="19" t="s">
        <v>98</v>
      </c>
      <c r="B168" s="19" t="s">
        <v>99</v>
      </c>
      <c r="C168" s="19" t="s">
        <v>36</v>
      </c>
      <c r="D168" s="19" t="s">
        <v>47</v>
      </c>
      <c r="E168" s="19">
        <v>0</v>
      </c>
      <c r="F168" s="19">
        <v>73</v>
      </c>
    </row>
    <row r="169" spans="1:6" x14ac:dyDescent="0.3">
      <c r="A169" s="19" t="s">
        <v>98</v>
      </c>
      <c r="B169" s="19" t="s">
        <v>99</v>
      </c>
      <c r="C169" s="19" t="s">
        <v>36</v>
      </c>
      <c r="D169" s="19" t="s">
        <v>49</v>
      </c>
      <c r="E169" s="19">
        <v>2</v>
      </c>
      <c r="F169" s="19">
        <v>60</v>
      </c>
    </row>
    <row r="170" spans="1:6" x14ac:dyDescent="0.3">
      <c r="A170" s="19" t="s">
        <v>100</v>
      </c>
      <c r="B170" s="19" t="s">
        <v>101</v>
      </c>
      <c r="C170" s="19" t="s">
        <v>42</v>
      </c>
      <c r="D170" s="19" t="s">
        <v>27</v>
      </c>
      <c r="E170" s="19">
        <v>1</v>
      </c>
      <c r="F170" s="19">
        <v>105</v>
      </c>
    </row>
    <row r="171" spans="1:6" x14ac:dyDescent="0.3">
      <c r="A171" s="19" t="s">
        <v>100</v>
      </c>
      <c r="B171" s="19" t="s">
        <v>101</v>
      </c>
      <c r="C171" s="19" t="s">
        <v>42</v>
      </c>
      <c r="D171" s="19" t="s">
        <v>29</v>
      </c>
      <c r="E171" s="19">
        <v>3</v>
      </c>
      <c r="F171" s="19">
        <v>107</v>
      </c>
    </row>
    <row r="172" spans="1:6" x14ac:dyDescent="0.3">
      <c r="A172" s="19" t="s">
        <v>100</v>
      </c>
      <c r="B172" s="19" t="s">
        <v>101</v>
      </c>
      <c r="C172" s="19" t="s">
        <v>42</v>
      </c>
      <c r="D172" s="19" t="s">
        <v>31</v>
      </c>
      <c r="E172" s="19">
        <v>1</v>
      </c>
      <c r="F172" s="19">
        <v>113</v>
      </c>
    </row>
    <row r="173" spans="1:6" x14ac:dyDescent="0.3">
      <c r="A173" s="19" t="s">
        <v>100</v>
      </c>
      <c r="B173" s="19" t="s">
        <v>101</v>
      </c>
      <c r="C173" s="19" t="s">
        <v>42</v>
      </c>
      <c r="D173" s="19" t="s">
        <v>33</v>
      </c>
      <c r="E173" s="19">
        <v>0</v>
      </c>
      <c r="F173" s="19">
        <v>112</v>
      </c>
    </row>
    <row r="174" spans="1:6" x14ac:dyDescent="0.3">
      <c r="A174" s="19" t="s">
        <v>100</v>
      </c>
      <c r="B174" s="19" t="s">
        <v>101</v>
      </c>
      <c r="C174" s="19" t="s">
        <v>42</v>
      </c>
      <c r="D174" s="19" t="s">
        <v>35</v>
      </c>
      <c r="E174" s="19">
        <v>3</v>
      </c>
      <c r="F174" s="19">
        <v>114</v>
      </c>
    </row>
    <row r="175" spans="1:6" x14ac:dyDescent="0.3">
      <c r="A175" s="19" t="s">
        <v>100</v>
      </c>
      <c r="B175" s="19" t="s">
        <v>101</v>
      </c>
      <c r="C175" s="19" t="s">
        <v>42</v>
      </c>
      <c r="D175" s="19" t="s">
        <v>37</v>
      </c>
      <c r="E175" s="19">
        <v>1</v>
      </c>
      <c r="F175" s="19">
        <v>96</v>
      </c>
    </row>
    <row r="176" spans="1:6" x14ac:dyDescent="0.3">
      <c r="A176" s="19" t="s">
        <v>100</v>
      </c>
      <c r="B176" s="19" t="s">
        <v>101</v>
      </c>
      <c r="C176" s="19" t="s">
        <v>42</v>
      </c>
      <c r="D176" s="19" t="s">
        <v>39</v>
      </c>
      <c r="E176" s="19">
        <v>4</v>
      </c>
      <c r="F176" s="19">
        <v>122</v>
      </c>
    </row>
    <row r="177" spans="1:6" x14ac:dyDescent="0.3">
      <c r="A177" s="19" t="s">
        <v>100</v>
      </c>
      <c r="B177" s="19" t="s">
        <v>101</v>
      </c>
      <c r="C177" s="19" t="s">
        <v>42</v>
      </c>
      <c r="D177" s="19" t="s">
        <v>41</v>
      </c>
      <c r="E177" s="19">
        <v>0</v>
      </c>
      <c r="F177" s="19">
        <v>105</v>
      </c>
    </row>
    <row r="178" spans="1:6" x14ac:dyDescent="0.3">
      <c r="A178" s="19" t="s">
        <v>100</v>
      </c>
      <c r="B178" s="19" t="s">
        <v>101</v>
      </c>
      <c r="C178" s="19" t="s">
        <v>42</v>
      </c>
      <c r="D178" s="19" t="s">
        <v>43</v>
      </c>
      <c r="E178" s="19">
        <v>2</v>
      </c>
      <c r="F178" s="19">
        <v>95</v>
      </c>
    </row>
    <row r="179" spans="1:6" x14ac:dyDescent="0.3">
      <c r="A179" s="19" t="s">
        <v>100</v>
      </c>
      <c r="B179" s="19" t="s">
        <v>101</v>
      </c>
      <c r="C179" s="19" t="s">
        <v>42</v>
      </c>
      <c r="D179" s="19" t="s">
        <v>45</v>
      </c>
      <c r="E179" s="19">
        <v>1</v>
      </c>
      <c r="F179" s="19">
        <v>165</v>
      </c>
    </row>
    <row r="180" spans="1:6" x14ac:dyDescent="0.3">
      <c r="A180" s="19" t="s">
        <v>100</v>
      </c>
      <c r="B180" s="19" t="s">
        <v>101</v>
      </c>
      <c r="C180" s="19" t="s">
        <v>42</v>
      </c>
      <c r="D180" s="19" t="s">
        <v>47</v>
      </c>
      <c r="E180" s="19">
        <v>3</v>
      </c>
      <c r="F180" s="19">
        <v>113</v>
      </c>
    </row>
    <row r="181" spans="1:6" x14ac:dyDescent="0.3">
      <c r="A181" s="19" t="s">
        <v>100</v>
      </c>
      <c r="B181" s="19" t="s">
        <v>101</v>
      </c>
      <c r="C181" s="19" t="s">
        <v>42</v>
      </c>
      <c r="D181" s="19" t="s">
        <v>49</v>
      </c>
      <c r="E181" s="19">
        <v>1</v>
      </c>
      <c r="F181" s="19">
        <v>116</v>
      </c>
    </row>
    <row r="182" spans="1:6" x14ac:dyDescent="0.3">
      <c r="A182" s="19" t="s">
        <v>102</v>
      </c>
      <c r="B182" s="19" t="s">
        <v>103</v>
      </c>
      <c r="C182" s="19" t="s">
        <v>42</v>
      </c>
      <c r="D182" s="19" t="s">
        <v>27</v>
      </c>
      <c r="E182" s="19">
        <v>2</v>
      </c>
      <c r="F182" s="19">
        <v>71</v>
      </c>
    </row>
    <row r="183" spans="1:6" x14ac:dyDescent="0.3">
      <c r="A183" s="19" t="s">
        <v>102</v>
      </c>
      <c r="B183" s="19" t="s">
        <v>103</v>
      </c>
      <c r="C183" s="19" t="s">
        <v>42</v>
      </c>
      <c r="D183" s="19" t="s">
        <v>29</v>
      </c>
      <c r="E183" s="19">
        <v>1</v>
      </c>
      <c r="F183" s="19">
        <v>67</v>
      </c>
    </row>
    <row r="184" spans="1:6" x14ac:dyDescent="0.3">
      <c r="A184" s="19" t="s">
        <v>102</v>
      </c>
      <c r="B184" s="19" t="s">
        <v>103</v>
      </c>
      <c r="C184" s="19" t="s">
        <v>42</v>
      </c>
      <c r="D184" s="19" t="s">
        <v>31</v>
      </c>
      <c r="E184" s="19">
        <v>1</v>
      </c>
      <c r="F184" s="19">
        <v>78</v>
      </c>
    </row>
    <row r="185" spans="1:6" x14ac:dyDescent="0.3">
      <c r="A185" s="19" t="s">
        <v>102</v>
      </c>
      <c r="B185" s="19" t="s">
        <v>103</v>
      </c>
      <c r="C185" s="19" t="s">
        <v>42</v>
      </c>
      <c r="D185" s="19" t="s">
        <v>33</v>
      </c>
      <c r="E185" s="19">
        <v>1</v>
      </c>
      <c r="F185" s="19">
        <v>68</v>
      </c>
    </row>
    <row r="186" spans="1:6" x14ac:dyDescent="0.3">
      <c r="A186" s="19" t="s">
        <v>102</v>
      </c>
      <c r="B186" s="19" t="s">
        <v>103</v>
      </c>
      <c r="C186" s="19" t="s">
        <v>42</v>
      </c>
      <c r="D186" s="19" t="s">
        <v>35</v>
      </c>
      <c r="E186" s="19">
        <v>1</v>
      </c>
      <c r="F186" s="19">
        <v>65</v>
      </c>
    </row>
    <row r="187" spans="1:6" x14ac:dyDescent="0.3">
      <c r="A187" s="19" t="s">
        <v>102</v>
      </c>
      <c r="B187" s="19" t="s">
        <v>103</v>
      </c>
      <c r="C187" s="19" t="s">
        <v>42</v>
      </c>
      <c r="D187" s="19" t="s">
        <v>37</v>
      </c>
      <c r="E187" s="19">
        <v>2</v>
      </c>
      <c r="F187" s="19">
        <v>66</v>
      </c>
    </row>
    <row r="188" spans="1:6" x14ac:dyDescent="0.3">
      <c r="A188" s="19" t="s">
        <v>102</v>
      </c>
      <c r="B188" s="19" t="s">
        <v>103</v>
      </c>
      <c r="C188" s="19" t="s">
        <v>42</v>
      </c>
      <c r="D188" s="19" t="s">
        <v>39</v>
      </c>
      <c r="E188" s="19">
        <v>2</v>
      </c>
      <c r="F188" s="19">
        <v>74</v>
      </c>
    </row>
    <row r="189" spans="1:6" x14ac:dyDescent="0.3">
      <c r="A189" s="19" t="s">
        <v>102</v>
      </c>
      <c r="B189" s="19" t="s">
        <v>103</v>
      </c>
      <c r="C189" s="19" t="s">
        <v>42</v>
      </c>
      <c r="D189" s="19" t="s">
        <v>41</v>
      </c>
      <c r="E189" s="19">
        <v>2</v>
      </c>
      <c r="F189" s="19">
        <v>68</v>
      </c>
    </row>
    <row r="190" spans="1:6" x14ac:dyDescent="0.3">
      <c r="A190" s="19" t="s">
        <v>102</v>
      </c>
      <c r="B190" s="19" t="s">
        <v>103</v>
      </c>
      <c r="C190" s="19" t="s">
        <v>42</v>
      </c>
      <c r="D190" s="19" t="s">
        <v>43</v>
      </c>
      <c r="E190" s="19">
        <v>1</v>
      </c>
      <c r="F190" s="19">
        <v>74</v>
      </c>
    </row>
    <row r="191" spans="1:6" x14ac:dyDescent="0.3">
      <c r="A191" s="19" t="s">
        <v>102</v>
      </c>
      <c r="B191" s="19" t="s">
        <v>103</v>
      </c>
      <c r="C191" s="19" t="s">
        <v>42</v>
      </c>
      <c r="D191" s="19" t="s">
        <v>45</v>
      </c>
      <c r="E191" s="19">
        <v>2</v>
      </c>
      <c r="F191" s="19">
        <v>129</v>
      </c>
    </row>
    <row r="192" spans="1:6" x14ac:dyDescent="0.3">
      <c r="A192" s="19" t="s">
        <v>102</v>
      </c>
      <c r="B192" s="19" t="s">
        <v>103</v>
      </c>
      <c r="C192" s="19" t="s">
        <v>42</v>
      </c>
      <c r="D192" s="19" t="s">
        <v>47</v>
      </c>
      <c r="E192" s="19">
        <v>2</v>
      </c>
      <c r="F192" s="19">
        <v>93</v>
      </c>
    </row>
    <row r="193" spans="1:6" x14ac:dyDescent="0.3">
      <c r="A193" s="19" t="s">
        <v>102</v>
      </c>
      <c r="B193" s="19" t="s">
        <v>103</v>
      </c>
      <c r="C193" s="19" t="s">
        <v>42</v>
      </c>
      <c r="D193" s="19" t="s">
        <v>49</v>
      </c>
      <c r="E193" s="19">
        <v>2</v>
      </c>
      <c r="F193" s="19">
        <v>85</v>
      </c>
    </row>
    <row r="194" spans="1:6" x14ac:dyDescent="0.3">
      <c r="A194" s="19" t="s">
        <v>104</v>
      </c>
      <c r="B194" s="19" t="s">
        <v>105</v>
      </c>
      <c r="C194" s="19" t="s">
        <v>42</v>
      </c>
      <c r="D194" s="19" t="s">
        <v>27</v>
      </c>
      <c r="E194" s="19">
        <v>3</v>
      </c>
      <c r="F194" s="19">
        <v>99</v>
      </c>
    </row>
    <row r="195" spans="1:6" x14ac:dyDescent="0.3">
      <c r="A195" s="19" t="s">
        <v>104</v>
      </c>
      <c r="B195" s="19" t="s">
        <v>105</v>
      </c>
      <c r="C195" s="19" t="s">
        <v>42</v>
      </c>
      <c r="D195" s="19" t="s">
        <v>29</v>
      </c>
      <c r="E195" s="19">
        <v>3</v>
      </c>
      <c r="F195" s="19">
        <v>105</v>
      </c>
    </row>
    <row r="196" spans="1:6" x14ac:dyDescent="0.3">
      <c r="A196" s="19" t="s">
        <v>104</v>
      </c>
      <c r="B196" s="19" t="s">
        <v>105</v>
      </c>
      <c r="C196" s="19" t="s">
        <v>42</v>
      </c>
      <c r="D196" s="19" t="s">
        <v>31</v>
      </c>
      <c r="E196" s="19">
        <v>3</v>
      </c>
      <c r="F196" s="19">
        <v>90</v>
      </c>
    </row>
    <row r="197" spans="1:6" x14ac:dyDescent="0.3">
      <c r="A197" s="19" t="s">
        <v>104</v>
      </c>
      <c r="B197" s="19" t="s">
        <v>105</v>
      </c>
      <c r="C197" s="19" t="s">
        <v>42</v>
      </c>
      <c r="D197" s="19" t="s">
        <v>33</v>
      </c>
      <c r="E197" s="19">
        <v>2</v>
      </c>
      <c r="F197" s="19">
        <v>89</v>
      </c>
    </row>
    <row r="198" spans="1:6" x14ac:dyDescent="0.3">
      <c r="A198" s="19" t="s">
        <v>104</v>
      </c>
      <c r="B198" s="19" t="s">
        <v>105</v>
      </c>
      <c r="C198" s="19" t="s">
        <v>42</v>
      </c>
      <c r="D198" s="19" t="s">
        <v>35</v>
      </c>
      <c r="E198" s="19">
        <v>3</v>
      </c>
      <c r="F198" s="19">
        <v>82</v>
      </c>
    </row>
    <row r="199" spans="1:6" x14ac:dyDescent="0.3">
      <c r="A199" s="19" t="s">
        <v>104</v>
      </c>
      <c r="B199" s="19" t="s">
        <v>105</v>
      </c>
      <c r="C199" s="19" t="s">
        <v>42</v>
      </c>
      <c r="D199" s="19" t="s">
        <v>37</v>
      </c>
      <c r="E199" s="19">
        <v>0</v>
      </c>
      <c r="F199" s="19">
        <v>87</v>
      </c>
    </row>
    <row r="200" spans="1:6" x14ac:dyDescent="0.3">
      <c r="A200" s="19" t="s">
        <v>104</v>
      </c>
      <c r="B200" s="19" t="s">
        <v>105</v>
      </c>
      <c r="C200" s="19" t="s">
        <v>42</v>
      </c>
      <c r="D200" s="19" t="s">
        <v>39</v>
      </c>
      <c r="E200" s="19">
        <v>2</v>
      </c>
      <c r="F200" s="19">
        <v>103</v>
      </c>
    </row>
    <row r="201" spans="1:6" x14ac:dyDescent="0.3">
      <c r="A201" s="19" t="s">
        <v>104</v>
      </c>
      <c r="B201" s="19" t="s">
        <v>105</v>
      </c>
      <c r="C201" s="19" t="s">
        <v>42</v>
      </c>
      <c r="D201" s="19" t="s">
        <v>41</v>
      </c>
      <c r="E201" s="19">
        <v>1</v>
      </c>
      <c r="F201" s="19">
        <v>105</v>
      </c>
    </row>
    <row r="202" spans="1:6" x14ac:dyDescent="0.3">
      <c r="A202" s="19" t="s">
        <v>104</v>
      </c>
      <c r="B202" s="19" t="s">
        <v>105</v>
      </c>
      <c r="C202" s="19" t="s">
        <v>42</v>
      </c>
      <c r="D202" s="19" t="s">
        <v>43</v>
      </c>
      <c r="E202" s="19">
        <v>1</v>
      </c>
      <c r="F202" s="19">
        <v>95</v>
      </c>
    </row>
    <row r="203" spans="1:6" x14ac:dyDescent="0.3">
      <c r="A203" s="19" t="s">
        <v>104</v>
      </c>
      <c r="B203" s="19" t="s">
        <v>105</v>
      </c>
      <c r="C203" s="19" t="s">
        <v>42</v>
      </c>
      <c r="D203" s="19" t="s">
        <v>45</v>
      </c>
      <c r="E203" s="19">
        <v>3</v>
      </c>
      <c r="F203" s="19">
        <v>155</v>
      </c>
    </row>
    <row r="204" spans="1:6" x14ac:dyDescent="0.3">
      <c r="A204" s="19" t="s">
        <v>104</v>
      </c>
      <c r="B204" s="19" t="s">
        <v>105</v>
      </c>
      <c r="C204" s="19" t="s">
        <v>42</v>
      </c>
      <c r="D204" s="19" t="s">
        <v>47</v>
      </c>
      <c r="E204" s="19">
        <v>2</v>
      </c>
      <c r="F204" s="19">
        <v>118</v>
      </c>
    </row>
    <row r="205" spans="1:6" x14ac:dyDescent="0.3">
      <c r="A205" s="19" t="s">
        <v>104</v>
      </c>
      <c r="B205" s="19" t="s">
        <v>105</v>
      </c>
      <c r="C205" s="19" t="s">
        <v>42</v>
      </c>
      <c r="D205" s="19" t="s">
        <v>49</v>
      </c>
      <c r="E205" s="19">
        <v>1</v>
      </c>
      <c r="F205" s="19">
        <v>85</v>
      </c>
    </row>
    <row r="206" spans="1:6" x14ac:dyDescent="0.3">
      <c r="A206" s="19" t="s">
        <v>106</v>
      </c>
      <c r="B206" s="19" t="s">
        <v>107</v>
      </c>
      <c r="C206" s="19" t="s">
        <v>34</v>
      </c>
      <c r="D206" s="19" t="s">
        <v>27</v>
      </c>
      <c r="E206" s="19">
        <v>1</v>
      </c>
      <c r="F206" s="19">
        <v>113</v>
      </c>
    </row>
    <row r="207" spans="1:6" x14ac:dyDescent="0.3">
      <c r="A207" s="19" t="s">
        <v>106</v>
      </c>
      <c r="B207" s="19" t="s">
        <v>107</v>
      </c>
      <c r="C207" s="19" t="s">
        <v>34</v>
      </c>
      <c r="D207" s="19" t="s">
        <v>29</v>
      </c>
      <c r="E207" s="19">
        <v>0</v>
      </c>
      <c r="F207" s="19">
        <v>99</v>
      </c>
    </row>
    <row r="208" spans="1:6" x14ac:dyDescent="0.3">
      <c r="A208" s="19" t="s">
        <v>106</v>
      </c>
      <c r="B208" s="19" t="s">
        <v>107</v>
      </c>
      <c r="C208" s="19" t="s">
        <v>34</v>
      </c>
      <c r="D208" s="19" t="s">
        <v>31</v>
      </c>
      <c r="E208" s="19">
        <v>1</v>
      </c>
      <c r="F208" s="19">
        <v>101</v>
      </c>
    </row>
    <row r="209" spans="1:6" x14ac:dyDescent="0.3">
      <c r="A209" s="19" t="s">
        <v>106</v>
      </c>
      <c r="B209" s="19" t="s">
        <v>107</v>
      </c>
      <c r="C209" s="19" t="s">
        <v>34</v>
      </c>
      <c r="D209" s="19" t="s">
        <v>33</v>
      </c>
      <c r="E209" s="19">
        <v>2</v>
      </c>
      <c r="F209" s="19">
        <v>111</v>
      </c>
    </row>
    <row r="210" spans="1:6" x14ac:dyDescent="0.3">
      <c r="A210" s="19" t="s">
        <v>106</v>
      </c>
      <c r="B210" s="19" t="s">
        <v>107</v>
      </c>
      <c r="C210" s="19" t="s">
        <v>34</v>
      </c>
      <c r="D210" s="19" t="s">
        <v>35</v>
      </c>
      <c r="E210" s="19">
        <v>2</v>
      </c>
      <c r="F210" s="19">
        <v>101</v>
      </c>
    </row>
    <row r="211" spans="1:6" x14ac:dyDescent="0.3">
      <c r="A211" s="19" t="s">
        <v>106</v>
      </c>
      <c r="B211" s="19" t="s">
        <v>107</v>
      </c>
      <c r="C211" s="19" t="s">
        <v>34</v>
      </c>
      <c r="D211" s="19" t="s">
        <v>37</v>
      </c>
      <c r="E211" s="19">
        <v>2</v>
      </c>
      <c r="F211" s="19">
        <v>97</v>
      </c>
    </row>
    <row r="212" spans="1:6" x14ac:dyDescent="0.3">
      <c r="A212" s="19" t="s">
        <v>106</v>
      </c>
      <c r="B212" s="19" t="s">
        <v>107</v>
      </c>
      <c r="C212" s="19" t="s">
        <v>34</v>
      </c>
      <c r="D212" s="19" t="s">
        <v>39</v>
      </c>
      <c r="E212" s="19">
        <v>2</v>
      </c>
      <c r="F212" s="19">
        <v>118</v>
      </c>
    </row>
    <row r="213" spans="1:6" x14ac:dyDescent="0.3">
      <c r="A213" s="19" t="s">
        <v>106</v>
      </c>
      <c r="B213" s="19" t="s">
        <v>107</v>
      </c>
      <c r="C213" s="19" t="s">
        <v>34</v>
      </c>
      <c r="D213" s="19" t="s">
        <v>41</v>
      </c>
      <c r="E213" s="19">
        <v>1</v>
      </c>
      <c r="F213" s="19">
        <v>92</v>
      </c>
    </row>
    <row r="214" spans="1:6" x14ac:dyDescent="0.3">
      <c r="A214" s="19" t="s">
        <v>106</v>
      </c>
      <c r="B214" s="19" t="s">
        <v>107</v>
      </c>
      <c r="C214" s="19" t="s">
        <v>34</v>
      </c>
      <c r="D214" s="19" t="s">
        <v>43</v>
      </c>
      <c r="E214" s="19">
        <v>1</v>
      </c>
      <c r="F214" s="19">
        <v>120</v>
      </c>
    </row>
    <row r="215" spans="1:6" x14ac:dyDescent="0.3">
      <c r="A215" s="19" t="s">
        <v>106</v>
      </c>
      <c r="B215" s="19" t="s">
        <v>107</v>
      </c>
      <c r="C215" s="19" t="s">
        <v>34</v>
      </c>
      <c r="D215" s="19" t="s">
        <v>45</v>
      </c>
      <c r="E215" s="19">
        <v>3</v>
      </c>
      <c r="F215" s="19">
        <v>193</v>
      </c>
    </row>
    <row r="216" spans="1:6" x14ac:dyDescent="0.3">
      <c r="A216" s="19" t="s">
        <v>106</v>
      </c>
      <c r="B216" s="19" t="s">
        <v>107</v>
      </c>
      <c r="C216" s="19" t="s">
        <v>34</v>
      </c>
      <c r="D216" s="19" t="s">
        <v>47</v>
      </c>
      <c r="E216" s="19">
        <v>0</v>
      </c>
      <c r="F216" s="19">
        <v>116</v>
      </c>
    </row>
    <row r="217" spans="1:6" x14ac:dyDescent="0.3">
      <c r="A217" s="19" t="s">
        <v>106</v>
      </c>
      <c r="B217" s="19" t="s">
        <v>107</v>
      </c>
      <c r="C217" s="19" t="s">
        <v>34</v>
      </c>
      <c r="D217" s="19" t="s">
        <v>49</v>
      </c>
      <c r="E217" s="19">
        <v>3</v>
      </c>
      <c r="F217" s="19">
        <v>115</v>
      </c>
    </row>
    <row r="218" spans="1:6" x14ac:dyDescent="0.3">
      <c r="A218" s="19" t="s">
        <v>108</v>
      </c>
      <c r="B218" s="19" t="s">
        <v>109</v>
      </c>
      <c r="C218" s="19" t="s">
        <v>34</v>
      </c>
      <c r="D218" s="19" t="s">
        <v>27</v>
      </c>
      <c r="E218" s="19">
        <v>1</v>
      </c>
      <c r="F218" s="19">
        <v>140</v>
      </c>
    </row>
    <row r="219" spans="1:6" x14ac:dyDescent="0.3">
      <c r="A219" s="19" t="s">
        <v>108</v>
      </c>
      <c r="B219" s="19" t="s">
        <v>109</v>
      </c>
      <c r="C219" s="19" t="s">
        <v>34</v>
      </c>
      <c r="D219" s="19" t="s">
        <v>29</v>
      </c>
      <c r="E219" s="19">
        <v>1</v>
      </c>
      <c r="F219" s="19">
        <v>139</v>
      </c>
    </row>
    <row r="220" spans="1:6" x14ac:dyDescent="0.3">
      <c r="A220" s="19" t="s">
        <v>108</v>
      </c>
      <c r="B220" s="19" t="s">
        <v>109</v>
      </c>
      <c r="C220" s="19" t="s">
        <v>34</v>
      </c>
      <c r="D220" s="19" t="s">
        <v>31</v>
      </c>
      <c r="E220" s="19">
        <v>1</v>
      </c>
      <c r="F220" s="19">
        <v>137</v>
      </c>
    </row>
    <row r="221" spans="1:6" x14ac:dyDescent="0.3">
      <c r="A221" s="19" t="s">
        <v>108</v>
      </c>
      <c r="B221" s="19" t="s">
        <v>109</v>
      </c>
      <c r="C221" s="19" t="s">
        <v>34</v>
      </c>
      <c r="D221" s="19" t="s">
        <v>33</v>
      </c>
      <c r="E221" s="19">
        <v>3</v>
      </c>
      <c r="F221" s="19">
        <v>112</v>
      </c>
    </row>
    <row r="222" spans="1:6" x14ac:dyDescent="0.3">
      <c r="A222" s="19" t="s">
        <v>108</v>
      </c>
      <c r="B222" s="19" t="s">
        <v>109</v>
      </c>
      <c r="C222" s="19" t="s">
        <v>34</v>
      </c>
      <c r="D222" s="19" t="s">
        <v>35</v>
      </c>
      <c r="E222" s="19">
        <v>3</v>
      </c>
      <c r="F222" s="19">
        <v>109</v>
      </c>
    </row>
    <row r="223" spans="1:6" x14ac:dyDescent="0.3">
      <c r="A223" s="19" t="s">
        <v>108</v>
      </c>
      <c r="B223" s="19" t="s">
        <v>109</v>
      </c>
      <c r="C223" s="19" t="s">
        <v>34</v>
      </c>
      <c r="D223" s="19" t="s">
        <v>37</v>
      </c>
      <c r="E223" s="19">
        <v>3</v>
      </c>
      <c r="F223" s="19">
        <v>120</v>
      </c>
    </row>
    <row r="224" spans="1:6" x14ac:dyDescent="0.3">
      <c r="A224" s="19" t="s">
        <v>108</v>
      </c>
      <c r="B224" s="19" t="s">
        <v>109</v>
      </c>
      <c r="C224" s="19" t="s">
        <v>34</v>
      </c>
      <c r="D224" s="19" t="s">
        <v>39</v>
      </c>
      <c r="E224" s="19">
        <v>1</v>
      </c>
      <c r="F224" s="19">
        <v>141</v>
      </c>
    </row>
    <row r="225" spans="1:6" x14ac:dyDescent="0.3">
      <c r="A225" s="19" t="s">
        <v>108</v>
      </c>
      <c r="B225" s="19" t="s">
        <v>109</v>
      </c>
      <c r="C225" s="19" t="s">
        <v>34</v>
      </c>
      <c r="D225" s="19" t="s">
        <v>41</v>
      </c>
      <c r="E225" s="19">
        <v>4</v>
      </c>
      <c r="F225" s="19">
        <v>114</v>
      </c>
    </row>
    <row r="226" spans="1:6" x14ac:dyDescent="0.3">
      <c r="A226" s="19" t="s">
        <v>108</v>
      </c>
      <c r="B226" s="19" t="s">
        <v>109</v>
      </c>
      <c r="C226" s="19" t="s">
        <v>34</v>
      </c>
      <c r="D226" s="19" t="s">
        <v>43</v>
      </c>
      <c r="E226" s="19">
        <v>2</v>
      </c>
      <c r="F226" s="19">
        <v>119</v>
      </c>
    </row>
    <row r="227" spans="1:6" x14ac:dyDescent="0.3">
      <c r="A227" s="19" t="s">
        <v>108</v>
      </c>
      <c r="B227" s="19" t="s">
        <v>109</v>
      </c>
      <c r="C227" s="19" t="s">
        <v>34</v>
      </c>
      <c r="D227" s="19" t="s">
        <v>45</v>
      </c>
      <c r="E227" s="19">
        <v>4</v>
      </c>
      <c r="F227" s="19">
        <v>177</v>
      </c>
    </row>
    <row r="228" spans="1:6" x14ac:dyDescent="0.3">
      <c r="A228" s="19" t="s">
        <v>108</v>
      </c>
      <c r="B228" s="19" t="s">
        <v>109</v>
      </c>
      <c r="C228" s="19" t="s">
        <v>34</v>
      </c>
      <c r="D228" s="19" t="s">
        <v>47</v>
      </c>
      <c r="E228" s="19">
        <v>3</v>
      </c>
      <c r="F228" s="19">
        <v>154</v>
      </c>
    </row>
    <row r="229" spans="1:6" x14ac:dyDescent="0.3">
      <c r="A229" s="19" t="s">
        <v>108</v>
      </c>
      <c r="B229" s="19" t="s">
        <v>109</v>
      </c>
      <c r="C229" s="19" t="s">
        <v>34</v>
      </c>
      <c r="D229" s="19" t="s">
        <v>49</v>
      </c>
      <c r="E229" s="19">
        <v>0</v>
      </c>
      <c r="F229" s="19">
        <v>111</v>
      </c>
    </row>
    <row r="230" spans="1:6" x14ac:dyDescent="0.3">
      <c r="A230" s="19" t="s">
        <v>110</v>
      </c>
      <c r="B230" s="19" t="s">
        <v>111</v>
      </c>
      <c r="C230" s="19" t="s">
        <v>34</v>
      </c>
      <c r="D230" s="19" t="s">
        <v>27</v>
      </c>
      <c r="E230" s="19">
        <v>2</v>
      </c>
      <c r="F230" s="19">
        <v>80</v>
      </c>
    </row>
    <row r="231" spans="1:6" x14ac:dyDescent="0.3">
      <c r="A231" s="19" t="s">
        <v>110</v>
      </c>
      <c r="B231" s="19" t="s">
        <v>111</v>
      </c>
      <c r="C231" s="19" t="s">
        <v>34</v>
      </c>
      <c r="D231" s="19" t="s">
        <v>29</v>
      </c>
      <c r="E231" s="19">
        <v>1</v>
      </c>
      <c r="F231" s="19">
        <v>82</v>
      </c>
    </row>
    <row r="232" spans="1:6" x14ac:dyDescent="0.3">
      <c r="A232" s="19" t="s">
        <v>110</v>
      </c>
      <c r="B232" s="19" t="s">
        <v>111</v>
      </c>
      <c r="C232" s="19" t="s">
        <v>34</v>
      </c>
      <c r="D232" s="19" t="s">
        <v>31</v>
      </c>
      <c r="E232" s="19">
        <v>1</v>
      </c>
      <c r="F232" s="19">
        <v>86</v>
      </c>
    </row>
    <row r="233" spans="1:6" x14ac:dyDescent="0.3">
      <c r="A233" s="19" t="s">
        <v>110</v>
      </c>
      <c r="B233" s="19" t="s">
        <v>111</v>
      </c>
      <c r="C233" s="19" t="s">
        <v>34</v>
      </c>
      <c r="D233" s="19" t="s">
        <v>33</v>
      </c>
      <c r="E233" s="19">
        <v>0</v>
      </c>
      <c r="F233" s="19">
        <v>88</v>
      </c>
    </row>
    <row r="234" spans="1:6" x14ac:dyDescent="0.3">
      <c r="A234" s="19" t="s">
        <v>110</v>
      </c>
      <c r="B234" s="19" t="s">
        <v>111</v>
      </c>
      <c r="C234" s="19" t="s">
        <v>34</v>
      </c>
      <c r="D234" s="19" t="s">
        <v>35</v>
      </c>
      <c r="E234" s="19">
        <v>1</v>
      </c>
      <c r="F234" s="19">
        <v>71</v>
      </c>
    </row>
    <row r="235" spans="1:6" x14ac:dyDescent="0.3">
      <c r="A235" s="19" t="s">
        <v>110</v>
      </c>
      <c r="B235" s="19" t="s">
        <v>111</v>
      </c>
      <c r="C235" s="19" t="s">
        <v>34</v>
      </c>
      <c r="D235" s="19" t="s">
        <v>37</v>
      </c>
      <c r="E235" s="19">
        <v>3</v>
      </c>
      <c r="F235" s="19">
        <v>84</v>
      </c>
    </row>
    <row r="236" spans="1:6" x14ac:dyDescent="0.3">
      <c r="A236" s="19" t="s">
        <v>110</v>
      </c>
      <c r="B236" s="19" t="s">
        <v>111</v>
      </c>
      <c r="C236" s="19" t="s">
        <v>34</v>
      </c>
      <c r="D236" s="19" t="s">
        <v>39</v>
      </c>
      <c r="E236" s="19">
        <v>2</v>
      </c>
      <c r="F236" s="19">
        <v>88</v>
      </c>
    </row>
    <row r="237" spans="1:6" x14ac:dyDescent="0.3">
      <c r="A237" s="19" t="s">
        <v>110</v>
      </c>
      <c r="B237" s="19" t="s">
        <v>111</v>
      </c>
      <c r="C237" s="19" t="s">
        <v>34</v>
      </c>
      <c r="D237" s="19" t="s">
        <v>41</v>
      </c>
      <c r="E237" s="19">
        <v>2</v>
      </c>
      <c r="F237" s="19">
        <v>93</v>
      </c>
    </row>
    <row r="238" spans="1:6" x14ac:dyDescent="0.3">
      <c r="A238" s="19" t="s">
        <v>110</v>
      </c>
      <c r="B238" s="19" t="s">
        <v>111</v>
      </c>
      <c r="C238" s="19" t="s">
        <v>34</v>
      </c>
      <c r="D238" s="19" t="s">
        <v>43</v>
      </c>
      <c r="E238" s="19">
        <v>1</v>
      </c>
      <c r="F238" s="19">
        <v>94</v>
      </c>
    </row>
    <row r="239" spans="1:6" x14ac:dyDescent="0.3">
      <c r="A239" s="19" t="s">
        <v>110</v>
      </c>
      <c r="B239" s="19" t="s">
        <v>111</v>
      </c>
      <c r="C239" s="19" t="s">
        <v>34</v>
      </c>
      <c r="D239" s="19" t="s">
        <v>45</v>
      </c>
      <c r="E239" s="19">
        <v>4</v>
      </c>
      <c r="F239" s="19">
        <v>131</v>
      </c>
    </row>
    <row r="240" spans="1:6" x14ac:dyDescent="0.3">
      <c r="A240" s="19" t="s">
        <v>110</v>
      </c>
      <c r="B240" s="19" t="s">
        <v>111</v>
      </c>
      <c r="C240" s="19" t="s">
        <v>34</v>
      </c>
      <c r="D240" s="19" t="s">
        <v>47</v>
      </c>
      <c r="E240" s="19">
        <v>0</v>
      </c>
      <c r="F240" s="19">
        <v>92</v>
      </c>
    </row>
    <row r="241" spans="1:6" x14ac:dyDescent="0.3">
      <c r="A241" s="19" t="s">
        <v>110</v>
      </c>
      <c r="B241" s="19" t="s">
        <v>111</v>
      </c>
      <c r="C241" s="19" t="s">
        <v>34</v>
      </c>
      <c r="D241" s="19" t="s">
        <v>49</v>
      </c>
      <c r="E241" s="19">
        <v>2</v>
      </c>
      <c r="F241" s="19">
        <v>77</v>
      </c>
    </row>
    <row r="242" spans="1:6" x14ac:dyDescent="0.3">
      <c r="A242" s="19" t="s">
        <v>112</v>
      </c>
      <c r="B242" s="19" t="s">
        <v>113</v>
      </c>
      <c r="C242" s="19" t="s">
        <v>34</v>
      </c>
      <c r="D242" s="19" t="s">
        <v>27</v>
      </c>
      <c r="E242" s="19">
        <v>2</v>
      </c>
      <c r="F242" s="19">
        <v>88</v>
      </c>
    </row>
    <row r="243" spans="1:6" x14ac:dyDescent="0.3">
      <c r="A243" s="19" t="s">
        <v>112</v>
      </c>
      <c r="B243" s="19" t="s">
        <v>113</v>
      </c>
      <c r="C243" s="19" t="s">
        <v>34</v>
      </c>
      <c r="D243" s="19" t="s">
        <v>29</v>
      </c>
      <c r="E243" s="19">
        <v>1</v>
      </c>
      <c r="F243" s="19">
        <v>84</v>
      </c>
    </row>
    <row r="244" spans="1:6" x14ac:dyDescent="0.3">
      <c r="A244" s="19" t="s">
        <v>112</v>
      </c>
      <c r="B244" s="19" t="s">
        <v>113</v>
      </c>
      <c r="C244" s="19" t="s">
        <v>34</v>
      </c>
      <c r="D244" s="19" t="s">
        <v>31</v>
      </c>
      <c r="E244" s="19">
        <v>2</v>
      </c>
      <c r="F244" s="19">
        <v>79</v>
      </c>
    </row>
    <row r="245" spans="1:6" x14ac:dyDescent="0.3">
      <c r="A245" s="19" t="s">
        <v>112</v>
      </c>
      <c r="B245" s="19" t="s">
        <v>113</v>
      </c>
      <c r="C245" s="19" t="s">
        <v>34</v>
      </c>
      <c r="D245" s="19" t="s">
        <v>33</v>
      </c>
      <c r="E245" s="19">
        <v>3</v>
      </c>
      <c r="F245" s="19">
        <v>84</v>
      </c>
    </row>
    <row r="246" spans="1:6" x14ac:dyDescent="0.3">
      <c r="A246" s="19" t="s">
        <v>112</v>
      </c>
      <c r="B246" s="19" t="s">
        <v>113</v>
      </c>
      <c r="C246" s="19" t="s">
        <v>34</v>
      </c>
      <c r="D246" s="19" t="s">
        <v>35</v>
      </c>
      <c r="E246" s="19">
        <v>0</v>
      </c>
      <c r="F246" s="19">
        <v>88</v>
      </c>
    </row>
    <row r="247" spans="1:6" x14ac:dyDescent="0.3">
      <c r="A247" s="19" t="s">
        <v>112</v>
      </c>
      <c r="B247" s="19" t="s">
        <v>113</v>
      </c>
      <c r="C247" s="19" t="s">
        <v>34</v>
      </c>
      <c r="D247" s="19" t="s">
        <v>37</v>
      </c>
      <c r="E247" s="19">
        <v>2</v>
      </c>
      <c r="F247" s="19">
        <v>85</v>
      </c>
    </row>
    <row r="248" spans="1:6" x14ac:dyDescent="0.3">
      <c r="A248" s="19" t="s">
        <v>112</v>
      </c>
      <c r="B248" s="19" t="s">
        <v>113</v>
      </c>
      <c r="C248" s="19" t="s">
        <v>34</v>
      </c>
      <c r="D248" s="19" t="s">
        <v>39</v>
      </c>
      <c r="E248" s="19">
        <v>0</v>
      </c>
      <c r="F248" s="19">
        <v>79</v>
      </c>
    </row>
    <row r="249" spans="1:6" x14ac:dyDescent="0.3">
      <c r="A249" s="19" t="s">
        <v>112</v>
      </c>
      <c r="B249" s="19" t="s">
        <v>113</v>
      </c>
      <c r="C249" s="19" t="s">
        <v>34</v>
      </c>
      <c r="D249" s="19" t="s">
        <v>41</v>
      </c>
      <c r="E249" s="19">
        <v>1</v>
      </c>
      <c r="F249" s="19">
        <v>75</v>
      </c>
    </row>
    <row r="250" spans="1:6" x14ac:dyDescent="0.3">
      <c r="A250" s="19" t="s">
        <v>112</v>
      </c>
      <c r="B250" s="19" t="s">
        <v>113</v>
      </c>
      <c r="C250" s="19" t="s">
        <v>34</v>
      </c>
      <c r="D250" s="19" t="s">
        <v>43</v>
      </c>
      <c r="E250" s="19">
        <v>1</v>
      </c>
      <c r="F250" s="19">
        <v>74</v>
      </c>
    </row>
    <row r="251" spans="1:6" x14ac:dyDescent="0.3">
      <c r="A251" s="19" t="s">
        <v>112</v>
      </c>
      <c r="B251" s="19" t="s">
        <v>113</v>
      </c>
      <c r="C251" s="19" t="s">
        <v>34</v>
      </c>
      <c r="D251" s="19" t="s">
        <v>45</v>
      </c>
      <c r="E251" s="19">
        <v>3</v>
      </c>
      <c r="F251" s="19">
        <v>127</v>
      </c>
    </row>
    <row r="252" spans="1:6" x14ac:dyDescent="0.3">
      <c r="A252" s="19" t="s">
        <v>112</v>
      </c>
      <c r="B252" s="19" t="s">
        <v>113</v>
      </c>
      <c r="C252" s="19" t="s">
        <v>34</v>
      </c>
      <c r="D252" s="19" t="s">
        <v>47</v>
      </c>
      <c r="E252" s="19">
        <v>3</v>
      </c>
      <c r="F252" s="19">
        <v>83</v>
      </c>
    </row>
    <row r="253" spans="1:6" x14ac:dyDescent="0.3">
      <c r="A253" s="19" t="s">
        <v>112</v>
      </c>
      <c r="B253" s="19" t="s">
        <v>113</v>
      </c>
      <c r="C253" s="19" t="s">
        <v>34</v>
      </c>
      <c r="D253" s="19" t="s">
        <v>49</v>
      </c>
      <c r="E253" s="19">
        <v>2</v>
      </c>
      <c r="F253" s="19">
        <v>85</v>
      </c>
    </row>
    <row r="254" spans="1:6" x14ac:dyDescent="0.3">
      <c r="A254" s="19" t="s">
        <v>114</v>
      </c>
      <c r="B254" s="19" t="s">
        <v>115</v>
      </c>
      <c r="C254" s="19" t="s">
        <v>34</v>
      </c>
      <c r="D254" s="19" t="s">
        <v>27</v>
      </c>
      <c r="E254" s="19">
        <v>1</v>
      </c>
      <c r="F254" s="19">
        <v>56</v>
      </c>
    </row>
    <row r="255" spans="1:6" x14ac:dyDescent="0.3">
      <c r="A255" s="19" t="s">
        <v>114</v>
      </c>
      <c r="B255" s="19" t="s">
        <v>115</v>
      </c>
      <c r="C255" s="19" t="s">
        <v>34</v>
      </c>
      <c r="D255" s="19" t="s">
        <v>29</v>
      </c>
      <c r="E255" s="19">
        <v>1</v>
      </c>
      <c r="F255" s="19">
        <v>61</v>
      </c>
    </row>
    <row r="256" spans="1:6" x14ac:dyDescent="0.3">
      <c r="A256" s="19" t="s">
        <v>114</v>
      </c>
      <c r="B256" s="19" t="s">
        <v>115</v>
      </c>
      <c r="C256" s="19" t="s">
        <v>34</v>
      </c>
      <c r="D256" s="19" t="s">
        <v>31</v>
      </c>
      <c r="E256" s="19">
        <v>1</v>
      </c>
      <c r="F256" s="19">
        <v>55</v>
      </c>
    </row>
    <row r="257" spans="1:6" x14ac:dyDescent="0.3">
      <c r="A257" s="19" t="s">
        <v>114</v>
      </c>
      <c r="B257" s="19" t="s">
        <v>115</v>
      </c>
      <c r="C257" s="19" t="s">
        <v>34</v>
      </c>
      <c r="D257" s="19" t="s">
        <v>33</v>
      </c>
      <c r="E257" s="19">
        <v>1</v>
      </c>
      <c r="F257" s="19">
        <v>52</v>
      </c>
    </row>
    <row r="258" spans="1:6" x14ac:dyDescent="0.3">
      <c r="A258" s="19" t="s">
        <v>114</v>
      </c>
      <c r="B258" s="19" t="s">
        <v>115</v>
      </c>
      <c r="C258" s="19" t="s">
        <v>34</v>
      </c>
      <c r="D258" s="19" t="s">
        <v>35</v>
      </c>
      <c r="E258" s="19">
        <v>1</v>
      </c>
      <c r="F258" s="19">
        <v>65</v>
      </c>
    </row>
    <row r="259" spans="1:6" x14ac:dyDescent="0.3">
      <c r="A259" s="19" t="s">
        <v>114</v>
      </c>
      <c r="B259" s="19" t="s">
        <v>115</v>
      </c>
      <c r="C259" s="19" t="s">
        <v>34</v>
      </c>
      <c r="D259" s="19" t="s">
        <v>37</v>
      </c>
      <c r="E259" s="19">
        <v>1</v>
      </c>
      <c r="F259" s="19">
        <v>65</v>
      </c>
    </row>
    <row r="260" spans="1:6" x14ac:dyDescent="0.3">
      <c r="A260" s="19" t="s">
        <v>114</v>
      </c>
      <c r="B260" s="19" t="s">
        <v>115</v>
      </c>
      <c r="C260" s="19" t="s">
        <v>34</v>
      </c>
      <c r="D260" s="19" t="s">
        <v>39</v>
      </c>
      <c r="E260" s="19">
        <v>1</v>
      </c>
      <c r="F260" s="19">
        <v>56</v>
      </c>
    </row>
    <row r="261" spans="1:6" x14ac:dyDescent="0.3">
      <c r="A261" s="19" t="s">
        <v>114</v>
      </c>
      <c r="B261" s="19" t="s">
        <v>115</v>
      </c>
      <c r="C261" s="19" t="s">
        <v>34</v>
      </c>
      <c r="D261" s="19" t="s">
        <v>41</v>
      </c>
      <c r="E261" s="19">
        <v>1</v>
      </c>
      <c r="F261" s="19">
        <v>59</v>
      </c>
    </row>
    <row r="262" spans="1:6" x14ac:dyDescent="0.3">
      <c r="A262" s="19" t="s">
        <v>114</v>
      </c>
      <c r="B262" s="19" t="s">
        <v>115</v>
      </c>
      <c r="C262" s="19" t="s">
        <v>34</v>
      </c>
      <c r="D262" s="19" t="s">
        <v>43</v>
      </c>
      <c r="E262" s="19">
        <v>0</v>
      </c>
      <c r="F262" s="19">
        <v>63</v>
      </c>
    </row>
    <row r="263" spans="1:6" x14ac:dyDescent="0.3">
      <c r="A263" s="19" t="s">
        <v>114</v>
      </c>
      <c r="B263" s="19" t="s">
        <v>115</v>
      </c>
      <c r="C263" s="19" t="s">
        <v>34</v>
      </c>
      <c r="D263" s="19" t="s">
        <v>45</v>
      </c>
      <c r="E263" s="19">
        <v>1</v>
      </c>
      <c r="F263" s="19">
        <v>107</v>
      </c>
    </row>
    <row r="264" spans="1:6" x14ac:dyDescent="0.3">
      <c r="A264" s="19" t="s">
        <v>114</v>
      </c>
      <c r="B264" s="19" t="s">
        <v>115</v>
      </c>
      <c r="C264" s="19" t="s">
        <v>34</v>
      </c>
      <c r="D264" s="19" t="s">
        <v>47</v>
      </c>
      <c r="E264" s="19">
        <v>3</v>
      </c>
      <c r="F264" s="19">
        <v>75</v>
      </c>
    </row>
    <row r="265" spans="1:6" x14ac:dyDescent="0.3">
      <c r="A265" s="19" t="s">
        <v>114</v>
      </c>
      <c r="B265" s="19" t="s">
        <v>115</v>
      </c>
      <c r="C265" s="19" t="s">
        <v>34</v>
      </c>
      <c r="D265" s="19" t="s">
        <v>49</v>
      </c>
      <c r="E265" s="19">
        <v>0</v>
      </c>
      <c r="F265" s="19">
        <v>51</v>
      </c>
    </row>
    <row r="266" spans="1:6" x14ac:dyDescent="0.3">
      <c r="A266" s="19" t="s">
        <v>116</v>
      </c>
      <c r="B266" s="19" t="s">
        <v>117</v>
      </c>
      <c r="C266" s="19" t="s">
        <v>44</v>
      </c>
      <c r="D266" s="19" t="s">
        <v>27</v>
      </c>
      <c r="E266" s="19">
        <v>2</v>
      </c>
      <c r="F266" s="19">
        <v>81</v>
      </c>
    </row>
    <row r="267" spans="1:6" x14ac:dyDescent="0.3">
      <c r="A267" s="19" t="s">
        <v>116</v>
      </c>
      <c r="B267" s="19" t="s">
        <v>117</v>
      </c>
      <c r="C267" s="19" t="s">
        <v>44</v>
      </c>
      <c r="D267" s="19" t="s">
        <v>29</v>
      </c>
      <c r="E267" s="19">
        <v>2</v>
      </c>
      <c r="F267" s="19">
        <v>74</v>
      </c>
    </row>
    <row r="268" spans="1:6" x14ac:dyDescent="0.3">
      <c r="A268" s="19" t="s">
        <v>116</v>
      </c>
      <c r="B268" s="19" t="s">
        <v>117</v>
      </c>
      <c r="C268" s="19" t="s">
        <v>44</v>
      </c>
      <c r="D268" s="19" t="s">
        <v>31</v>
      </c>
      <c r="E268" s="19">
        <v>2</v>
      </c>
      <c r="F268" s="19">
        <v>85</v>
      </c>
    </row>
    <row r="269" spans="1:6" x14ac:dyDescent="0.3">
      <c r="A269" s="19" t="s">
        <v>116</v>
      </c>
      <c r="B269" s="19" t="s">
        <v>117</v>
      </c>
      <c r="C269" s="19" t="s">
        <v>44</v>
      </c>
      <c r="D269" s="19" t="s">
        <v>33</v>
      </c>
      <c r="E269" s="19">
        <v>2</v>
      </c>
      <c r="F269" s="19">
        <v>80</v>
      </c>
    </row>
    <row r="270" spans="1:6" x14ac:dyDescent="0.3">
      <c r="A270" s="19" t="s">
        <v>116</v>
      </c>
      <c r="B270" s="19" t="s">
        <v>117</v>
      </c>
      <c r="C270" s="19" t="s">
        <v>44</v>
      </c>
      <c r="D270" s="19" t="s">
        <v>35</v>
      </c>
      <c r="E270" s="19">
        <v>1</v>
      </c>
      <c r="F270" s="19">
        <v>72</v>
      </c>
    </row>
    <row r="271" spans="1:6" x14ac:dyDescent="0.3">
      <c r="A271" s="19" t="s">
        <v>116</v>
      </c>
      <c r="B271" s="19" t="s">
        <v>117</v>
      </c>
      <c r="C271" s="19" t="s">
        <v>44</v>
      </c>
      <c r="D271" s="19" t="s">
        <v>37</v>
      </c>
      <c r="E271" s="19">
        <v>1</v>
      </c>
      <c r="F271" s="19">
        <v>73</v>
      </c>
    </row>
    <row r="272" spans="1:6" x14ac:dyDescent="0.3">
      <c r="A272" s="19" t="s">
        <v>116</v>
      </c>
      <c r="B272" s="19" t="s">
        <v>117</v>
      </c>
      <c r="C272" s="19" t="s">
        <v>44</v>
      </c>
      <c r="D272" s="19" t="s">
        <v>39</v>
      </c>
      <c r="E272" s="19">
        <v>0</v>
      </c>
      <c r="F272" s="19">
        <v>75</v>
      </c>
    </row>
    <row r="273" spans="1:6" x14ac:dyDescent="0.3">
      <c r="A273" s="19" t="s">
        <v>116</v>
      </c>
      <c r="B273" s="19" t="s">
        <v>117</v>
      </c>
      <c r="C273" s="19" t="s">
        <v>44</v>
      </c>
      <c r="D273" s="19" t="s">
        <v>41</v>
      </c>
      <c r="E273" s="19">
        <v>1</v>
      </c>
      <c r="F273" s="19">
        <v>83</v>
      </c>
    </row>
    <row r="274" spans="1:6" x14ac:dyDescent="0.3">
      <c r="A274" s="19" t="s">
        <v>116</v>
      </c>
      <c r="B274" s="19" t="s">
        <v>117</v>
      </c>
      <c r="C274" s="19" t="s">
        <v>44</v>
      </c>
      <c r="D274" s="19" t="s">
        <v>43</v>
      </c>
      <c r="E274" s="19">
        <v>1</v>
      </c>
      <c r="F274" s="19">
        <v>74</v>
      </c>
    </row>
    <row r="275" spans="1:6" x14ac:dyDescent="0.3">
      <c r="A275" s="19" t="s">
        <v>116</v>
      </c>
      <c r="B275" s="19" t="s">
        <v>117</v>
      </c>
      <c r="C275" s="19" t="s">
        <v>44</v>
      </c>
      <c r="D275" s="19" t="s">
        <v>45</v>
      </c>
      <c r="E275" s="19">
        <v>2</v>
      </c>
      <c r="F275" s="19">
        <v>108</v>
      </c>
    </row>
    <row r="276" spans="1:6" x14ac:dyDescent="0.3">
      <c r="A276" s="19" t="s">
        <v>116</v>
      </c>
      <c r="B276" s="19" t="s">
        <v>117</v>
      </c>
      <c r="C276" s="19" t="s">
        <v>44</v>
      </c>
      <c r="D276" s="19" t="s">
        <v>47</v>
      </c>
      <c r="E276" s="19">
        <v>1</v>
      </c>
      <c r="F276" s="19">
        <v>93</v>
      </c>
    </row>
    <row r="277" spans="1:6" x14ac:dyDescent="0.3">
      <c r="A277" s="19" t="s">
        <v>116</v>
      </c>
      <c r="B277" s="19" t="s">
        <v>117</v>
      </c>
      <c r="C277" s="19" t="s">
        <v>44</v>
      </c>
      <c r="D277" s="19" t="s">
        <v>49</v>
      </c>
      <c r="E277" s="19">
        <v>0</v>
      </c>
      <c r="F277" s="19">
        <v>76</v>
      </c>
    </row>
    <row r="278" spans="1:6" x14ac:dyDescent="0.3">
      <c r="A278" s="19" t="s">
        <v>118</v>
      </c>
      <c r="B278" s="19" t="s">
        <v>119</v>
      </c>
      <c r="C278" s="19" t="s">
        <v>44</v>
      </c>
      <c r="D278" s="19" t="s">
        <v>27</v>
      </c>
      <c r="E278" s="19">
        <v>1</v>
      </c>
      <c r="F278" s="19">
        <v>67</v>
      </c>
    </row>
    <row r="279" spans="1:6" x14ac:dyDescent="0.3">
      <c r="A279" s="19" t="s">
        <v>118</v>
      </c>
      <c r="B279" s="19" t="s">
        <v>119</v>
      </c>
      <c r="C279" s="19" t="s">
        <v>44</v>
      </c>
      <c r="D279" s="19" t="s">
        <v>29</v>
      </c>
      <c r="E279" s="19">
        <v>0</v>
      </c>
      <c r="F279" s="19">
        <v>59</v>
      </c>
    </row>
    <row r="280" spans="1:6" x14ac:dyDescent="0.3">
      <c r="A280" s="19" t="s">
        <v>118</v>
      </c>
      <c r="B280" s="19" t="s">
        <v>119</v>
      </c>
      <c r="C280" s="19" t="s">
        <v>44</v>
      </c>
      <c r="D280" s="19" t="s">
        <v>31</v>
      </c>
      <c r="E280" s="19">
        <v>1</v>
      </c>
      <c r="F280" s="19">
        <v>73</v>
      </c>
    </row>
    <row r="281" spans="1:6" x14ac:dyDescent="0.3">
      <c r="A281" s="19" t="s">
        <v>118</v>
      </c>
      <c r="B281" s="19" t="s">
        <v>119</v>
      </c>
      <c r="C281" s="19" t="s">
        <v>44</v>
      </c>
      <c r="D281" s="19" t="s">
        <v>33</v>
      </c>
      <c r="E281" s="19">
        <v>0</v>
      </c>
      <c r="F281" s="19">
        <v>57</v>
      </c>
    </row>
    <row r="282" spans="1:6" x14ac:dyDescent="0.3">
      <c r="A282" s="19" t="s">
        <v>118</v>
      </c>
      <c r="B282" s="19" t="s">
        <v>119</v>
      </c>
      <c r="C282" s="19" t="s">
        <v>44</v>
      </c>
      <c r="D282" s="19" t="s">
        <v>35</v>
      </c>
      <c r="E282" s="19">
        <v>1</v>
      </c>
      <c r="F282" s="19">
        <v>65</v>
      </c>
    </row>
    <row r="283" spans="1:6" x14ac:dyDescent="0.3">
      <c r="A283" s="19" t="s">
        <v>118</v>
      </c>
      <c r="B283" s="19" t="s">
        <v>119</v>
      </c>
      <c r="C283" s="19" t="s">
        <v>44</v>
      </c>
      <c r="D283" s="19" t="s">
        <v>37</v>
      </c>
      <c r="E283" s="19">
        <v>1</v>
      </c>
      <c r="F283" s="19">
        <v>61</v>
      </c>
    </row>
    <row r="284" spans="1:6" x14ac:dyDescent="0.3">
      <c r="A284" s="19" t="s">
        <v>118</v>
      </c>
      <c r="B284" s="19" t="s">
        <v>119</v>
      </c>
      <c r="C284" s="19" t="s">
        <v>44</v>
      </c>
      <c r="D284" s="19" t="s">
        <v>39</v>
      </c>
      <c r="E284" s="19">
        <v>1</v>
      </c>
      <c r="F284" s="19">
        <v>63</v>
      </c>
    </row>
    <row r="285" spans="1:6" x14ac:dyDescent="0.3">
      <c r="A285" s="19" t="s">
        <v>118</v>
      </c>
      <c r="B285" s="19" t="s">
        <v>119</v>
      </c>
      <c r="C285" s="19" t="s">
        <v>44</v>
      </c>
      <c r="D285" s="19" t="s">
        <v>41</v>
      </c>
      <c r="E285" s="19">
        <v>1</v>
      </c>
      <c r="F285" s="19">
        <v>62</v>
      </c>
    </row>
    <row r="286" spans="1:6" x14ac:dyDescent="0.3">
      <c r="A286" s="19" t="s">
        <v>118</v>
      </c>
      <c r="B286" s="19" t="s">
        <v>119</v>
      </c>
      <c r="C286" s="19" t="s">
        <v>44</v>
      </c>
      <c r="D286" s="19" t="s">
        <v>43</v>
      </c>
      <c r="E286" s="19">
        <v>1</v>
      </c>
      <c r="F286" s="19">
        <v>73</v>
      </c>
    </row>
    <row r="287" spans="1:6" x14ac:dyDescent="0.3">
      <c r="A287" s="19" t="s">
        <v>118</v>
      </c>
      <c r="B287" s="19" t="s">
        <v>119</v>
      </c>
      <c r="C287" s="19" t="s">
        <v>44</v>
      </c>
      <c r="D287" s="19" t="s">
        <v>45</v>
      </c>
      <c r="E287" s="19">
        <v>0</v>
      </c>
      <c r="F287" s="19">
        <v>108</v>
      </c>
    </row>
    <row r="288" spans="1:6" x14ac:dyDescent="0.3">
      <c r="A288" s="19" t="s">
        <v>118</v>
      </c>
      <c r="B288" s="19" t="s">
        <v>119</v>
      </c>
      <c r="C288" s="19" t="s">
        <v>44</v>
      </c>
      <c r="D288" s="19" t="s">
        <v>47</v>
      </c>
      <c r="E288" s="19">
        <v>2</v>
      </c>
      <c r="F288" s="19">
        <v>72</v>
      </c>
    </row>
    <row r="289" spans="1:6" x14ac:dyDescent="0.3">
      <c r="A289" s="19" t="s">
        <v>118</v>
      </c>
      <c r="B289" s="19" t="s">
        <v>119</v>
      </c>
      <c r="C289" s="19" t="s">
        <v>44</v>
      </c>
      <c r="D289" s="19" t="s">
        <v>49</v>
      </c>
      <c r="E289" s="19">
        <v>0</v>
      </c>
      <c r="F289" s="19">
        <v>69</v>
      </c>
    </row>
    <row r="290" spans="1:6" x14ac:dyDescent="0.3">
      <c r="A290" s="19" t="s">
        <v>120</v>
      </c>
      <c r="B290" s="19" t="s">
        <v>121</v>
      </c>
      <c r="C290" s="19" t="s">
        <v>44</v>
      </c>
      <c r="D290" s="19" t="s">
        <v>27</v>
      </c>
      <c r="E290" s="19">
        <v>4</v>
      </c>
      <c r="F290" s="19">
        <v>106</v>
      </c>
    </row>
    <row r="291" spans="1:6" x14ac:dyDescent="0.3">
      <c r="A291" s="19" t="s">
        <v>120</v>
      </c>
      <c r="B291" s="19" t="s">
        <v>121</v>
      </c>
      <c r="C291" s="19" t="s">
        <v>44</v>
      </c>
      <c r="D291" s="19" t="s">
        <v>29</v>
      </c>
      <c r="E291" s="19">
        <v>1</v>
      </c>
      <c r="F291" s="19">
        <v>122</v>
      </c>
    </row>
    <row r="292" spans="1:6" x14ac:dyDescent="0.3">
      <c r="A292" s="19" t="s">
        <v>120</v>
      </c>
      <c r="B292" s="19" t="s">
        <v>121</v>
      </c>
      <c r="C292" s="19" t="s">
        <v>44</v>
      </c>
      <c r="D292" s="19" t="s">
        <v>31</v>
      </c>
      <c r="E292" s="19">
        <v>0</v>
      </c>
      <c r="F292" s="19">
        <v>106</v>
      </c>
    </row>
    <row r="293" spans="1:6" x14ac:dyDescent="0.3">
      <c r="A293" s="19" t="s">
        <v>120</v>
      </c>
      <c r="B293" s="19" t="s">
        <v>121</v>
      </c>
      <c r="C293" s="19" t="s">
        <v>44</v>
      </c>
      <c r="D293" s="19" t="s">
        <v>33</v>
      </c>
      <c r="E293" s="19">
        <v>3</v>
      </c>
      <c r="F293" s="19">
        <v>133</v>
      </c>
    </row>
    <row r="294" spans="1:6" x14ac:dyDescent="0.3">
      <c r="A294" s="19" t="s">
        <v>120</v>
      </c>
      <c r="B294" s="19" t="s">
        <v>121</v>
      </c>
      <c r="C294" s="19" t="s">
        <v>44</v>
      </c>
      <c r="D294" s="19" t="s">
        <v>35</v>
      </c>
      <c r="E294" s="19">
        <v>3</v>
      </c>
      <c r="F294" s="19">
        <v>120</v>
      </c>
    </row>
    <row r="295" spans="1:6" x14ac:dyDescent="0.3">
      <c r="A295" s="19" t="s">
        <v>120</v>
      </c>
      <c r="B295" s="19" t="s">
        <v>121</v>
      </c>
      <c r="C295" s="19" t="s">
        <v>44</v>
      </c>
      <c r="D295" s="19" t="s">
        <v>37</v>
      </c>
      <c r="E295" s="19">
        <v>1</v>
      </c>
      <c r="F295" s="19">
        <v>134</v>
      </c>
    </row>
    <row r="296" spans="1:6" x14ac:dyDescent="0.3">
      <c r="A296" s="19" t="s">
        <v>120</v>
      </c>
      <c r="B296" s="19" t="s">
        <v>121</v>
      </c>
      <c r="C296" s="19" t="s">
        <v>44</v>
      </c>
      <c r="D296" s="19" t="s">
        <v>39</v>
      </c>
      <c r="E296" s="19">
        <v>3</v>
      </c>
      <c r="F296" s="19">
        <v>115</v>
      </c>
    </row>
    <row r="297" spans="1:6" x14ac:dyDescent="0.3">
      <c r="A297" s="19" t="s">
        <v>120</v>
      </c>
      <c r="B297" s="19" t="s">
        <v>121</v>
      </c>
      <c r="C297" s="19" t="s">
        <v>44</v>
      </c>
      <c r="D297" s="19" t="s">
        <v>41</v>
      </c>
      <c r="E297" s="19">
        <v>2</v>
      </c>
      <c r="F297" s="19">
        <v>120</v>
      </c>
    </row>
    <row r="298" spans="1:6" x14ac:dyDescent="0.3">
      <c r="A298" s="19" t="s">
        <v>120</v>
      </c>
      <c r="B298" s="19" t="s">
        <v>121</v>
      </c>
      <c r="C298" s="19" t="s">
        <v>44</v>
      </c>
      <c r="D298" s="19" t="s">
        <v>43</v>
      </c>
      <c r="E298" s="19">
        <v>2</v>
      </c>
      <c r="F298" s="19">
        <v>101</v>
      </c>
    </row>
    <row r="299" spans="1:6" x14ac:dyDescent="0.3">
      <c r="A299" s="19" t="s">
        <v>120</v>
      </c>
      <c r="B299" s="19" t="s">
        <v>121</v>
      </c>
      <c r="C299" s="19" t="s">
        <v>44</v>
      </c>
      <c r="D299" s="19" t="s">
        <v>45</v>
      </c>
      <c r="E299" s="19">
        <v>2</v>
      </c>
      <c r="F299" s="19">
        <v>214</v>
      </c>
    </row>
    <row r="300" spans="1:6" x14ac:dyDescent="0.3">
      <c r="A300" s="19" t="s">
        <v>120</v>
      </c>
      <c r="B300" s="19" t="s">
        <v>121</v>
      </c>
      <c r="C300" s="19" t="s">
        <v>44</v>
      </c>
      <c r="D300" s="19" t="s">
        <v>47</v>
      </c>
      <c r="E300" s="19">
        <v>0</v>
      </c>
      <c r="F300" s="19">
        <v>138</v>
      </c>
    </row>
    <row r="301" spans="1:6" x14ac:dyDescent="0.3">
      <c r="A301" s="19" t="s">
        <v>120</v>
      </c>
      <c r="B301" s="19" t="s">
        <v>121</v>
      </c>
      <c r="C301" s="19" t="s">
        <v>44</v>
      </c>
      <c r="D301" s="19" t="s">
        <v>49</v>
      </c>
      <c r="E301" s="19">
        <v>3</v>
      </c>
      <c r="F301" s="19">
        <v>131</v>
      </c>
    </row>
    <row r="302" spans="1:6" x14ac:dyDescent="0.3">
      <c r="A302" s="19" t="s">
        <v>122</v>
      </c>
      <c r="B302" s="19" t="s">
        <v>123</v>
      </c>
      <c r="C302" s="19" t="s">
        <v>28</v>
      </c>
      <c r="D302" s="19" t="s">
        <v>27</v>
      </c>
      <c r="E302" s="19">
        <v>1</v>
      </c>
      <c r="F302" s="19">
        <v>14</v>
      </c>
    </row>
    <row r="303" spans="1:6" x14ac:dyDescent="0.3">
      <c r="A303" s="19" t="s">
        <v>122</v>
      </c>
      <c r="B303" s="19" t="s">
        <v>123</v>
      </c>
      <c r="C303" s="19" t="s">
        <v>28</v>
      </c>
      <c r="D303" s="19" t="s">
        <v>29</v>
      </c>
      <c r="E303" s="19">
        <v>0</v>
      </c>
      <c r="F303" s="19">
        <v>12</v>
      </c>
    </row>
    <row r="304" spans="1:6" x14ac:dyDescent="0.3">
      <c r="A304" s="19" t="s">
        <v>122</v>
      </c>
      <c r="B304" s="19" t="s">
        <v>123</v>
      </c>
      <c r="C304" s="19" t="s">
        <v>28</v>
      </c>
      <c r="D304" s="19" t="s">
        <v>31</v>
      </c>
      <c r="E304" s="19">
        <v>0</v>
      </c>
      <c r="F304" s="19">
        <v>16</v>
      </c>
    </row>
    <row r="305" spans="1:6" x14ac:dyDescent="0.3">
      <c r="A305" s="19" t="s">
        <v>122</v>
      </c>
      <c r="B305" s="19" t="s">
        <v>123</v>
      </c>
      <c r="C305" s="19" t="s">
        <v>28</v>
      </c>
      <c r="D305" s="19" t="s">
        <v>33</v>
      </c>
      <c r="E305" s="19">
        <v>0</v>
      </c>
      <c r="F305" s="19">
        <v>16</v>
      </c>
    </row>
    <row r="306" spans="1:6" x14ac:dyDescent="0.3">
      <c r="A306" s="19" t="s">
        <v>122</v>
      </c>
      <c r="B306" s="19" t="s">
        <v>123</v>
      </c>
      <c r="C306" s="19" t="s">
        <v>28</v>
      </c>
      <c r="D306" s="19" t="s">
        <v>35</v>
      </c>
      <c r="E306" s="19">
        <v>0</v>
      </c>
      <c r="F306" s="19">
        <v>12</v>
      </c>
    </row>
    <row r="307" spans="1:6" x14ac:dyDescent="0.3">
      <c r="A307" s="19" t="s">
        <v>122</v>
      </c>
      <c r="B307" s="19" t="s">
        <v>123</v>
      </c>
      <c r="C307" s="19" t="s">
        <v>28</v>
      </c>
      <c r="D307" s="19" t="s">
        <v>37</v>
      </c>
      <c r="E307" s="19">
        <v>0</v>
      </c>
      <c r="F307" s="19">
        <v>14</v>
      </c>
    </row>
    <row r="308" spans="1:6" x14ac:dyDescent="0.3">
      <c r="A308" s="19" t="s">
        <v>122</v>
      </c>
      <c r="B308" s="19" t="s">
        <v>123</v>
      </c>
      <c r="C308" s="19" t="s">
        <v>28</v>
      </c>
      <c r="D308" s="19" t="s">
        <v>39</v>
      </c>
      <c r="E308" s="19">
        <v>0</v>
      </c>
      <c r="F308" s="19">
        <v>16</v>
      </c>
    </row>
    <row r="309" spans="1:6" x14ac:dyDescent="0.3">
      <c r="A309" s="19" t="s">
        <v>122</v>
      </c>
      <c r="B309" s="19" t="s">
        <v>123</v>
      </c>
      <c r="C309" s="19" t="s">
        <v>28</v>
      </c>
      <c r="D309" s="19" t="s">
        <v>41</v>
      </c>
      <c r="E309" s="19">
        <v>0</v>
      </c>
      <c r="F309" s="19">
        <v>15</v>
      </c>
    </row>
    <row r="310" spans="1:6" x14ac:dyDescent="0.3">
      <c r="A310" s="19" t="s">
        <v>122</v>
      </c>
      <c r="B310" s="19" t="s">
        <v>123</v>
      </c>
      <c r="C310" s="19" t="s">
        <v>28</v>
      </c>
      <c r="D310" s="19" t="s">
        <v>43</v>
      </c>
      <c r="E310" s="19">
        <v>0</v>
      </c>
      <c r="F310" s="19">
        <v>15</v>
      </c>
    </row>
    <row r="311" spans="1:6" x14ac:dyDescent="0.3">
      <c r="A311" s="19" t="s">
        <v>122</v>
      </c>
      <c r="B311" s="19" t="s">
        <v>123</v>
      </c>
      <c r="C311" s="19" t="s">
        <v>28</v>
      </c>
      <c r="D311" s="19" t="s">
        <v>45</v>
      </c>
      <c r="E311" s="19">
        <v>0</v>
      </c>
      <c r="F311" s="19">
        <v>23</v>
      </c>
    </row>
    <row r="312" spans="1:6" x14ac:dyDescent="0.3">
      <c r="A312" s="19" t="s">
        <v>122</v>
      </c>
      <c r="B312" s="19" t="s">
        <v>123</v>
      </c>
      <c r="C312" s="19" t="s">
        <v>28</v>
      </c>
      <c r="D312" s="19" t="s">
        <v>47</v>
      </c>
      <c r="E312" s="19">
        <v>1</v>
      </c>
      <c r="F312" s="19">
        <v>17</v>
      </c>
    </row>
    <row r="313" spans="1:6" x14ac:dyDescent="0.3">
      <c r="A313" s="19" t="s">
        <v>122</v>
      </c>
      <c r="B313" s="19" t="s">
        <v>123</v>
      </c>
      <c r="C313" s="19" t="s">
        <v>28</v>
      </c>
      <c r="D313" s="19" t="s">
        <v>49</v>
      </c>
      <c r="E313" s="19">
        <v>0</v>
      </c>
      <c r="F313" s="19">
        <v>12</v>
      </c>
    </row>
    <row r="314" spans="1:6" x14ac:dyDescent="0.3">
      <c r="A314" s="19" t="s">
        <v>124</v>
      </c>
      <c r="B314" s="19" t="s">
        <v>125</v>
      </c>
      <c r="C314" s="19" t="s">
        <v>28</v>
      </c>
      <c r="D314" s="19" t="s">
        <v>27</v>
      </c>
      <c r="E314" s="19">
        <v>1</v>
      </c>
      <c r="F314" s="19">
        <v>15</v>
      </c>
    </row>
    <row r="315" spans="1:6" x14ac:dyDescent="0.3">
      <c r="A315" s="19" t="s">
        <v>124</v>
      </c>
      <c r="B315" s="19" t="s">
        <v>125</v>
      </c>
      <c r="C315" s="19" t="s">
        <v>28</v>
      </c>
      <c r="D315" s="19" t="s">
        <v>29</v>
      </c>
      <c r="E315" s="19">
        <v>0</v>
      </c>
      <c r="F315" s="19">
        <v>14</v>
      </c>
    </row>
    <row r="316" spans="1:6" x14ac:dyDescent="0.3">
      <c r="A316" s="19" t="s">
        <v>124</v>
      </c>
      <c r="B316" s="19" t="s">
        <v>125</v>
      </c>
      <c r="C316" s="19" t="s">
        <v>28</v>
      </c>
      <c r="D316" s="19" t="s">
        <v>31</v>
      </c>
      <c r="E316" s="19">
        <v>0</v>
      </c>
      <c r="F316" s="19">
        <v>16</v>
      </c>
    </row>
    <row r="317" spans="1:6" x14ac:dyDescent="0.3">
      <c r="A317" s="19" t="s">
        <v>124</v>
      </c>
      <c r="B317" s="19" t="s">
        <v>125</v>
      </c>
      <c r="C317" s="19" t="s">
        <v>28</v>
      </c>
      <c r="D317" s="19" t="s">
        <v>33</v>
      </c>
      <c r="E317" s="19">
        <v>0</v>
      </c>
      <c r="F317" s="19">
        <v>18</v>
      </c>
    </row>
    <row r="318" spans="1:6" x14ac:dyDescent="0.3">
      <c r="A318" s="19" t="s">
        <v>124</v>
      </c>
      <c r="B318" s="19" t="s">
        <v>125</v>
      </c>
      <c r="C318" s="19" t="s">
        <v>28</v>
      </c>
      <c r="D318" s="19" t="s">
        <v>35</v>
      </c>
      <c r="E318" s="19">
        <v>0</v>
      </c>
      <c r="F318" s="19">
        <v>14</v>
      </c>
    </row>
    <row r="319" spans="1:6" x14ac:dyDescent="0.3">
      <c r="A319" s="19" t="s">
        <v>124</v>
      </c>
      <c r="B319" s="19" t="s">
        <v>125</v>
      </c>
      <c r="C319" s="19" t="s">
        <v>28</v>
      </c>
      <c r="D319" s="19" t="s">
        <v>37</v>
      </c>
      <c r="E319" s="19">
        <v>0</v>
      </c>
      <c r="F319" s="19">
        <v>17</v>
      </c>
    </row>
    <row r="320" spans="1:6" x14ac:dyDescent="0.3">
      <c r="A320" s="19" t="s">
        <v>124</v>
      </c>
      <c r="B320" s="19" t="s">
        <v>125</v>
      </c>
      <c r="C320" s="19" t="s">
        <v>28</v>
      </c>
      <c r="D320" s="19" t="s">
        <v>39</v>
      </c>
      <c r="E320" s="19">
        <v>0</v>
      </c>
      <c r="F320" s="19">
        <v>18</v>
      </c>
    </row>
    <row r="321" spans="1:6" x14ac:dyDescent="0.3">
      <c r="A321" s="19" t="s">
        <v>124</v>
      </c>
      <c r="B321" s="19" t="s">
        <v>125</v>
      </c>
      <c r="C321" s="19" t="s">
        <v>28</v>
      </c>
      <c r="D321" s="19" t="s">
        <v>41</v>
      </c>
      <c r="E321" s="19">
        <v>0</v>
      </c>
      <c r="F321" s="19">
        <v>15</v>
      </c>
    </row>
    <row r="322" spans="1:6" x14ac:dyDescent="0.3">
      <c r="A322" s="19" t="s">
        <v>124</v>
      </c>
      <c r="B322" s="19" t="s">
        <v>125</v>
      </c>
      <c r="C322" s="19" t="s">
        <v>28</v>
      </c>
      <c r="D322" s="19" t="s">
        <v>43</v>
      </c>
      <c r="E322" s="19">
        <v>0</v>
      </c>
      <c r="F322" s="19">
        <v>18</v>
      </c>
    </row>
    <row r="323" spans="1:6" x14ac:dyDescent="0.3">
      <c r="A323" s="19" t="s">
        <v>124</v>
      </c>
      <c r="B323" s="19" t="s">
        <v>125</v>
      </c>
      <c r="C323" s="19" t="s">
        <v>28</v>
      </c>
      <c r="D323" s="19" t="s">
        <v>45</v>
      </c>
      <c r="E323" s="19">
        <v>0</v>
      </c>
      <c r="F323" s="19">
        <v>25</v>
      </c>
    </row>
    <row r="324" spans="1:6" x14ac:dyDescent="0.3">
      <c r="A324" s="19" t="s">
        <v>124</v>
      </c>
      <c r="B324" s="19" t="s">
        <v>125</v>
      </c>
      <c r="C324" s="19" t="s">
        <v>28</v>
      </c>
      <c r="D324" s="19" t="s">
        <v>47</v>
      </c>
      <c r="E324" s="19">
        <v>0</v>
      </c>
      <c r="F324" s="19">
        <v>18</v>
      </c>
    </row>
    <row r="325" spans="1:6" x14ac:dyDescent="0.3">
      <c r="A325" s="19" t="s">
        <v>124</v>
      </c>
      <c r="B325" s="19" t="s">
        <v>125</v>
      </c>
      <c r="C325" s="19" t="s">
        <v>28</v>
      </c>
      <c r="D325" s="19" t="s">
        <v>49</v>
      </c>
      <c r="E325" s="19">
        <v>0</v>
      </c>
      <c r="F325" s="19">
        <v>18</v>
      </c>
    </row>
    <row r="326" spans="1:6" x14ac:dyDescent="0.3">
      <c r="A326" s="19" t="s">
        <v>126</v>
      </c>
      <c r="B326" s="19" t="s">
        <v>127</v>
      </c>
      <c r="C326" s="19" t="s">
        <v>28</v>
      </c>
      <c r="D326" s="19" t="s">
        <v>27</v>
      </c>
      <c r="E326" s="19">
        <v>1</v>
      </c>
      <c r="F326" s="19">
        <v>36</v>
      </c>
    </row>
    <row r="327" spans="1:6" x14ac:dyDescent="0.3">
      <c r="A327" s="19" t="s">
        <v>126</v>
      </c>
      <c r="B327" s="19" t="s">
        <v>127</v>
      </c>
      <c r="C327" s="19" t="s">
        <v>28</v>
      </c>
      <c r="D327" s="19" t="s">
        <v>29</v>
      </c>
      <c r="E327" s="19">
        <v>0</v>
      </c>
      <c r="F327" s="19">
        <v>34</v>
      </c>
    </row>
    <row r="328" spans="1:6" x14ac:dyDescent="0.3">
      <c r="A328" s="19" t="s">
        <v>126</v>
      </c>
      <c r="B328" s="19" t="s">
        <v>127</v>
      </c>
      <c r="C328" s="19" t="s">
        <v>28</v>
      </c>
      <c r="D328" s="19" t="s">
        <v>31</v>
      </c>
      <c r="E328" s="19">
        <v>0</v>
      </c>
      <c r="F328" s="19">
        <v>37</v>
      </c>
    </row>
    <row r="329" spans="1:6" x14ac:dyDescent="0.3">
      <c r="A329" s="19" t="s">
        <v>126</v>
      </c>
      <c r="B329" s="19" t="s">
        <v>127</v>
      </c>
      <c r="C329" s="19" t="s">
        <v>28</v>
      </c>
      <c r="D329" s="19" t="s">
        <v>33</v>
      </c>
      <c r="E329" s="19">
        <v>0</v>
      </c>
      <c r="F329" s="19">
        <v>38</v>
      </c>
    </row>
    <row r="330" spans="1:6" x14ac:dyDescent="0.3">
      <c r="A330" s="19" t="s">
        <v>126</v>
      </c>
      <c r="B330" s="19" t="s">
        <v>127</v>
      </c>
      <c r="C330" s="19" t="s">
        <v>28</v>
      </c>
      <c r="D330" s="19" t="s">
        <v>35</v>
      </c>
      <c r="E330" s="19">
        <v>1</v>
      </c>
      <c r="F330" s="19">
        <v>33</v>
      </c>
    </row>
    <row r="331" spans="1:6" x14ac:dyDescent="0.3">
      <c r="A331" s="19" t="s">
        <v>126</v>
      </c>
      <c r="B331" s="19" t="s">
        <v>127</v>
      </c>
      <c r="C331" s="19" t="s">
        <v>28</v>
      </c>
      <c r="D331" s="19" t="s">
        <v>37</v>
      </c>
      <c r="E331" s="19">
        <v>1</v>
      </c>
      <c r="F331" s="19">
        <v>41</v>
      </c>
    </row>
    <row r="332" spans="1:6" x14ac:dyDescent="0.3">
      <c r="A332" s="19" t="s">
        <v>126</v>
      </c>
      <c r="B332" s="19" t="s">
        <v>127</v>
      </c>
      <c r="C332" s="19" t="s">
        <v>28</v>
      </c>
      <c r="D332" s="19" t="s">
        <v>39</v>
      </c>
      <c r="E332" s="19">
        <v>1</v>
      </c>
      <c r="F332" s="19">
        <v>40</v>
      </c>
    </row>
    <row r="333" spans="1:6" x14ac:dyDescent="0.3">
      <c r="A333" s="19" t="s">
        <v>126</v>
      </c>
      <c r="B333" s="19" t="s">
        <v>127</v>
      </c>
      <c r="C333" s="19" t="s">
        <v>28</v>
      </c>
      <c r="D333" s="19" t="s">
        <v>41</v>
      </c>
      <c r="E333" s="19">
        <v>1</v>
      </c>
      <c r="F333" s="19">
        <v>32</v>
      </c>
    </row>
    <row r="334" spans="1:6" x14ac:dyDescent="0.3">
      <c r="A334" s="19" t="s">
        <v>126</v>
      </c>
      <c r="B334" s="19" t="s">
        <v>127</v>
      </c>
      <c r="C334" s="19" t="s">
        <v>28</v>
      </c>
      <c r="D334" s="19" t="s">
        <v>43</v>
      </c>
      <c r="E334" s="19">
        <v>0</v>
      </c>
      <c r="F334" s="19">
        <v>39</v>
      </c>
    </row>
    <row r="335" spans="1:6" x14ac:dyDescent="0.3">
      <c r="A335" s="19" t="s">
        <v>126</v>
      </c>
      <c r="B335" s="19" t="s">
        <v>127</v>
      </c>
      <c r="C335" s="19" t="s">
        <v>28</v>
      </c>
      <c r="D335" s="19" t="s">
        <v>45</v>
      </c>
      <c r="E335" s="19">
        <v>1</v>
      </c>
      <c r="F335" s="19">
        <v>57</v>
      </c>
    </row>
    <row r="336" spans="1:6" x14ac:dyDescent="0.3">
      <c r="A336" s="19" t="s">
        <v>126</v>
      </c>
      <c r="B336" s="19" t="s">
        <v>127</v>
      </c>
      <c r="C336" s="19" t="s">
        <v>28</v>
      </c>
      <c r="D336" s="19" t="s">
        <v>47</v>
      </c>
      <c r="E336" s="19">
        <v>1</v>
      </c>
      <c r="F336" s="19">
        <v>48</v>
      </c>
    </row>
    <row r="337" spans="1:6" x14ac:dyDescent="0.3">
      <c r="A337" s="19" t="s">
        <v>126</v>
      </c>
      <c r="B337" s="19" t="s">
        <v>127</v>
      </c>
      <c r="C337" s="19" t="s">
        <v>28</v>
      </c>
      <c r="D337" s="19" t="s">
        <v>49</v>
      </c>
      <c r="E337" s="19">
        <v>0</v>
      </c>
      <c r="F337" s="19">
        <v>39</v>
      </c>
    </row>
    <row r="338" spans="1:6" x14ac:dyDescent="0.3">
      <c r="A338" s="19" t="s">
        <v>128</v>
      </c>
      <c r="B338" s="19" t="s">
        <v>129</v>
      </c>
      <c r="C338" s="19" t="s">
        <v>28</v>
      </c>
      <c r="D338" s="19" t="s">
        <v>27</v>
      </c>
      <c r="E338" s="19">
        <v>0</v>
      </c>
      <c r="F338" s="19">
        <v>20</v>
      </c>
    </row>
    <row r="339" spans="1:6" x14ac:dyDescent="0.3">
      <c r="A339" s="19" t="s">
        <v>128</v>
      </c>
      <c r="B339" s="19" t="s">
        <v>129</v>
      </c>
      <c r="C339" s="19" t="s">
        <v>28</v>
      </c>
      <c r="D339" s="19" t="s">
        <v>29</v>
      </c>
      <c r="E339" s="19">
        <v>1</v>
      </c>
      <c r="F339" s="19">
        <v>24</v>
      </c>
    </row>
    <row r="340" spans="1:6" x14ac:dyDescent="0.3">
      <c r="A340" s="19" t="s">
        <v>128</v>
      </c>
      <c r="B340" s="19" t="s">
        <v>129</v>
      </c>
      <c r="C340" s="19" t="s">
        <v>28</v>
      </c>
      <c r="D340" s="19" t="s">
        <v>31</v>
      </c>
      <c r="E340" s="19">
        <v>0</v>
      </c>
      <c r="F340" s="19">
        <v>23</v>
      </c>
    </row>
    <row r="341" spans="1:6" x14ac:dyDescent="0.3">
      <c r="A341" s="19" t="s">
        <v>128</v>
      </c>
      <c r="B341" s="19" t="s">
        <v>129</v>
      </c>
      <c r="C341" s="19" t="s">
        <v>28</v>
      </c>
      <c r="D341" s="19" t="s">
        <v>33</v>
      </c>
      <c r="E341" s="19">
        <v>0</v>
      </c>
      <c r="F341" s="19">
        <v>26</v>
      </c>
    </row>
    <row r="342" spans="1:6" x14ac:dyDescent="0.3">
      <c r="A342" s="19" t="s">
        <v>128</v>
      </c>
      <c r="B342" s="19" t="s">
        <v>129</v>
      </c>
      <c r="C342" s="19" t="s">
        <v>28</v>
      </c>
      <c r="D342" s="19" t="s">
        <v>35</v>
      </c>
      <c r="E342" s="19">
        <v>0</v>
      </c>
      <c r="F342" s="19">
        <v>25</v>
      </c>
    </row>
    <row r="343" spans="1:6" x14ac:dyDescent="0.3">
      <c r="A343" s="19" t="s">
        <v>128</v>
      </c>
      <c r="B343" s="19" t="s">
        <v>129</v>
      </c>
      <c r="C343" s="19" t="s">
        <v>28</v>
      </c>
      <c r="D343" s="19" t="s">
        <v>37</v>
      </c>
      <c r="E343" s="19">
        <v>1</v>
      </c>
      <c r="F343" s="19">
        <v>24</v>
      </c>
    </row>
    <row r="344" spans="1:6" x14ac:dyDescent="0.3">
      <c r="A344" s="19" t="s">
        <v>128</v>
      </c>
      <c r="B344" s="19" t="s">
        <v>129</v>
      </c>
      <c r="C344" s="19" t="s">
        <v>28</v>
      </c>
      <c r="D344" s="19" t="s">
        <v>39</v>
      </c>
      <c r="E344" s="19">
        <v>0</v>
      </c>
      <c r="F344" s="19">
        <v>20</v>
      </c>
    </row>
    <row r="345" spans="1:6" x14ac:dyDescent="0.3">
      <c r="A345" s="19" t="s">
        <v>128</v>
      </c>
      <c r="B345" s="19" t="s">
        <v>129</v>
      </c>
      <c r="C345" s="19" t="s">
        <v>28</v>
      </c>
      <c r="D345" s="19" t="s">
        <v>41</v>
      </c>
      <c r="E345" s="19">
        <v>0</v>
      </c>
      <c r="F345" s="19">
        <v>25</v>
      </c>
    </row>
    <row r="346" spans="1:6" x14ac:dyDescent="0.3">
      <c r="A346" s="19" t="s">
        <v>128</v>
      </c>
      <c r="B346" s="19" t="s">
        <v>129</v>
      </c>
      <c r="C346" s="19" t="s">
        <v>28</v>
      </c>
      <c r="D346" s="19" t="s">
        <v>43</v>
      </c>
      <c r="E346" s="19">
        <v>1</v>
      </c>
      <c r="F346" s="19">
        <v>21</v>
      </c>
    </row>
    <row r="347" spans="1:6" x14ac:dyDescent="0.3">
      <c r="A347" s="19" t="s">
        <v>128</v>
      </c>
      <c r="B347" s="19" t="s">
        <v>129</v>
      </c>
      <c r="C347" s="19" t="s">
        <v>28</v>
      </c>
      <c r="D347" s="19" t="s">
        <v>45</v>
      </c>
      <c r="E347" s="19">
        <v>1</v>
      </c>
      <c r="F347" s="19">
        <v>32</v>
      </c>
    </row>
    <row r="348" spans="1:6" x14ac:dyDescent="0.3">
      <c r="A348" s="19" t="s">
        <v>128</v>
      </c>
      <c r="B348" s="19" t="s">
        <v>129</v>
      </c>
      <c r="C348" s="19" t="s">
        <v>28</v>
      </c>
      <c r="D348" s="19" t="s">
        <v>47</v>
      </c>
      <c r="E348" s="19">
        <v>1</v>
      </c>
      <c r="F348" s="19">
        <v>25</v>
      </c>
    </row>
    <row r="349" spans="1:6" x14ac:dyDescent="0.3">
      <c r="A349" s="19" t="s">
        <v>128</v>
      </c>
      <c r="B349" s="19" t="s">
        <v>129</v>
      </c>
      <c r="C349" s="19" t="s">
        <v>28</v>
      </c>
      <c r="D349" s="19" t="s">
        <v>49</v>
      </c>
      <c r="E349" s="19">
        <v>0</v>
      </c>
      <c r="F349" s="19">
        <v>23</v>
      </c>
    </row>
    <row r="350" spans="1:6" x14ac:dyDescent="0.3">
      <c r="A350" s="19" t="s">
        <v>130</v>
      </c>
      <c r="B350" s="19" t="s">
        <v>131</v>
      </c>
      <c r="C350" s="19" t="s">
        <v>28</v>
      </c>
      <c r="D350" s="19" t="s">
        <v>27</v>
      </c>
      <c r="E350" s="19">
        <v>1</v>
      </c>
      <c r="F350" s="19">
        <v>23</v>
      </c>
    </row>
    <row r="351" spans="1:6" x14ac:dyDescent="0.3">
      <c r="A351" s="19" t="s">
        <v>130</v>
      </c>
      <c r="B351" s="19" t="s">
        <v>131</v>
      </c>
      <c r="C351" s="19" t="s">
        <v>28</v>
      </c>
      <c r="D351" s="19" t="s">
        <v>29</v>
      </c>
      <c r="E351" s="19">
        <v>0</v>
      </c>
      <c r="F351" s="19">
        <v>29</v>
      </c>
    </row>
    <row r="352" spans="1:6" x14ac:dyDescent="0.3">
      <c r="A352" s="19" t="s">
        <v>130</v>
      </c>
      <c r="B352" s="19" t="s">
        <v>131</v>
      </c>
      <c r="C352" s="19" t="s">
        <v>28</v>
      </c>
      <c r="D352" s="19" t="s">
        <v>31</v>
      </c>
      <c r="E352" s="19">
        <v>1</v>
      </c>
      <c r="F352" s="19">
        <v>26</v>
      </c>
    </row>
    <row r="353" spans="1:6" x14ac:dyDescent="0.3">
      <c r="A353" s="19" t="s">
        <v>130</v>
      </c>
      <c r="B353" s="19" t="s">
        <v>131</v>
      </c>
      <c r="C353" s="19" t="s">
        <v>28</v>
      </c>
      <c r="D353" s="19" t="s">
        <v>33</v>
      </c>
      <c r="E353" s="19">
        <v>1</v>
      </c>
      <c r="F353" s="19">
        <v>28</v>
      </c>
    </row>
    <row r="354" spans="1:6" x14ac:dyDescent="0.3">
      <c r="A354" s="19" t="s">
        <v>130</v>
      </c>
      <c r="B354" s="19" t="s">
        <v>131</v>
      </c>
      <c r="C354" s="19" t="s">
        <v>28</v>
      </c>
      <c r="D354" s="19" t="s">
        <v>35</v>
      </c>
      <c r="E354" s="19">
        <v>1</v>
      </c>
      <c r="F354" s="19">
        <v>26</v>
      </c>
    </row>
    <row r="355" spans="1:6" x14ac:dyDescent="0.3">
      <c r="A355" s="19" t="s">
        <v>130</v>
      </c>
      <c r="B355" s="19" t="s">
        <v>131</v>
      </c>
      <c r="C355" s="19" t="s">
        <v>28</v>
      </c>
      <c r="D355" s="19" t="s">
        <v>37</v>
      </c>
      <c r="E355" s="19">
        <v>1</v>
      </c>
      <c r="F355" s="19">
        <v>24</v>
      </c>
    </row>
    <row r="356" spans="1:6" x14ac:dyDescent="0.3">
      <c r="A356" s="19" t="s">
        <v>130</v>
      </c>
      <c r="B356" s="19" t="s">
        <v>131</v>
      </c>
      <c r="C356" s="19" t="s">
        <v>28</v>
      </c>
      <c r="D356" s="19" t="s">
        <v>39</v>
      </c>
      <c r="E356" s="19">
        <v>0</v>
      </c>
      <c r="F356" s="19">
        <v>25</v>
      </c>
    </row>
    <row r="357" spans="1:6" x14ac:dyDescent="0.3">
      <c r="A357" s="19" t="s">
        <v>130</v>
      </c>
      <c r="B357" s="19" t="s">
        <v>131</v>
      </c>
      <c r="C357" s="19" t="s">
        <v>28</v>
      </c>
      <c r="D357" s="19" t="s">
        <v>41</v>
      </c>
      <c r="E357" s="19">
        <v>1</v>
      </c>
      <c r="F357" s="19">
        <v>30</v>
      </c>
    </row>
    <row r="358" spans="1:6" x14ac:dyDescent="0.3">
      <c r="A358" s="19" t="s">
        <v>130</v>
      </c>
      <c r="B358" s="19" t="s">
        <v>131</v>
      </c>
      <c r="C358" s="19" t="s">
        <v>28</v>
      </c>
      <c r="D358" s="19" t="s">
        <v>43</v>
      </c>
      <c r="E358" s="19">
        <v>1</v>
      </c>
      <c r="F358" s="19">
        <v>23</v>
      </c>
    </row>
    <row r="359" spans="1:6" x14ac:dyDescent="0.3">
      <c r="A359" s="19" t="s">
        <v>130</v>
      </c>
      <c r="B359" s="19" t="s">
        <v>131</v>
      </c>
      <c r="C359" s="19" t="s">
        <v>28</v>
      </c>
      <c r="D359" s="19" t="s">
        <v>45</v>
      </c>
      <c r="E359" s="19">
        <v>1</v>
      </c>
      <c r="F359" s="19">
        <v>44</v>
      </c>
    </row>
    <row r="360" spans="1:6" x14ac:dyDescent="0.3">
      <c r="A360" s="19" t="s">
        <v>130</v>
      </c>
      <c r="B360" s="19" t="s">
        <v>131</v>
      </c>
      <c r="C360" s="19" t="s">
        <v>28</v>
      </c>
      <c r="D360" s="19" t="s">
        <v>47</v>
      </c>
      <c r="E360" s="19">
        <v>1</v>
      </c>
      <c r="F360" s="19">
        <v>32</v>
      </c>
    </row>
    <row r="361" spans="1:6" x14ac:dyDescent="0.3">
      <c r="A361" s="19" t="s">
        <v>130</v>
      </c>
      <c r="B361" s="19" t="s">
        <v>131</v>
      </c>
      <c r="C361" s="19" t="s">
        <v>28</v>
      </c>
      <c r="D361" s="19" t="s">
        <v>49</v>
      </c>
      <c r="E361" s="19">
        <v>0</v>
      </c>
      <c r="F361" s="19">
        <v>25</v>
      </c>
    </row>
    <row r="362" spans="1:6" x14ac:dyDescent="0.3">
      <c r="A362" s="19" t="s">
        <v>132</v>
      </c>
      <c r="B362" s="19" t="s">
        <v>133</v>
      </c>
      <c r="C362" s="19" t="s">
        <v>40</v>
      </c>
      <c r="D362" s="19" t="s">
        <v>27</v>
      </c>
      <c r="E362" s="19">
        <v>0</v>
      </c>
      <c r="F362" s="19">
        <v>28</v>
      </c>
    </row>
    <row r="363" spans="1:6" x14ac:dyDescent="0.3">
      <c r="A363" s="19" t="s">
        <v>132</v>
      </c>
      <c r="B363" s="19" t="s">
        <v>133</v>
      </c>
      <c r="C363" s="19" t="s">
        <v>40</v>
      </c>
      <c r="D363" s="19" t="s">
        <v>29</v>
      </c>
      <c r="E363" s="19">
        <v>0</v>
      </c>
      <c r="F363" s="19">
        <v>26</v>
      </c>
    </row>
    <row r="364" spans="1:6" x14ac:dyDescent="0.3">
      <c r="A364" s="19" t="s">
        <v>132</v>
      </c>
      <c r="B364" s="19" t="s">
        <v>133</v>
      </c>
      <c r="C364" s="19" t="s">
        <v>40</v>
      </c>
      <c r="D364" s="19" t="s">
        <v>31</v>
      </c>
      <c r="E364" s="19">
        <v>0</v>
      </c>
      <c r="F364" s="19">
        <v>25</v>
      </c>
    </row>
    <row r="365" spans="1:6" x14ac:dyDescent="0.3">
      <c r="A365" s="19" t="s">
        <v>132</v>
      </c>
      <c r="B365" s="19" t="s">
        <v>133</v>
      </c>
      <c r="C365" s="19" t="s">
        <v>40</v>
      </c>
      <c r="D365" s="19" t="s">
        <v>33</v>
      </c>
      <c r="E365" s="19">
        <v>1</v>
      </c>
      <c r="F365" s="19">
        <v>30</v>
      </c>
    </row>
    <row r="366" spans="1:6" x14ac:dyDescent="0.3">
      <c r="A366" s="19" t="s">
        <v>132</v>
      </c>
      <c r="B366" s="19" t="s">
        <v>133</v>
      </c>
      <c r="C366" s="19" t="s">
        <v>40</v>
      </c>
      <c r="D366" s="19" t="s">
        <v>35</v>
      </c>
      <c r="E366" s="19">
        <v>0</v>
      </c>
      <c r="F366" s="19">
        <v>30</v>
      </c>
    </row>
    <row r="367" spans="1:6" x14ac:dyDescent="0.3">
      <c r="A367" s="19" t="s">
        <v>132</v>
      </c>
      <c r="B367" s="19" t="s">
        <v>133</v>
      </c>
      <c r="C367" s="19" t="s">
        <v>40</v>
      </c>
      <c r="D367" s="19" t="s">
        <v>37</v>
      </c>
      <c r="E367" s="19">
        <v>1</v>
      </c>
      <c r="F367" s="19">
        <v>24</v>
      </c>
    </row>
    <row r="368" spans="1:6" x14ac:dyDescent="0.3">
      <c r="A368" s="19" t="s">
        <v>132</v>
      </c>
      <c r="B368" s="19" t="s">
        <v>133</v>
      </c>
      <c r="C368" s="19" t="s">
        <v>40</v>
      </c>
      <c r="D368" s="19" t="s">
        <v>39</v>
      </c>
      <c r="E368" s="19">
        <v>1</v>
      </c>
      <c r="F368" s="19">
        <v>31</v>
      </c>
    </row>
    <row r="369" spans="1:6" x14ac:dyDescent="0.3">
      <c r="A369" s="19" t="s">
        <v>132</v>
      </c>
      <c r="B369" s="19" t="s">
        <v>133</v>
      </c>
      <c r="C369" s="19" t="s">
        <v>40</v>
      </c>
      <c r="D369" s="19" t="s">
        <v>41</v>
      </c>
      <c r="E369" s="19">
        <v>0</v>
      </c>
      <c r="F369" s="19">
        <v>30</v>
      </c>
    </row>
    <row r="370" spans="1:6" x14ac:dyDescent="0.3">
      <c r="A370" s="19" t="s">
        <v>132</v>
      </c>
      <c r="B370" s="19" t="s">
        <v>133</v>
      </c>
      <c r="C370" s="19" t="s">
        <v>40</v>
      </c>
      <c r="D370" s="19" t="s">
        <v>43</v>
      </c>
      <c r="E370" s="19">
        <v>0</v>
      </c>
      <c r="F370" s="19">
        <v>25</v>
      </c>
    </row>
    <row r="371" spans="1:6" x14ac:dyDescent="0.3">
      <c r="A371" s="19" t="s">
        <v>132</v>
      </c>
      <c r="B371" s="19" t="s">
        <v>133</v>
      </c>
      <c r="C371" s="19" t="s">
        <v>40</v>
      </c>
      <c r="D371" s="19" t="s">
        <v>45</v>
      </c>
      <c r="E371" s="19">
        <v>1</v>
      </c>
      <c r="F371" s="19">
        <v>43</v>
      </c>
    </row>
    <row r="372" spans="1:6" x14ac:dyDescent="0.3">
      <c r="A372" s="19" t="s">
        <v>132</v>
      </c>
      <c r="B372" s="19" t="s">
        <v>133</v>
      </c>
      <c r="C372" s="19" t="s">
        <v>40</v>
      </c>
      <c r="D372" s="19" t="s">
        <v>47</v>
      </c>
      <c r="E372" s="19">
        <v>1</v>
      </c>
      <c r="F372" s="19">
        <v>30</v>
      </c>
    </row>
    <row r="373" spans="1:6" x14ac:dyDescent="0.3">
      <c r="A373" s="19" t="s">
        <v>132</v>
      </c>
      <c r="B373" s="19" t="s">
        <v>133</v>
      </c>
      <c r="C373" s="19" t="s">
        <v>40</v>
      </c>
      <c r="D373" s="19" t="s">
        <v>49</v>
      </c>
      <c r="E373" s="19">
        <v>1</v>
      </c>
      <c r="F373" s="19">
        <v>28</v>
      </c>
    </row>
    <row r="374" spans="1:6" x14ac:dyDescent="0.3">
      <c r="A374" s="19" t="s">
        <v>134</v>
      </c>
      <c r="B374" s="19" t="s">
        <v>135</v>
      </c>
      <c r="C374" s="19" t="s">
        <v>40</v>
      </c>
      <c r="D374" s="19" t="s">
        <v>27</v>
      </c>
      <c r="E374" s="19">
        <v>1</v>
      </c>
      <c r="F374" s="19">
        <v>28</v>
      </c>
    </row>
    <row r="375" spans="1:6" x14ac:dyDescent="0.3">
      <c r="A375" s="19" t="s">
        <v>134</v>
      </c>
      <c r="B375" s="19" t="s">
        <v>135</v>
      </c>
      <c r="C375" s="19" t="s">
        <v>40</v>
      </c>
      <c r="D375" s="19" t="s">
        <v>29</v>
      </c>
      <c r="E375" s="19">
        <v>0</v>
      </c>
      <c r="F375" s="19">
        <v>26</v>
      </c>
    </row>
    <row r="376" spans="1:6" x14ac:dyDescent="0.3">
      <c r="A376" s="19" t="s">
        <v>134</v>
      </c>
      <c r="B376" s="19" t="s">
        <v>135</v>
      </c>
      <c r="C376" s="19" t="s">
        <v>40</v>
      </c>
      <c r="D376" s="19" t="s">
        <v>31</v>
      </c>
      <c r="E376" s="19">
        <v>1</v>
      </c>
      <c r="F376" s="19">
        <v>24</v>
      </c>
    </row>
    <row r="377" spans="1:6" x14ac:dyDescent="0.3">
      <c r="A377" s="19" t="s">
        <v>134</v>
      </c>
      <c r="B377" s="19" t="s">
        <v>135</v>
      </c>
      <c r="C377" s="19" t="s">
        <v>40</v>
      </c>
      <c r="D377" s="19" t="s">
        <v>33</v>
      </c>
      <c r="E377" s="19">
        <v>1</v>
      </c>
      <c r="F377" s="19">
        <v>26</v>
      </c>
    </row>
    <row r="378" spans="1:6" x14ac:dyDescent="0.3">
      <c r="A378" s="19" t="s">
        <v>134</v>
      </c>
      <c r="B378" s="19" t="s">
        <v>135</v>
      </c>
      <c r="C378" s="19" t="s">
        <v>40</v>
      </c>
      <c r="D378" s="19" t="s">
        <v>35</v>
      </c>
      <c r="E378" s="19">
        <v>0</v>
      </c>
      <c r="F378" s="19">
        <v>24</v>
      </c>
    </row>
    <row r="379" spans="1:6" x14ac:dyDescent="0.3">
      <c r="A379" s="19" t="s">
        <v>134</v>
      </c>
      <c r="B379" s="19" t="s">
        <v>135</v>
      </c>
      <c r="C379" s="19" t="s">
        <v>40</v>
      </c>
      <c r="D379" s="19" t="s">
        <v>37</v>
      </c>
      <c r="E379" s="19">
        <v>0</v>
      </c>
      <c r="F379" s="19">
        <v>22</v>
      </c>
    </row>
    <row r="380" spans="1:6" x14ac:dyDescent="0.3">
      <c r="A380" s="19" t="s">
        <v>134</v>
      </c>
      <c r="B380" s="19" t="s">
        <v>135</v>
      </c>
      <c r="C380" s="19" t="s">
        <v>40</v>
      </c>
      <c r="D380" s="19" t="s">
        <v>39</v>
      </c>
      <c r="E380" s="19">
        <v>1</v>
      </c>
      <c r="F380" s="19">
        <v>23</v>
      </c>
    </row>
    <row r="381" spans="1:6" x14ac:dyDescent="0.3">
      <c r="A381" s="19" t="s">
        <v>134</v>
      </c>
      <c r="B381" s="19" t="s">
        <v>135</v>
      </c>
      <c r="C381" s="19" t="s">
        <v>40</v>
      </c>
      <c r="D381" s="19" t="s">
        <v>41</v>
      </c>
      <c r="E381" s="19">
        <v>0</v>
      </c>
      <c r="F381" s="19">
        <v>22</v>
      </c>
    </row>
    <row r="382" spans="1:6" x14ac:dyDescent="0.3">
      <c r="A382" s="19" t="s">
        <v>134</v>
      </c>
      <c r="B382" s="19" t="s">
        <v>135</v>
      </c>
      <c r="C382" s="19" t="s">
        <v>40</v>
      </c>
      <c r="D382" s="19" t="s">
        <v>43</v>
      </c>
      <c r="E382" s="19">
        <v>0</v>
      </c>
      <c r="F382" s="19">
        <v>23</v>
      </c>
    </row>
    <row r="383" spans="1:6" x14ac:dyDescent="0.3">
      <c r="A383" s="19" t="s">
        <v>134</v>
      </c>
      <c r="B383" s="19" t="s">
        <v>135</v>
      </c>
      <c r="C383" s="19" t="s">
        <v>40</v>
      </c>
      <c r="D383" s="19" t="s">
        <v>45</v>
      </c>
      <c r="E383" s="19">
        <v>1</v>
      </c>
      <c r="F383" s="19">
        <v>43</v>
      </c>
    </row>
    <row r="384" spans="1:6" x14ac:dyDescent="0.3">
      <c r="A384" s="19" t="s">
        <v>134</v>
      </c>
      <c r="B384" s="19" t="s">
        <v>135</v>
      </c>
      <c r="C384" s="19" t="s">
        <v>40</v>
      </c>
      <c r="D384" s="19" t="s">
        <v>47</v>
      </c>
      <c r="E384" s="19">
        <v>1</v>
      </c>
      <c r="F384" s="19">
        <v>28</v>
      </c>
    </row>
    <row r="385" spans="1:6" x14ac:dyDescent="0.3">
      <c r="A385" s="19" t="s">
        <v>134</v>
      </c>
      <c r="B385" s="19" t="s">
        <v>135</v>
      </c>
      <c r="C385" s="19" t="s">
        <v>40</v>
      </c>
      <c r="D385" s="19" t="s">
        <v>49</v>
      </c>
      <c r="E385" s="19">
        <v>0</v>
      </c>
      <c r="F385" s="19">
        <v>21</v>
      </c>
    </row>
    <row r="386" spans="1:6" x14ac:dyDescent="0.3">
      <c r="A386" s="19" t="s">
        <v>136</v>
      </c>
      <c r="B386" s="19" t="s">
        <v>137</v>
      </c>
      <c r="C386" s="19" t="s">
        <v>40</v>
      </c>
      <c r="D386" s="19" t="s">
        <v>27</v>
      </c>
      <c r="E386" s="19">
        <v>0</v>
      </c>
      <c r="F386" s="19">
        <v>32</v>
      </c>
    </row>
    <row r="387" spans="1:6" x14ac:dyDescent="0.3">
      <c r="A387" s="19" t="s">
        <v>136</v>
      </c>
      <c r="B387" s="19" t="s">
        <v>137</v>
      </c>
      <c r="C387" s="19" t="s">
        <v>40</v>
      </c>
      <c r="D387" s="19" t="s">
        <v>29</v>
      </c>
      <c r="E387" s="19">
        <v>1</v>
      </c>
      <c r="F387" s="19">
        <v>35</v>
      </c>
    </row>
    <row r="388" spans="1:6" x14ac:dyDescent="0.3">
      <c r="A388" s="19" t="s">
        <v>136</v>
      </c>
      <c r="B388" s="19" t="s">
        <v>137</v>
      </c>
      <c r="C388" s="19" t="s">
        <v>40</v>
      </c>
      <c r="D388" s="19" t="s">
        <v>31</v>
      </c>
      <c r="E388" s="19">
        <v>0</v>
      </c>
      <c r="F388" s="19">
        <v>29</v>
      </c>
    </row>
    <row r="389" spans="1:6" x14ac:dyDescent="0.3">
      <c r="A389" s="19" t="s">
        <v>136</v>
      </c>
      <c r="B389" s="19" t="s">
        <v>137</v>
      </c>
      <c r="C389" s="19" t="s">
        <v>40</v>
      </c>
      <c r="D389" s="19" t="s">
        <v>33</v>
      </c>
      <c r="E389" s="19">
        <v>0</v>
      </c>
      <c r="F389" s="19">
        <v>31</v>
      </c>
    </row>
    <row r="390" spans="1:6" x14ac:dyDescent="0.3">
      <c r="A390" s="19" t="s">
        <v>136</v>
      </c>
      <c r="B390" s="19" t="s">
        <v>137</v>
      </c>
      <c r="C390" s="19" t="s">
        <v>40</v>
      </c>
      <c r="D390" s="19" t="s">
        <v>35</v>
      </c>
      <c r="E390" s="19">
        <v>1</v>
      </c>
      <c r="F390" s="19">
        <v>33</v>
      </c>
    </row>
    <row r="391" spans="1:6" x14ac:dyDescent="0.3">
      <c r="A391" s="19" t="s">
        <v>136</v>
      </c>
      <c r="B391" s="19" t="s">
        <v>137</v>
      </c>
      <c r="C391" s="19" t="s">
        <v>40</v>
      </c>
      <c r="D391" s="19" t="s">
        <v>37</v>
      </c>
      <c r="E391" s="19">
        <v>0</v>
      </c>
      <c r="F391" s="19">
        <v>28</v>
      </c>
    </row>
    <row r="392" spans="1:6" x14ac:dyDescent="0.3">
      <c r="A392" s="19" t="s">
        <v>136</v>
      </c>
      <c r="B392" s="19" t="s">
        <v>137</v>
      </c>
      <c r="C392" s="19" t="s">
        <v>40</v>
      </c>
      <c r="D392" s="19" t="s">
        <v>39</v>
      </c>
      <c r="E392" s="19">
        <v>0</v>
      </c>
      <c r="F392" s="19">
        <v>31</v>
      </c>
    </row>
    <row r="393" spans="1:6" x14ac:dyDescent="0.3">
      <c r="A393" s="19" t="s">
        <v>136</v>
      </c>
      <c r="B393" s="19" t="s">
        <v>137</v>
      </c>
      <c r="C393" s="19" t="s">
        <v>40</v>
      </c>
      <c r="D393" s="19" t="s">
        <v>41</v>
      </c>
      <c r="E393" s="19">
        <v>0</v>
      </c>
      <c r="F393" s="19">
        <v>29</v>
      </c>
    </row>
    <row r="394" spans="1:6" x14ac:dyDescent="0.3">
      <c r="A394" s="19" t="s">
        <v>136</v>
      </c>
      <c r="B394" s="19" t="s">
        <v>137</v>
      </c>
      <c r="C394" s="19" t="s">
        <v>40</v>
      </c>
      <c r="D394" s="19" t="s">
        <v>43</v>
      </c>
      <c r="E394" s="19">
        <v>1</v>
      </c>
      <c r="F394" s="19">
        <v>34</v>
      </c>
    </row>
    <row r="395" spans="1:6" x14ac:dyDescent="0.3">
      <c r="A395" s="19" t="s">
        <v>136</v>
      </c>
      <c r="B395" s="19" t="s">
        <v>137</v>
      </c>
      <c r="C395" s="19" t="s">
        <v>40</v>
      </c>
      <c r="D395" s="19" t="s">
        <v>45</v>
      </c>
      <c r="E395" s="19">
        <v>1</v>
      </c>
      <c r="F395" s="19">
        <v>47</v>
      </c>
    </row>
    <row r="396" spans="1:6" x14ac:dyDescent="0.3">
      <c r="A396" s="19" t="s">
        <v>136</v>
      </c>
      <c r="B396" s="19" t="s">
        <v>137</v>
      </c>
      <c r="C396" s="19" t="s">
        <v>40</v>
      </c>
      <c r="D396" s="19" t="s">
        <v>47</v>
      </c>
      <c r="E396" s="19">
        <v>1</v>
      </c>
      <c r="F396" s="19">
        <v>36</v>
      </c>
    </row>
    <row r="397" spans="1:6" x14ac:dyDescent="0.3">
      <c r="A397" s="19" t="s">
        <v>136</v>
      </c>
      <c r="B397" s="19" t="s">
        <v>137</v>
      </c>
      <c r="C397" s="19" t="s">
        <v>40</v>
      </c>
      <c r="D397" s="19" t="s">
        <v>49</v>
      </c>
      <c r="E397" s="19">
        <v>0</v>
      </c>
      <c r="F397" s="19">
        <v>31</v>
      </c>
    </row>
    <row r="398" spans="1:6" x14ac:dyDescent="0.3">
      <c r="A398" s="19" t="s">
        <v>138</v>
      </c>
      <c r="B398" s="19" t="s">
        <v>139</v>
      </c>
      <c r="C398" s="19" t="s">
        <v>40</v>
      </c>
      <c r="D398" s="19" t="s">
        <v>27</v>
      </c>
      <c r="E398" s="19">
        <v>0</v>
      </c>
      <c r="F398" s="19">
        <v>24</v>
      </c>
    </row>
    <row r="399" spans="1:6" x14ac:dyDescent="0.3">
      <c r="A399" s="19" t="s">
        <v>138</v>
      </c>
      <c r="B399" s="19" t="s">
        <v>139</v>
      </c>
      <c r="C399" s="19" t="s">
        <v>40</v>
      </c>
      <c r="D399" s="19" t="s">
        <v>29</v>
      </c>
      <c r="E399" s="19">
        <v>0</v>
      </c>
      <c r="F399" s="19">
        <v>20</v>
      </c>
    </row>
    <row r="400" spans="1:6" x14ac:dyDescent="0.3">
      <c r="A400" s="19" t="s">
        <v>138</v>
      </c>
      <c r="B400" s="19" t="s">
        <v>139</v>
      </c>
      <c r="C400" s="19" t="s">
        <v>40</v>
      </c>
      <c r="D400" s="19" t="s">
        <v>31</v>
      </c>
      <c r="E400" s="19">
        <v>0</v>
      </c>
      <c r="F400" s="19">
        <v>22</v>
      </c>
    </row>
    <row r="401" spans="1:6" x14ac:dyDescent="0.3">
      <c r="A401" s="19" t="s">
        <v>138</v>
      </c>
      <c r="B401" s="19" t="s">
        <v>139</v>
      </c>
      <c r="C401" s="19" t="s">
        <v>40</v>
      </c>
      <c r="D401" s="19" t="s">
        <v>33</v>
      </c>
      <c r="E401" s="19">
        <v>0</v>
      </c>
      <c r="F401" s="19">
        <v>23</v>
      </c>
    </row>
    <row r="402" spans="1:6" x14ac:dyDescent="0.3">
      <c r="A402" s="19" t="s">
        <v>138</v>
      </c>
      <c r="B402" s="19" t="s">
        <v>139</v>
      </c>
      <c r="C402" s="19" t="s">
        <v>40</v>
      </c>
      <c r="D402" s="19" t="s">
        <v>35</v>
      </c>
      <c r="E402" s="19">
        <v>0</v>
      </c>
      <c r="F402" s="19">
        <v>23</v>
      </c>
    </row>
    <row r="403" spans="1:6" x14ac:dyDescent="0.3">
      <c r="A403" s="19" t="s">
        <v>138</v>
      </c>
      <c r="B403" s="19" t="s">
        <v>139</v>
      </c>
      <c r="C403" s="19" t="s">
        <v>40</v>
      </c>
      <c r="D403" s="19" t="s">
        <v>37</v>
      </c>
      <c r="E403" s="19">
        <v>0</v>
      </c>
      <c r="F403" s="19">
        <v>24</v>
      </c>
    </row>
    <row r="404" spans="1:6" x14ac:dyDescent="0.3">
      <c r="A404" s="19" t="s">
        <v>138</v>
      </c>
      <c r="B404" s="19" t="s">
        <v>139</v>
      </c>
      <c r="C404" s="19" t="s">
        <v>40</v>
      </c>
      <c r="D404" s="19" t="s">
        <v>39</v>
      </c>
      <c r="E404" s="19">
        <v>0</v>
      </c>
      <c r="F404" s="19">
        <v>26</v>
      </c>
    </row>
    <row r="405" spans="1:6" x14ac:dyDescent="0.3">
      <c r="A405" s="19" t="s">
        <v>138</v>
      </c>
      <c r="B405" s="19" t="s">
        <v>139</v>
      </c>
      <c r="C405" s="19" t="s">
        <v>40</v>
      </c>
      <c r="D405" s="19" t="s">
        <v>41</v>
      </c>
      <c r="E405" s="19">
        <v>0</v>
      </c>
      <c r="F405" s="19">
        <v>24</v>
      </c>
    </row>
    <row r="406" spans="1:6" x14ac:dyDescent="0.3">
      <c r="A406" s="19" t="s">
        <v>138</v>
      </c>
      <c r="B406" s="19" t="s">
        <v>139</v>
      </c>
      <c r="C406" s="19" t="s">
        <v>40</v>
      </c>
      <c r="D406" s="19" t="s">
        <v>43</v>
      </c>
      <c r="E406" s="19">
        <v>0</v>
      </c>
      <c r="F406" s="19">
        <v>24</v>
      </c>
    </row>
    <row r="407" spans="1:6" x14ac:dyDescent="0.3">
      <c r="A407" s="19" t="s">
        <v>138</v>
      </c>
      <c r="B407" s="19" t="s">
        <v>139</v>
      </c>
      <c r="C407" s="19" t="s">
        <v>40</v>
      </c>
      <c r="D407" s="19" t="s">
        <v>45</v>
      </c>
      <c r="E407" s="19">
        <v>0</v>
      </c>
      <c r="F407" s="19">
        <v>41</v>
      </c>
    </row>
    <row r="408" spans="1:6" x14ac:dyDescent="0.3">
      <c r="A408" s="19" t="s">
        <v>138</v>
      </c>
      <c r="B408" s="19" t="s">
        <v>139</v>
      </c>
      <c r="C408" s="19" t="s">
        <v>40</v>
      </c>
      <c r="D408" s="19" t="s">
        <v>47</v>
      </c>
      <c r="E408" s="19">
        <v>1</v>
      </c>
      <c r="F408" s="19">
        <v>26</v>
      </c>
    </row>
    <row r="409" spans="1:6" x14ac:dyDescent="0.3">
      <c r="A409" s="19" t="s">
        <v>138</v>
      </c>
      <c r="B409" s="19" t="s">
        <v>139</v>
      </c>
      <c r="C409" s="19" t="s">
        <v>40</v>
      </c>
      <c r="D409" s="19" t="s">
        <v>49</v>
      </c>
      <c r="E409" s="19">
        <v>0</v>
      </c>
      <c r="F409" s="19">
        <v>23</v>
      </c>
    </row>
    <row r="410" spans="1:6" x14ac:dyDescent="0.3">
      <c r="A410" s="19" t="s">
        <v>140</v>
      </c>
      <c r="B410" s="19" t="s">
        <v>141</v>
      </c>
      <c r="C410" s="19" t="s">
        <v>40</v>
      </c>
      <c r="D410" s="19" t="s">
        <v>27</v>
      </c>
      <c r="E410" s="19">
        <v>0</v>
      </c>
      <c r="F410" s="19">
        <v>6</v>
      </c>
    </row>
    <row r="411" spans="1:6" x14ac:dyDescent="0.3">
      <c r="A411" s="19" t="s">
        <v>140</v>
      </c>
      <c r="B411" s="19" t="s">
        <v>141</v>
      </c>
      <c r="C411" s="19" t="s">
        <v>40</v>
      </c>
      <c r="D411" s="19" t="s">
        <v>29</v>
      </c>
      <c r="E411" s="19">
        <v>0</v>
      </c>
      <c r="F411" s="19">
        <v>7</v>
      </c>
    </row>
    <row r="412" spans="1:6" x14ac:dyDescent="0.3">
      <c r="A412" s="19" t="s">
        <v>140</v>
      </c>
      <c r="B412" s="19" t="s">
        <v>141</v>
      </c>
      <c r="C412" s="19" t="s">
        <v>40</v>
      </c>
      <c r="D412" s="19" t="s">
        <v>31</v>
      </c>
      <c r="E412" s="19">
        <v>0</v>
      </c>
      <c r="F412" s="19">
        <v>6</v>
      </c>
    </row>
    <row r="413" spans="1:6" x14ac:dyDescent="0.3">
      <c r="A413" s="19" t="s">
        <v>140</v>
      </c>
      <c r="B413" s="19" t="s">
        <v>141</v>
      </c>
      <c r="C413" s="19" t="s">
        <v>40</v>
      </c>
      <c r="D413" s="19" t="s">
        <v>33</v>
      </c>
      <c r="E413" s="19">
        <v>0</v>
      </c>
      <c r="F413" s="19">
        <v>6</v>
      </c>
    </row>
    <row r="414" spans="1:6" x14ac:dyDescent="0.3">
      <c r="A414" s="19" t="s">
        <v>140</v>
      </c>
      <c r="B414" s="19" t="s">
        <v>141</v>
      </c>
      <c r="C414" s="19" t="s">
        <v>40</v>
      </c>
      <c r="D414" s="19" t="s">
        <v>35</v>
      </c>
      <c r="E414" s="19">
        <v>0</v>
      </c>
      <c r="F414" s="19">
        <v>6</v>
      </c>
    </row>
    <row r="415" spans="1:6" x14ac:dyDescent="0.3">
      <c r="A415" s="19" t="s">
        <v>140</v>
      </c>
      <c r="B415" s="19" t="s">
        <v>141</v>
      </c>
      <c r="C415" s="19" t="s">
        <v>40</v>
      </c>
      <c r="D415" s="19" t="s">
        <v>37</v>
      </c>
      <c r="E415" s="19">
        <v>0</v>
      </c>
      <c r="F415" s="19">
        <v>6</v>
      </c>
    </row>
    <row r="416" spans="1:6" x14ac:dyDescent="0.3">
      <c r="A416" s="19" t="s">
        <v>140</v>
      </c>
      <c r="B416" s="19" t="s">
        <v>141</v>
      </c>
      <c r="C416" s="19" t="s">
        <v>40</v>
      </c>
      <c r="D416" s="19" t="s">
        <v>39</v>
      </c>
      <c r="E416" s="19">
        <v>0</v>
      </c>
      <c r="F416" s="19">
        <v>6</v>
      </c>
    </row>
    <row r="417" spans="1:6" x14ac:dyDescent="0.3">
      <c r="A417" s="19" t="s">
        <v>140</v>
      </c>
      <c r="B417" s="19" t="s">
        <v>141</v>
      </c>
      <c r="C417" s="19" t="s">
        <v>40</v>
      </c>
      <c r="D417" s="19" t="s">
        <v>41</v>
      </c>
      <c r="E417" s="19">
        <v>0</v>
      </c>
      <c r="F417" s="19">
        <v>6</v>
      </c>
    </row>
    <row r="418" spans="1:6" x14ac:dyDescent="0.3">
      <c r="A418" s="19" t="s">
        <v>140</v>
      </c>
      <c r="B418" s="19" t="s">
        <v>141</v>
      </c>
      <c r="C418" s="19" t="s">
        <v>40</v>
      </c>
      <c r="D418" s="19" t="s">
        <v>43</v>
      </c>
      <c r="E418" s="19">
        <v>0</v>
      </c>
      <c r="F418" s="19">
        <v>6</v>
      </c>
    </row>
    <row r="419" spans="1:6" x14ac:dyDescent="0.3">
      <c r="A419" s="19" t="s">
        <v>140</v>
      </c>
      <c r="B419" s="19" t="s">
        <v>141</v>
      </c>
      <c r="C419" s="19" t="s">
        <v>40</v>
      </c>
      <c r="D419" s="19" t="s">
        <v>45</v>
      </c>
      <c r="E419" s="19">
        <v>0</v>
      </c>
      <c r="F419" s="19">
        <v>11</v>
      </c>
    </row>
    <row r="420" spans="1:6" x14ac:dyDescent="0.3">
      <c r="A420" s="19" t="s">
        <v>140</v>
      </c>
      <c r="B420" s="19" t="s">
        <v>141</v>
      </c>
      <c r="C420" s="19" t="s">
        <v>40</v>
      </c>
      <c r="D420" s="19" t="s">
        <v>47</v>
      </c>
      <c r="E420" s="19">
        <v>0</v>
      </c>
      <c r="F420" s="19">
        <v>7</v>
      </c>
    </row>
    <row r="421" spans="1:6" x14ac:dyDescent="0.3">
      <c r="A421" s="19" t="s">
        <v>140</v>
      </c>
      <c r="B421" s="19" t="s">
        <v>141</v>
      </c>
      <c r="C421" s="19" t="s">
        <v>40</v>
      </c>
      <c r="D421" s="19" t="s">
        <v>49</v>
      </c>
      <c r="E421" s="19">
        <v>0</v>
      </c>
      <c r="F421" s="19">
        <v>7</v>
      </c>
    </row>
    <row r="422" spans="1:6" x14ac:dyDescent="0.3">
      <c r="A422" s="19" t="s">
        <v>142</v>
      </c>
      <c r="B422" s="19" t="s">
        <v>143</v>
      </c>
      <c r="C422" s="19" t="s">
        <v>48</v>
      </c>
      <c r="D422" s="19" t="s">
        <v>27</v>
      </c>
      <c r="E422" s="19">
        <v>0</v>
      </c>
      <c r="F422" s="19">
        <v>16</v>
      </c>
    </row>
    <row r="423" spans="1:6" x14ac:dyDescent="0.3">
      <c r="A423" s="19" t="s">
        <v>142</v>
      </c>
      <c r="B423" s="19" t="s">
        <v>143</v>
      </c>
      <c r="C423" s="19" t="s">
        <v>48</v>
      </c>
      <c r="D423" s="19" t="s">
        <v>29</v>
      </c>
      <c r="E423" s="19">
        <v>0</v>
      </c>
      <c r="F423" s="19">
        <v>18</v>
      </c>
    </row>
    <row r="424" spans="1:6" x14ac:dyDescent="0.3">
      <c r="A424" s="19" t="s">
        <v>142</v>
      </c>
      <c r="B424" s="19" t="s">
        <v>143</v>
      </c>
      <c r="C424" s="19" t="s">
        <v>48</v>
      </c>
      <c r="D424" s="19" t="s">
        <v>31</v>
      </c>
      <c r="E424" s="19">
        <v>0</v>
      </c>
      <c r="F424" s="19">
        <v>17</v>
      </c>
    </row>
    <row r="425" spans="1:6" x14ac:dyDescent="0.3">
      <c r="A425" s="19" t="s">
        <v>142</v>
      </c>
      <c r="B425" s="19" t="s">
        <v>143</v>
      </c>
      <c r="C425" s="19" t="s">
        <v>48</v>
      </c>
      <c r="D425" s="19" t="s">
        <v>33</v>
      </c>
      <c r="E425" s="19">
        <v>0</v>
      </c>
      <c r="F425" s="19">
        <v>16</v>
      </c>
    </row>
    <row r="426" spans="1:6" x14ac:dyDescent="0.3">
      <c r="A426" s="19" t="s">
        <v>142</v>
      </c>
      <c r="B426" s="19" t="s">
        <v>143</v>
      </c>
      <c r="C426" s="19" t="s">
        <v>48</v>
      </c>
      <c r="D426" s="19" t="s">
        <v>35</v>
      </c>
      <c r="E426" s="19">
        <v>0</v>
      </c>
      <c r="F426" s="19">
        <v>16</v>
      </c>
    </row>
    <row r="427" spans="1:6" x14ac:dyDescent="0.3">
      <c r="A427" s="19" t="s">
        <v>142</v>
      </c>
      <c r="B427" s="19" t="s">
        <v>143</v>
      </c>
      <c r="C427" s="19" t="s">
        <v>48</v>
      </c>
      <c r="D427" s="19" t="s">
        <v>37</v>
      </c>
      <c r="E427" s="19">
        <v>1</v>
      </c>
      <c r="F427" s="19">
        <v>15</v>
      </c>
    </row>
    <row r="428" spans="1:6" x14ac:dyDescent="0.3">
      <c r="A428" s="19" t="s">
        <v>142</v>
      </c>
      <c r="B428" s="19" t="s">
        <v>143</v>
      </c>
      <c r="C428" s="19" t="s">
        <v>48</v>
      </c>
      <c r="D428" s="19" t="s">
        <v>39</v>
      </c>
      <c r="E428" s="19">
        <v>1</v>
      </c>
      <c r="F428" s="19">
        <v>18</v>
      </c>
    </row>
    <row r="429" spans="1:6" x14ac:dyDescent="0.3">
      <c r="A429" s="19" t="s">
        <v>142</v>
      </c>
      <c r="B429" s="19" t="s">
        <v>143</v>
      </c>
      <c r="C429" s="19" t="s">
        <v>48</v>
      </c>
      <c r="D429" s="19" t="s">
        <v>41</v>
      </c>
      <c r="E429" s="19">
        <v>0</v>
      </c>
      <c r="F429" s="19">
        <v>16</v>
      </c>
    </row>
    <row r="430" spans="1:6" x14ac:dyDescent="0.3">
      <c r="A430" s="19" t="s">
        <v>142</v>
      </c>
      <c r="B430" s="19" t="s">
        <v>143</v>
      </c>
      <c r="C430" s="19" t="s">
        <v>48</v>
      </c>
      <c r="D430" s="19" t="s">
        <v>43</v>
      </c>
      <c r="E430" s="19">
        <v>0</v>
      </c>
      <c r="F430" s="19">
        <v>18</v>
      </c>
    </row>
    <row r="431" spans="1:6" x14ac:dyDescent="0.3">
      <c r="A431" s="19" t="s">
        <v>142</v>
      </c>
      <c r="B431" s="19" t="s">
        <v>143</v>
      </c>
      <c r="C431" s="19" t="s">
        <v>48</v>
      </c>
      <c r="D431" s="19" t="s">
        <v>45</v>
      </c>
      <c r="E431" s="19">
        <v>0</v>
      </c>
      <c r="F431" s="19">
        <v>25</v>
      </c>
    </row>
    <row r="432" spans="1:6" x14ac:dyDescent="0.3">
      <c r="A432" s="19" t="s">
        <v>142</v>
      </c>
      <c r="B432" s="19" t="s">
        <v>143</v>
      </c>
      <c r="C432" s="19" t="s">
        <v>48</v>
      </c>
      <c r="D432" s="19" t="s">
        <v>47</v>
      </c>
      <c r="E432" s="19">
        <v>1</v>
      </c>
      <c r="F432" s="19">
        <v>19</v>
      </c>
    </row>
    <row r="433" spans="1:6" x14ac:dyDescent="0.3">
      <c r="A433" s="19" t="s">
        <v>142</v>
      </c>
      <c r="B433" s="19" t="s">
        <v>143</v>
      </c>
      <c r="C433" s="19" t="s">
        <v>48</v>
      </c>
      <c r="D433" s="19" t="s">
        <v>49</v>
      </c>
      <c r="E433" s="19">
        <v>0</v>
      </c>
      <c r="F433" s="19">
        <v>19</v>
      </c>
    </row>
    <row r="434" spans="1:6" x14ac:dyDescent="0.3">
      <c r="A434" s="19" t="s">
        <v>144</v>
      </c>
      <c r="B434" s="19" t="s">
        <v>145</v>
      </c>
      <c r="C434" s="19" t="s">
        <v>48</v>
      </c>
      <c r="D434" s="19" t="s">
        <v>27</v>
      </c>
      <c r="E434" s="19">
        <v>0</v>
      </c>
      <c r="F434" s="19">
        <v>38</v>
      </c>
    </row>
    <row r="435" spans="1:6" x14ac:dyDescent="0.3">
      <c r="A435" s="19" t="s">
        <v>144</v>
      </c>
      <c r="B435" s="19" t="s">
        <v>145</v>
      </c>
      <c r="C435" s="19" t="s">
        <v>48</v>
      </c>
      <c r="D435" s="19" t="s">
        <v>29</v>
      </c>
      <c r="E435" s="19">
        <v>1</v>
      </c>
      <c r="F435" s="19">
        <v>38</v>
      </c>
    </row>
    <row r="436" spans="1:6" x14ac:dyDescent="0.3">
      <c r="A436" s="19" t="s">
        <v>144</v>
      </c>
      <c r="B436" s="19" t="s">
        <v>145</v>
      </c>
      <c r="C436" s="19" t="s">
        <v>48</v>
      </c>
      <c r="D436" s="19" t="s">
        <v>31</v>
      </c>
      <c r="E436" s="19">
        <v>0</v>
      </c>
      <c r="F436" s="19">
        <v>39</v>
      </c>
    </row>
    <row r="437" spans="1:6" x14ac:dyDescent="0.3">
      <c r="A437" s="19" t="s">
        <v>144</v>
      </c>
      <c r="B437" s="19" t="s">
        <v>145</v>
      </c>
      <c r="C437" s="19" t="s">
        <v>48</v>
      </c>
      <c r="D437" s="19" t="s">
        <v>33</v>
      </c>
      <c r="E437" s="19">
        <v>1</v>
      </c>
      <c r="F437" s="19">
        <v>39</v>
      </c>
    </row>
    <row r="438" spans="1:6" x14ac:dyDescent="0.3">
      <c r="A438" s="19" t="s">
        <v>144</v>
      </c>
      <c r="B438" s="19" t="s">
        <v>145</v>
      </c>
      <c r="C438" s="19" t="s">
        <v>48</v>
      </c>
      <c r="D438" s="19" t="s">
        <v>35</v>
      </c>
      <c r="E438" s="19">
        <v>1</v>
      </c>
      <c r="F438" s="19">
        <v>38</v>
      </c>
    </row>
    <row r="439" spans="1:6" x14ac:dyDescent="0.3">
      <c r="A439" s="19" t="s">
        <v>144</v>
      </c>
      <c r="B439" s="19" t="s">
        <v>145</v>
      </c>
      <c r="C439" s="19" t="s">
        <v>48</v>
      </c>
      <c r="D439" s="19" t="s">
        <v>37</v>
      </c>
      <c r="E439" s="19">
        <v>1</v>
      </c>
      <c r="F439" s="19">
        <v>33</v>
      </c>
    </row>
    <row r="440" spans="1:6" x14ac:dyDescent="0.3">
      <c r="A440" s="19" t="s">
        <v>144</v>
      </c>
      <c r="B440" s="19" t="s">
        <v>145</v>
      </c>
      <c r="C440" s="19" t="s">
        <v>48</v>
      </c>
      <c r="D440" s="19" t="s">
        <v>39</v>
      </c>
      <c r="E440" s="19">
        <v>1</v>
      </c>
      <c r="F440" s="19">
        <v>39</v>
      </c>
    </row>
    <row r="441" spans="1:6" x14ac:dyDescent="0.3">
      <c r="A441" s="19" t="s">
        <v>144</v>
      </c>
      <c r="B441" s="19" t="s">
        <v>145</v>
      </c>
      <c r="C441" s="19" t="s">
        <v>48</v>
      </c>
      <c r="D441" s="19" t="s">
        <v>41</v>
      </c>
      <c r="E441" s="19">
        <v>1</v>
      </c>
      <c r="F441" s="19">
        <v>35</v>
      </c>
    </row>
    <row r="442" spans="1:6" x14ac:dyDescent="0.3">
      <c r="A442" s="19" t="s">
        <v>144</v>
      </c>
      <c r="B442" s="19" t="s">
        <v>145</v>
      </c>
      <c r="C442" s="19" t="s">
        <v>48</v>
      </c>
      <c r="D442" s="19" t="s">
        <v>43</v>
      </c>
      <c r="E442" s="19">
        <v>1</v>
      </c>
      <c r="F442" s="19">
        <v>33</v>
      </c>
    </row>
    <row r="443" spans="1:6" x14ac:dyDescent="0.3">
      <c r="A443" s="19" t="s">
        <v>144</v>
      </c>
      <c r="B443" s="19" t="s">
        <v>145</v>
      </c>
      <c r="C443" s="19" t="s">
        <v>48</v>
      </c>
      <c r="D443" s="19" t="s">
        <v>45</v>
      </c>
      <c r="E443" s="19">
        <v>1</v>
      </c>
      <c r="F443" s="19">
        <v>58</v>
      </c>
    </row>
    <row r="444" spans="1:6" x14ac:dyDescent="0.3">
      <c r="A444" s="19" t="s">
        <v>144</v>
      </c>
      <c r="B444" s="19" t="s">
        <v>145</v>
      </c>
      <c r="C444" s="19" t="s">
        <v>48</v>
      </c>
      <c r="D444" s="19" t="s">
        <v>47</v>
      </c>
      <c r="E444" s="19">
        <v>1</v>
      </c>
      <c r="F444" s="19">
        <v>38</v>
      </c>
    </row>
    <row r="445" spans="1:6" x14ac:dyDescent="0.3">
      <c r="A445" s="19" t="s">
        <v>144</v>
      </c>
      <c r="B445" s="19" t="s">
        <v>145</v>
      </c>
      <c r="C445" s="19" t="s">
        <v>48</v>
      </c>
      <c r="D445" s="19" t="s">
        <v>49</v>
      </c>
      <c r="E445" s="19">
        <v>0</v>
      </c>
      <c r="F445" s="19">
        <v>36</v>
      </c>
    </row>
    <row r="446" spans="1:6" x14ac:dyDescent="0.3">
      <c r="A446" s="19" t="s">
        <v>146</v>
      </c>
      <c r="B446" s="19" t="s">
        <v>147</v>
      </c>
      <c r="C446" s="19" t="s">
        <v>48</v>
      </c>
      <c r="D446" s="19" t="s">
        <v>27</v>
      </c>
      <c r="E446" s="19">
        <v>0</v>
      </c>
      <c r="F446" s="19">
        <v>13</v>
      </c>
    </row>
    <row r="447" spans="1:6" x14ac:dyDescent="0.3">
      <c r="A447" s="19" t="s">
        <v>146</v>
      </c>
      <c r="B447" s="19" t="s">
        <v>147</v>
      </c>
      <c r="C447" s="19" t="s">
        <v>48</v>
      </c>
      <c r="D447" s="19" t="s">
        <v>29</v>
      </c>
      <c r="E447" s="19">
        <v>0</v>
      </c>
      <c r="F447" s="19">
        <v>11</v>
      </c>
    </row>
    <row r="448" spans="1:6" x14ac:dyDescent="0.3">
      <c r="A448" s="19" t="s">
        <v>146</v>
      </c>
      <c r="B448" s="19" t="s">
        <v>147</v>
      </c>
      <c r="C448" s="19" t="s">
        <v>48</v>
      </c>
      <c r="D448" s="19" t="s">
        <v>31</v>
      </c>
      <c r="E448" s="19">
        <v>0</v>
      </c>
      <c r="F448" s="19">
        <v>11</v>
      </c>
    </row>
    <row r="449" spans="1:6" x14ac:dyDescent="0.3">
      <c r="A449" s="19" t="s">
        <v>146</v>
      </c>
      <c r="B449" s="19" t="s">
        <v>147</v>
      </c>
      <c r="C449" s="19" t="s">
        <v>48</v>
      </c>
      <c r="D449" s="19" t="s">
        <v>33</v>
      </c>
      <c r="E449" s="19">
        <v>0</v>
      </c>
      <c r="F449" s="19">
        <v>10</v>
      </c>
    </row>
    <row r="450" spans="1:6" x14ac:dyDescent="0.3">
      <c r="A450" s="19" t="s">
        <v>146</v>
      </c>
      <c r="B450" s="19" t="s">
        <v>147</v>
      </c>
      <c r="C450" s="19" t="s">
        <v>48</v>
      </c>
      <c r="D450" s="19" t="s">
        <v>35</v>
      </c>
      <c r="E450" s="19">
        <v>0</v>
      </c>
      <c r="F450" s="19">
        <v>12</v>
      </c>
    </row>
    <row r="451" spans="1:6" x14ac:dyDescent="0.3">
      <c r="A451" s="19" t="s">
        <v>146</v>
      </c>
      <c r="B451" s="19" t="s">
        <v>147</v>
      </c>
      <c r="C451" s="19" t="s">
        <v>48</v>
      </c>
      <c r="D451" s="19" t="s">
        <v>37</v>
      </c>
      <c r="E451" s="19">
        <v>0</v>
      </c>
      <c r="F451" s="19">
        <v>12</v>
      </c>
    </row>
    <row r="452" spans="1:6" x14ac:dyDescent="0.3">
      <c r="A452" s="19" t="s">
        <v>146</v>
      </c>
      <c r="B452" s="19" t="s">
        <v>147</v>
      </c>
      <c r="C452" s="19" t="s">
        <v>48</v>
      </c>
      <c r="D452" s="19" t="s">
        <v>39</v>
      </c>
      <c r="E452" s="19">
        <v>0</v>
      </c>
      <c r="F452" s="19">
        <v>10</v>
      </c>
    </row>
    <row r="453" spans="1:6" x14ac:dyDescent="0.3">
      <c r="A453" s="19" t="s">
        <v>146</v>
      </c>
      <c r="B453" s="19" t="s">
        <v>147</v>
      </c>
      <c r="C453" s="19" t="s">
        <v>48</v>
      </c>
      <c r="D453" s="19" t="s">
        <v>41</v>
      </c>
      <c r="E453" s="19">
        <v>0</v>
      </c>
      <c r="F453" s="19">
        <v>13</v>
      </c>
    </row>
    <row r="454" spans="1:6" x14ac:dyDescent="0.3">
      <c r="A454" s="19" t="s">
        <v>146</v>
      </c>
      <c r="B454" s="19" t="s">
        <v>147</v>
      </c>
      <c r="C454" s="19" t="s">
        <v>48</v>
      </c>
      <c r="D454" s="19" t="s">
        <v>43</v>
      </c>
      <c r="E454" s="19">
        <v>0</v>
      </c>
      <c r="F454" s="19">
        <v>12</v>
      </c>
    </row>
    <row r="455" spans="1:6" x14ac:dyDescent="0.3">
      <c r="A455" s="19" t="s">
        <v>146</v>
      </c>
      <c r="B455" s="19" t="s">
        <v>147</v>
      </c>
      <c r="C455" s="19" t="s">
        <v>48</v>
      </c>
      <c r="D455" s="19" t="s">
        <v>45</v>
      </c>
      <c r="E455" s="19">
        <v>0</v>
      </c>
      <c r="F455" s="19">
        <v>19</v>
      </c>
    </row>
    <row r="456" spans="1:6" x14ac:dyDescent="0.3">
      <c r="A456" s="19" t="s">
        <v>146</v>
      </c>
      <c r="B456" s="19" t="s">
        <v>147</v>
      </c>
      <c r="C456" s="19" t="s">
        <v>48</v>
      </c>
      <c r="D456" s="19" t="s">
        <v>47</v>
      </c>
      <c r="E456" s="19">
        <v>0</v>
      </c>
      <c r="F456" s="19">
        <v>13</v>
      </c>
    </row>
    <row r="457" spans="1:6" x14ac:dyDescent="0.3">
      <c r="A457" s="19" t="s">
        <v>146</v>
      </c>
      <c r="B457" s="19" t="s">
        <v>147</v>
      </c>
      <c r="C457" s="19" t="s">
        <v>48</v>
      </c>
      <c r="D457" s="19" t="s">
        <v>49</v>
      </c>
      <c r="E457" s="19">
        <v>0</v>
      </c>
      <c r="F457" s="19">
        <v>12</v>
      </c>
    </row>
    <row r="458" spans="1:6" x14ac:dyDescent="0.3">
      <c r="A458" s="19" t="s">
        <v>148</v>
      </c>
      <c r="B458" s="19" t="s">
        <v>149</v>
      </c>
      <c r="C458" s="19" t="s">
        <v>50</v>
      </c>
      <c r="D458" s="19" t="s">
        <v>27</v>
      </c>
      <c r="E458" s="19">
        <v>0</v>
      </c>
      <c r="F458" s="19">
        <v>25</v>
      </c>
    </row>
    <row r="459" spans="1:6" x14ac:dyDescent="0.3">
      <c r="A459" s="19" t="s">
        <v>148</v>
      </c>
      <c r="B459" s="19" t="s">
        <v>149</v>
      </c>
      <c r="C459" s="19" t="s">
        <v>50</v>
      </c>
      <c r="D459" s="19" t="s">
        <v>29</v>
      </c>
      <c r="E459" s="19">
        <v>0</v>
      </c>
      <c r="F459" s="19">
        <v>28</v>
      </c>
    </row>
    <row r="460" spans="1:6" x14ac:dyDescent="0.3">
      <c r="A460" s="19" t="s">
        <v>148</v>
      </c>
      <c r="B460" s="19" t="s">
        <v>149</v>
      </c>
      <c r="C460" s="19" t="s">
        <v>50</v>
      </c>
      <c r="D460" s="19" t="s">
        <v>31</v>
      </c>
      <c r="E460" s="19">
        <v>1</v>
      </c>
      <c r="F460" s="19">
        <v>24</v>
      </c>
    </row>
    <row r="461" spans="1:6" x14ac:dyDescent="0.3">
      <c r="A461" s="19" t="s">
        <v>148</v>
      </c>
      <c r="B461" s="19" t="s">
        <v>149</v>
      </c>
      <c r="C461" s="19" t="s">
        <v>50</v>
      </c>
      <c r="D461" s="19" t="s">
        <v>33</v>
      </c>
      <c r="E461" s="19">
        <v>0</v>
      </c>
      <c r="F461" s="19">
        <v>24</v>
      </c>
    </row>
    <row r="462" spans="1:6" x14ac:dyDescent="0.3">
      <c r="A462" s="19" t="s">
        <v>148</v>
      </c>
      <c r="B462" s="19" t="s">
        <v>149</v>
      </c>
      <c r="C462" s="19" t="s">
        <v>50</v>
      </c>
      <c r="D462" s="19" t="s">
        <v>35</v>
      </c>
      <c r="E462" s="19">
        <v>0</v>
      </c>
      <c r="F462" s="19">
        <v>23</v>
      </c>
    </row>
    <row r="463" spans="1:6" x14ac:dyDescent="0.3">
      <c r="A463" s="19" t="s">
        <v>148</v>
      </c>
      <c r="B463" s="19" t="s">
        <v>149</v>
      </c>
      <c r="C463" s="19" t="s">
        <v>50</v>
      </c>
      <c r="D463" s="19" t="s">
        <v>37</v>
      </c>
      <c r="E463" s="19">
        <v>1</v>
      </c>
      <c r="F463" s="19">
        <v>25</v>
      </c>
    </row>
    <row r="464" spans="1:6" x14ac:dyDescent="0.3">
      <c r="A464" s="19" t="s">
        <v>148</v>
      </c>
      <c r="B464" s="19" t="s">
        <v>149</v>
      </c>
      <c r="C464" s="19" t="s">
        <v>50</v>
      </c>
      <c r="D464" s="19" t="s">
        <v>39</v>
      </c>
      <c r="E464" s="19">
        <v>0</v>
      </c>
      <c r="F464" s="19">
        <v>25</v>
      </c>
    </row>
    <row r="465" spans="1:6" x14ac:dyDescent="0.3">
      <c r="A465" s="19" t="s">
        <v>148</v>
      </c>
      <c r="B465" s="19" t="s">
        <v>149</v>
      </c>
      <c r="C465" s="19" t="s">
        <v>50</v>
      </c>
      <c r="D465" s="19" t="s">
        <v>41</v>
      </c>
      <c r="E465" s="19">
        <v>0</v>
      </c>
      <c r="F465" s="19">
        <v>26</v>
      </c>
    </row>
    <row r="466" spans="1:6" x14ac:dyDescent="0.3">
      <c r="A466" s="19" t="s">
        <v>148</v>
      </c>
      <c r="B466" s="19" t="s">
        <v>149</v>
      </c>
      <c r="C466" s="19" t="s">
        <v>50</v>
      </c>
      <c r="D466" s="19" t="s">
        <v>43</v>
      </c>
      <c r="E466" s="19">
        <v>0</v>
      </c>
      <c r="F466" s="19">
        <v>28</v>
      </c>
    </row>
    <row r="467" spans="1:6" x14ac:dyDescent="0.3">
      <c r="A467" s="19" t="s">
        <v>148</v>
      </c>
      <c r="B467" s="19" t="s">
        <v>149</v>
      </c>
      <c r="C467" s="19" t="s">
        <v>50</v>
      </c>
      <c r="D467" s="19" t="s">
        <v>45</v>
      </c>
      <c r="E467" s="19">
        <v>0</v>
      </c>
      <c r="F467" s="19">
        <v>35</v>
      </c>
    </row>
    <row r="468" spans="1:6" x14ac:dyDescent="0.3">
      <c r="A468" s="19" t="s">
        <v>148</v>
      </c>
      <c r="B468" s="19" t="s">
        <v>149</v>
      </c>
      <c r="C468" s="19" t="s">
        <v>50</v>
      </c>
      <c r="D468" s="19" t="s">
        <v>47</v>
      </c>
      <c r="E468" s="19">
        <v>0</v>
      </c>
      <c r="F468" s="19">
        <v>32</v>
      </c>
    </row>
    <row r="469" spans="1:6" x14ac:dyDescent="0.3">
      <c r="A469" s="19" t="s">
        <v>148</v>
      </c>
      <c r="B469" s="19" t="s">
        <v>149</v>
      </c>
      <c r="C469" s="19" t="s">
        <v>50</v>
      </c>
      <c r="D469" s="19" t="s">
        <v>49</v>
      </c>
      <c r="E469" s="19">
        <v>1</v>
      </c>
      <c r="F469" s="19">
        <v>22</v>
      </c>
    </row>
    <row r="470" spans="1:6" x14ac:dyDescent="0.3">
      <c r="A470" s="19" t="s">
        <v>150</v>
      </c>
      <c r="B470" s="19" t="s">
        <v>151</v>
      </c>
      <c r="C470" s="19" t="s">
        <v>50</v>
      </c>
      <c r="D470" s="19" t="s">
        <v>27</v>
      </c>
      <c r="E470" s="19">
        <v>0</v>
      </c>
      <c r="F470" s="19">
        <v>33</v>
      </c>
    </row>
    <row r="471" spans="1:6" x14ac:dyDescent="0.3">
      <c r="A471" s="19" t="s">
        <v>150</v>
      </c>
      <c r="B471" s="19" t="s">
        <v>151</v>
      </c>
      <c r="C471" s="19" t="s">
        <v>50</v>
      </c>
      <c r="D471" s="19" t="s">
        <v>29</v>
      </c>
      <c r="E471" s="19">
        <v>1</v>
      </c>
      <c r="F471" s="19">
        <v>30</v>
      </c>
    </row>
    <row r="472" spans="1:6" x14ac:dyDescent="0.3">
      <c r="A472" s="19" t="s">
        <v>150</v>
      </c>
      <c r="B472" s="19" t="s">
        <v>151</v>
      </c>
      <c r="C472" s="19" t="s">
        <v>50</v>
      </c>
      <c r="D472" s="19" t="s">
        <v>31</v>
      </c>
      <c r="E472" s="19">
        <v>1</v>
      </c>
      <c r="F472" s="19">
        <v>29</v>
      </c>
    </row>
    <row r="473" spans="1:6" x14ac:dyDescent="0.3">
      <c r="A473" s="19" t="s">
        <v>150</v>
      </c>
      <c r="B473" s="19" t="s">
        <v>151</v>
      </c>
      <c r="C473" s="19" t="s">
        <v>50</v>
      </c>
      <c r="D473" s="19" t="s">
        <v>33</v>
      </c>
      <c r="E473" s="19">
        <v>1</v>
      </c>
      <c r="F473" s="19">
        <v>38</v>
      </c>
    </row>
    <row r="474" spans="1:6" x14ac:dyDescent="0.3">
      <c r="A474" s="19" t="s">
        <v>150</v>
      </c>
      <c r="B474" s="19" t="s">
        <v>151</v>
      </c>
      <c r="C474" s="19" t="s">
        <v>50</v>
      </c>
      <c r="D474" s="19" t="s">
        <v>35</v>
      </c>
      <c r="E474" s="19">
        <v>0</v>
      </c>
      <c r="F474" s="19">
        <v>33</v>
      </c>
    </row>
    <row r="475" spans="1:6" x14ac:dyDescent="0.3">
      <c r="A475" s="19" t="s">
        <v>150</v>
      </c>
      <c r="B475" s="19" t="s">
        <v>151</v>
      </c>
      <c r="C475" s="19" t="s">
        <v>50</v>
      </c>
      <c r="D475" s="19" t="s">
        <v>37</v>
      </c>
      <c r="E475" s="19">
        <v>1</v>
      </c>
      <c r="F475" s="19">
        <v>29</v>
      </c>
    </row>
    <row r="476" spans="1:6" x14ac:dyDescent="0.3">
      <c r="A476" s="19" t="s">
        <v>150</v>
      </c>
      <c r="B476" s="19" t="s">
        <v>151</v>
      </c>
      <c r="C476" s="19" t="s">
        <v>50</v>
      </c>
      <c r="D476" s="19" t="s">
        <v>39</v>
      </c>
      <c r="E476" s="19">
        <v>0</v>
      </c>
      <c r="F476" s="19">
        <v>37</v>
      </c>
    </row>
    <row r="477" spans="1:6" x14ac:dyDescent="0.3">
      <c r="A477" s="19" t="s">
        <v>150</v>
      </c>
      <c r="B477" s="19" t="s">
        <v>151</v>
      </c>
      <c r="C477" s="19" t="s">
        <v>50</v>
      </c>
      <c r="D477" s="19" t="s">
        <v>41</v>
      </c>
      <c r="E477" s="19">
        <v>1</v>
      </c>
      <c r="F477" s="19">
        <v>38</v>
      </c>
    </row>
    <row r="478" spans="1:6" x14ac:dyDescent="0.3">
      <c r="A478" s="19" t="s">
        <v>150</v>
      </c>
      <c r="B478" s="19" t="s">
        <v>151</v>
      </c>
      <c r="C478" s="19" t="s">
        <v>50</v>
      </c>
      <c r="D478" s="19" t="s">
        <v>43</v>
      </c>
      <c r="E478" s="19">
        <v>1</v>
      </c>
      <c r="F478" s="19">
        <v>37</v>
      </c>
    </row>
    <row r="479" spans="1:6" x14ac:dyDescent="0.3">
      <c r="A479" s="19" t="s">
        <v>150</v>
      </c>
      <c r="B479" s="19" t="s">
        <v>151</v>
      </c>
      <c r="C479" s="19" t="s">
        <v>50</v>
      </c>
      <c r="D479" s="19" t="s">
        <v>45</v>
      </c>
      <c r="E479" s="19">
        <v>1</v>
      </c>
      <c r="F479" s="19">
        <v>55</v>
      </c>
    </row>
    <row r="480" spans="1:6" x14ac:dyDescent="0.3">
      <c r="A480" s="19" t="s">
        <v>150</v>
      </c>
      <c r="B480" s="19" t="s">
        <v>151</v>
      </c>
      <c r="C480" s="19" t="s">
        <v>50</v>
      </c>
      <c r="D480" s="19" t="s">
        <v>47</v>
      </c>
      <c r="E480" s="19">
        <v>1</v>
      </c>
      <c r="F480" s="19">
        <v>40</v>
      </c>
    </row>
    <row r="481" spans="1:6" x14ac:dyDescent="0.3">
      <c r="A481" s="19" t="s">
        <v>150</v>
      </c>
      <c r="B481" s="19" t="s">
        <v>151</v>
      </c>
      <c r="C481" s="19" t="s">
        <v>50</v>
      </c>
      <c r="D481" s="19" t="s">
        <v>49</v>
      </c>
      <c r="E481" s="19">
        <v>1</v>
      </c>
      <c r="F481" s="19">
        <v>35</v>
      </c>
    </row>
    <row r="482" spans="1:6" x14ac:dyDescent="0.3">
      <c r="A482" s="19" t="s">
        <v>152</v>
      </c>
      <c r="B482" s="19" t="s">
        <v>153</v>
      </c>
      <c r="C482" s="19" t="s">
        <v>46</v>
      </c>
      <c r="D482" s="19" t="s">
        <v>27</v>
      </c>
      <c r="E482" s="19">
        <v>0</v>
      </c>
      <c r="F482" s="19">
        <v>40</v>
      </c>
    </row>
    <row r="483" spans="1:6" x14ac:dyDescent="0.3">
      <c r="A483" s="19" t="s">
        <v>152</v>
      </c>
      <c r="B483" s="19" t="s">
        <v>153</v>
      </c>
      <c r="C483" s="19" t="s">
        <v>46</v>
      </c>
      <c r="D483" s="19" t="s">
        <v>29</v>
      </c>
      <c r="E483" s="19">
        <v>1</v>
      </c>
      <c r="F483" s="19">
        <v>38</v>
      </c>
    </row>
    <row r="484" spans="1:6" x14ac:dyDescent="0.3">
      <c r="A484" s="19" t="s">
        <v>152</v>
      </c>
      <c r="B484" s="19" t="s">
        <v>153</v>
      </c>
      <c r="C484" s="19" t="s">
        <v>46</v>
      </c>
      <c r="D484" s="19" t="s">
        <v>31</v>
      </c>
      <c r="E484" s="19">
        <v>0</v>
      </c>
      <c r="F484" s="19">
        <v>34</v>
      </c>
    </row>
    <row r="485" spans="1:6" x14ac:dyDescent="0.3">
      <c r="A485" s="19" t="s">
        <v>152</v>
      </c>
      <c r="B485" s="19" t="s">
        <v>153</v>
      </c>
      <c r="C485" s="19" t="s">
        <v>46</v>
      </c>
      <c r="D485" s="19" t="s">
        <v>33</v>
      </c>
      <c r="E485" s="19">
        <v>0</v>
      </c>
      <c r="F485" s="19">
        <v>37</v>
      </c>
    </row>
    <row r="486" spans="1:6" x14ac:dyDescent="0.3">
      <c r="A486" s="19" t="s">
        <v>152</v>
      </c>
      <c r="B486" s="19" t="s">
        <v>153</v>
      </c>
      <c r="C486" s="19" t="s">
        <v>46</v>
      </c>
      <c r="D486" s="19" t="s">
        <v>35</v>
      </c>
      <c r="E486" s="19">
        <v>0</v>
      </c>
      <c r="F486" s="19">
        <v>36</v>
      </c>
    </row>
    <row r="487" spans="1:6" x14ac:dyDescent="0.3">
      <c r="A487" s="19" t="s">
        <v>152</v>
      </c>
      <c r="B487" s="19" t="s">
        <v>153</v>
      </c>
      <c r="C487" s="19" t="s">
        <v>46</v>
      </c>
      <c r="D487" s="19" t="s">
        <v>37</v>
      </c>
      <c r="E487" s="19">
        <v>1</v>
      </c>
      <c r="F487" s="19">
        <v>38</v>
      </c>
    </row>
    <row r="488" spans="1:6" x14ac:dyDescent="0.3">
      <c r="A488" s="19" t="s">
        <v>152</v>
      </c>
      <c r="B488" s="19" t="s">
        <v>153</v>
      </c>
      <c r="C488" s="19" t="s">
        <v>46</v>
      </c>
      <c r="D488" s="19" t="s">
        <v>39</v>
      </c>
      <c r="E488" s="19">
        <v>1</v>
      </c>
      <c r="F488" s="19">
        <v>39</v>
      </c>
    </row>
    <row r="489" spans="1:6" x14ac:dyDescent="0.3">
      <c r="A489" s="19" t="s">
        <v>152</v>
      </c>
      <c r="B489" s="19" t="s">
        <v>153</v>
      </c>
      <c r="C489" s="19" t="s">
        <v>46</v>
      </c>
      <c r="D489" s="19" t="s">
        <v>41</v>
      </c>
      <c r="E489" s="19">
        <v>0</v>
      </c>
      <c r="F489" s="19">
        <v>39</v>
      </c>
    </row>
    <row r="490" spans="1:6" x14ac:dyDescent="0.3">
      <c r="A490" s="19" t="s">
        <v>152</v>
      </c>
      <c r="B490" s="19" t="s">
        <v>153</v>
      </c>
      <c r="C490" s="19" t="s">
        <v>46</v>
      </c>
      <c r="D490" s="19" t="s">
        <v>43</v>
      </c>
      <c r="E490" s="19">
        <v>0</v>
      </c>
      <c r="F490" s="19">
        <v>43</v>
      </c>
    </row>
    <row r="491" spans="1:6" x14ac:dyDescent="0.3">
      <c r="A491" s="19" t="s">
        <v>152</v>
      </c>
      <c r="B491" s="19" t="s">
        <v>153</v>
      </c>
      <c r="C491" s="19" t="s">
        <v>46</v>
      </c>
      <c r="D491" s="19" t="s">
        <v>45</v>
      </c>
      <c r="E491" s="19">
        <v>1</v>
      </c>
      <c r="F491" s="19">
        <v>55</v>
      </c>
    </row>
    <row r="492" spans="1:6" x14ac:dyDescent="0.3">
      <c r="A492" s="19" t="s">
        <v>152</v>
      </c>
      <c r="B492" s="19" t="s">
        <v>153</v>
      </c>
      <c r="C492" s="19" t="s">
        <v>46</v>
      </c>
      <c r="D492" s="19" t="s">
        <v>47</v>
      </c>
      <c r="E492" s="19">
        <v>1</v>
      </c>
      <c r="F492" s="19">
        <v>49</v>
      </c>
    </row>
    <row r="493" spans="1:6" x14ac:dyDescent="0.3">
      <c r="A493" s="19" t="s">
        <v>152</v>
      </c>
      <c r="B493" s="19" t="s">
        <v>153</v>
      </c>
      <c r="C493" s="19" t="s">
        <v>46</v>
      </c>
      <c r="D493" s="19" t="s">
        <v>49</v>
      </c>
      <c r="E493" s="19">
        <v>1</v>
      </c>
      <c r="F493" s="19">
        <v>35</v>
      </c>
    </row>
    <row r="494" spans="1:6" x14ac:dyDescent="0.3">
      <c r="A494" s="19" t="s">
        <v>154</v>
      </c>
      <c r="B494" s="19" t="s">
        <v>155</v>
      </c>
      <c r="C494" s="19" t="s">
        <v>46</v>
      </c>
      <c r="D494" s="19" t="s">
        <v>27</v>
      </c>
      <c r="E494" s="19">
        <v>1</v>
      </c>
      <c r="F494" s="19">
        <v>23</v>
      </c>
    </row>
    <row r="495" spans="1:6" x14ac:dyDescent="0.3">
      <c r="A495" s="19" t="s">
        <v>154</v>
      </c>
      <c r="B495" s="19" t="s">
        <v>155</v>
      </c>
      <c r="C495" s="19" t="s">
        <v>46</v>
      </c>
      <c r="D495" s="19" t="s">
        <v>29</v>
      </c>
      <c r="E495" s="19">
        <v>0</v>
      </c>
      <c r="F495" s="19">
        <v>26</v>
      </c>
    </row>
    <row r="496" spans="1:6" x14ac:dyDescent="0.3">
      <c r="A496" s="19" t="s">
        <v>154</v>
      </c>
      <c r="B496" s="19" t="s">
        <v>155</v>
      </c>
      <c r="C496" s="19" t="s">
        <v>46</v>
      </c>
      <c r="D496" s="19" t="s">
        <v>31</v>
      </c>
      <c r="E496" s="19">
        <v>0</v>
      </c>
      <c r="F496" s="19">
        <v>23</v>
      </c>
    </row>
    <row r="497" spans="1:6" x14ac:dyDescent="0.3">
      <c r="A497" s="19" t="s">
        <v>154</v>
      </c>
      <c r="B497" s="19" t="s">
        <v>155</v>
      </c>
      <c r="C497" s="19" t="s">
        <v>46</v>
      </c>
      <c r="D497" s="19" t="s">
        <v>33</v>
      </c>
      <c r="E497" s="19">
        <v>1</v>
      </c>
      <c r="F497" s="19">
        <v>21</v>
      </c>
    </row>
    <row r="498" spans="1:6" x14ac:dyDescent="0.3">
      <c r="A498" s="19" t="s">
        <v>154</v>
      </c>
      <c r="B498" s="19" t="s">
        <v>155</v>
      </c>
      <c r="C498" s="19" t="s">
        <v>46</v>
      </c>
      <c r="D498" s="19" t="s">
        <v>35</v>
      </c>
      <c r="E498" s="19">
        <v>0</v>
      </c>
      <c r="F498" s="19">
        <v>23</v>
      </c>
    </row>
    <row r="499" spans="1:6" x14ac:dyDescent="0.3">
      <c r="A499" s="19" t="s">
        <v>154</v>
      </c>
      <c r="B499" s="19" t="s">
        <v>155</v>
      </c>
      <c r="C499" s="19" t="s">
        <v>46</v>
      </c>
      <c r="D499" s="19" t="s">
        <v>37</v>
      </c>
      <c r="E499" s="19">
        <v>0</v>
      </c>
      <c r="F499" s="19">
        <v>22</v>
      </c>
    </row>
    <row r="500" spans="1:6" x14ac:dyDescent="0.3">
      <c r="A500" s="19" t="s">
        <v>154</v>
      </c>
      <c r="B500" s="19" t="s">
        <v>155</v>
      </c>
      <c r="C500" s="19" t="s">
        <v>46</v>
      </c>
      <c r="D500" s="19" t="s">
        <v>39</v>
      </c>
      <c r="E500" s="19">
        <v>1</v>
      </c>
      <c r="F500" s="19">
        <v>26</v>
      </c>
    </row>
    <row r="501" spans="1:6" x14ac:dyDescent="0.3">
      <c r="A501" s="19" t="s">
        <v>154</v>
      </c>
      <c r="B501" s="19" t="s">
        <v>155</v>
      </c>
      <c r="C501" s="19" t="s">
        <v>46</v>
      </c>
      <c r="D501" s="19" t="s">
        <v>41</v>
      </c>
      <c r="E501" s="19">
        <v>0</v>
      </c>
      <c r="F501" s="19">
        <v>24</v>
      </c>
    </row>
    <row r="502" spans="1:6" x14ac:dyDescent="0.3">
      <c r="A502" s="19" t="s">
        <v>154</v>
      </c>
      <c r="B502" s="19" t="s">
        <v>155</v>
      </c>
      <c r="C502" s="19" t="s">
        <v>46</v>
      </c>
      <c r="D502" s="19" t="s">
        <v>43</v>
      </c>
      <c r="E502" s="19">
        <v>1</v>
      </c>
      <c r="F502" s="19">
        <v>24</v>
      </c>
    </row>
    <row r="503" spans="1:6" x14ac:dyDescent="0.3">
      <c r="A503" s="19" t="s">
        <v>154</v>
      </c>
      <c r="B503" s="19" t="s">
        <v>155</v>
      </c>
      <c r="C503" s="19" t="s">
        <v>46</v>
      </c>
      <c r="D503" s="19" t="s">
        <v>45</v>
      </c>
      <c r="E503" s="19">
        <v>0</v>
      </c>
      <c r="F503" s="19">
        <v>44</v>
      </c>
    </row>
    <row r="504" spans="1:6" x14ac:dyDescent="0.3">
      <c r="A504" s="19" t="s">
        <v>154</v>
      </c>
      <c r="B504" s="19" t="s">
        <v>155</v>
      </c>
      <c r="C504" s="19" t="s">
        <v>46</v>
      </c>
      <c r="D504" s="19" t="s">
        <v>47</v>
      </c>
      <c r="E504" s="19">
        <v>0</v>
      </c>
      <c r="F504" s="19">
        <v>30</v>
      </c>
    </row>
    <row r="505" spans="1:6" x14ac:dyDescent="0.3">
      <c r="A505" s="19" t="s">
        <v>154</v>
      </c>
      <c r="B505" s="19" t="s">
        <v>155</v>
      </c>
      <c r="C505" s="19" t="s">
        <v>46</v>
      </c>
      <c r="D505" s="19" t="s">
        <v>49</v>
      </c>
      <c r="E505" s="19">
        <v>0</v>
      </c>
      <c r="F505" s="19">
        <v>25</v>
      </c>
    </row>
    <row r="506" spans="1:6" x14ac:dyDescent="0.3">
      <c r="A506" s="19" t="s">
        <v>156</v>
      </c>
      <c r="B506" s="19" t="s">
        <v>157</v>
      </c>
      <c r="C506" s="19" t="s">
        <v>46</v>
      </c>
      <c r="D506" s="19" t="s">
        <v>27</v>
      </c>
      <c r="E506" s="19">
        <v>0</v>
      </c>
      <c r="F506" s="19">
        <v>29</v>
      </c>
    </row>
    <row r="507" spans="1:6" x14ac:dyDescent="0.3">
      <c r="A507" s="19" t="s">
        <v>156</v>
      </c>
      <c r="B507" s="19" t="s">
        <v>157</v>
      </c>
      <c r="C507" s="19" t="s">
        <v>46</v>
      </c>
      <c r="D507" s="19" t="s">
        <v>29</v>
      </c>
      <c r="E507" s="19">
        <v>0</v>
      </c>
      <c r="F507" s="19">
        <v>28</v>
      </c>
    </row>
    <row r="508" spans="1:6" x14ac:dyDescent="0.3">
      <c r="A508" s="19" t="s">
        <v>156</v>
      </c>
      <c r="B508" s="19" t="s">
        <v>157</v>
      </c>
      <c r="C508" s="19" t="s">
        <v>46</v>
      </c>
      <c r="D508" s="19" t="s">
        <v>31</v>
      </c>
      <c r="E508" s="19">
        <v>0</v>
      </c>
      <c r="F508" s="19">
        <v>28</v>
      </c>
    </row>
    <row r="509" spans="1:6" x14ac:dyDescent="0.3">
      <c r="A509" s="19" t="s">
        <v>156</v>
      </c>
      <c r="B509" s="19" t="s">
        <v>157</v>
      </c>
      <c r="C509" s="19" t="s">
        <v>46</v>
      </c>
      <c r="D509" s="19" t="s">
        <v>33</v>
      </c>
      <c r="E509" s="19">
        <v>1</v>
      </c>
      <c r="F509" s="19">
        <v>31</v>
      </c>
    </row>
    <row r="510" spans="1:6" x14ac:dyDescent="0.3">
      <c r="A510" s="19" t="s">
        <v>156</v>
      </c>
      <c r="B510" s="19" t="s">
        <v>157</v>
      </c>
      <c r="C510" s="19" t="s">
        <v>46</v>
      </c>
      <c r="D510" s="19" t="s">
        <v>35</v>
      </c>
      <c r="E510" s="19">
        <v>0</v>
      </c>
      <c r="F510" s="19">
        <v>25</v>
      </c>
    </row>
    <row r="511" spans="1:6" x14ac:dyDescent="0.3">
      <c r="A511" s="19" t="s">
        <v>156</v>
      </c>
      <c r="B511" s="19" t="s">
        <v>157</v>
      </c>
      <c r="C511" s="19" t="s">
        <v>46</v>
      </c>
      <c r="D511" s="19" t="s">
        <v>37</v>
      </c>
      <c r="E511" s="19">
        <v>0</v>
      </c>
      <c r="F511" s="19">
        <v>28</v>
      </c>
    </row>
    <row r="512" spans="1:6" x14ac:dyDescent="0.3">
      <c r="A512" s="19" t="s">
        <v>156</v>
      </c>
      <c r="B512" s="19" t="s">
        <v>157</v>
      </c>
      <c r="C512" s="19" t="s">
        <v>46</v>
      </c>
      <c r="D512" s="19" t="s">
        <v>39</v>
      </c>
      <c r="E512" s="19">
        <v>1</v>
      </c>
      <c r="F512" s="19">
        <v>27</v>
      </c>
    </row>
    <row r="513" spans="1:6" x14ac:dyDescent="0.3">
      <c r="A513" s="19" t="s">
        <v>156</v>
      </c>
      <c r="B513" s="19" t="s">
        <v>157</v>
      </c>
      <c r="C513" s="19" t="s">
        <v>46</v>
      </c>
      <c r="D513" s="19" t="s">
        <v>41</v>
      </c>
      <c r="E513" s="19">
        <v>1</v>
      </c>
      <c r="F513" s="19">
        <v>26</v>
      </c>
    </row>
    <row r="514" spans="1:6" x14ac:dyDescent="0.3">
      <c r="A514" s="19" t="s">
        <v>156</v>
      </c>
      <c r="B514" s="19" t="s">
        <v>157</v>
      </c>
      <c r="C514" s="19" t="s">
        <v>46</v>
      </c>
      <c r="D514" s="19" t="s">
        <v>43</v>
      </c>
      <c r="E514" s="19">
        <v>0</v>
      </c>
      <c r="F514" s="19">
        <v>31</v>
      </c>
    </row>
    <row r="515" spans="1:6" x14ac:dyDescent="0.3">
      <c r="A515" s="19" t="s">
        <v>156</v>
      </c>
      <c r="B515" s="19" t="s">
        <v>157</v>
      </c>
      <c r="C515" s="19" t="s">
        <v>46</v>
      </c>
      <c r="D515" s="19" t="s">
        <v>45</v>
      </c>
      <c r="E515" s="19">
        <v>0</v>
      </c>
      <c r="F515" s="19">
        <v>46</v>
      </c>
    </row>
    <row r="516" spans="1:6" x14ac:dyDescent="0.3">
      <c r="A516" s="19" t="s">
        <v>156</v>
      </c>
      <c r="B516" s="19" t="s">
        <v>157</v>
      </c>
      <c r="C516" s="19" t="s">
        <v>46</v>
      </c>
      <c r="D516" s="19" t="s">
        <v>47</v>
      </c>
      <c r="E516" s="19">
        <v>1</v>
      </c>
      <c r="F516" s="19">
        <v>32</v>
      </c>
    </row>
    <row r="517" spans="1:6" x14ac:dyDescent="0.3">
      <c r="A517" s="19" t="s">
        <v>156</v>
      </c>
      <c r="B517" s="19" t="s">
        <v>157</v>
      </c>
      <c r="C517" s="19" t="s">
        <v>46</v>
      </c>
      <c r="D517" s="19" t="s">
        <v>49</v>
      </c>
      <c r="E517" s="19">
        <v>0</v>
      </c>
      <c r="F517" s="19">
        <v>31</v>
      </c>
    </row>
    <row r="518" spans="1:6" x14ac:dyDescent="0.3">
      <c r="A518" s="19" t="s">
        <v>158</v>
      </c>
      <c r="B518" s="19" t="s">
        <v>159</v>
      </c>
      <c r="C518" s="19" t="s">
        <v>46</v>
      </c>
      <c r="D518" s="19" t="s">
        <v>27</v>
      </c>
      <c r="E518" s="19">
        <v>1</v>
      </c>
      <c r="F518" s="19">
        <v>30</v>
      </c>
    </row>
    <row r="519" spans="1:6" x14ac:dyDescent="0.3">
      <c r="A519" s="19" t="s">
        <v>158</v>
      </c>
      <c r="B519" s="19" t="s">
        <v>159</v>
      </c>
      <c r="C519" s="19" t="s">
        <v>46</v>
      </c>
      <c r="D519" s="19" t="s">
        <v>29</v>
      </c>
      <c r="E519" s="19">
        <v>0</v>
      </c>
      <c r="F519" s="19">
        <v>36</v>
      </c>
    </row>
    <row r="520" spans="1:6" x14ac:dyDescent="0.3">
      <c r="A520" s="19" t="s">
        <v>158</v>
      </c>
      <c r="B520" s="19" t="s">
        <v>159</v>
      </c>
      <c r="C520" s="19" t="s">
        <v>46</v>
      </c>
      <c r="D520" s="19" t="s">
        <v>31</v>
      </c>
      <c r="E520" s="19">
        <v>1</v>
      </c>
      <c r="F520" s="19">
        <v>40</v>
      </c>
    </row>
    <row r="521" spans="1:6" x14ac:dyDescent="0.3">
      <c r="A521" s="19" t="s">
        <v>158</v>
      </c>
      <c r="B521" s="19" t="s">
        <v>159</v>
      </c>
      <c r="C521" s="19" t="s">
        <v>46</v>
      </c>
      <c r="D521" s="19" t="s">
        <v>33</v>
      </c>
      <c r="E521" s="19">
        <v>0</v>
      </c>
      <c r="F521" s="19">
        <v>34</v>
      </c>
    </row>
    <row r="522" spans="1:6" x14ac:dyDescent="0.3">
      <c r="A522" s="19" t="s">
        <v>158</v>
      </c>
      <c r="B522" s="19" t="s">
        <v>159</v>
      </c>
      <c r="C522" s="19" t="s">
        <v>46</v>
      </c>
      <c r="D522" s="19" t="s">
        <v>35</v>
      </c>
      <c r="E522" s="19">
        <v>0</v>
      </c>
      <c r="F522" s="19">
        <v>39</v>
      </c>
    </row>
    <row r="523" spans="1:6" x14ac:dyDescent="0.3">
      <c r="A523" s="19" t="s">
        <v>158</v>
      </c>
      <c r="B523" s="19" t="s">
        <v>159</v>
      </c>
      <c r="C523" s="19" t="s">
        <v>46</v>
      </c>
      <c r="D523" s="19" t="s">
        <v>37</v>
      </c>
      <c r="E523" s="19">
        <v>1</v>
      </c>
      <c r="F523" s="19">
        <v>38</v>
      </c>
    </row>
    <row r="524" spans="1:6" x14ac:dyDescent="0.3">
      <c r="A524" s="19" t="s">
        <v>158</v>
      </c>
      <c r="B524" s="19" t="s">
        <v>159</v>
      </c>
      <c r="C524" s="19" t="s">
        <v>46</v>
      </c>
      <c r="D524" s="19" t="s">
        <v>39</v>
      </c>
      <c r="E524" s="19">
        <v>1</v>
      </c>
      <c r="F524" s="19">
        <v>35</v>
      </c>
    </row>
    <row r="525" spans="1:6" x14ac:dyDescent="0.3">
      <c r="A525" s="19" t="s">
        <v>158</v>
      </c>
      <c r="B525" s="19" t="s">
        <v>159</v>
      </c>
      <c r="C525" s="19" t="s">
        <v>46</v>
      </c>
      <c r="D525" s="19" t="s">
        <v>41</v>
      </c>
      <c r="E525" s="19">
        <v>1</v>
      </c>
      <c r="F525" s="19">
        <v>39</v>
      </c>
    </row>
    <row r="526" spans="1:6" x14ac:dyDescent="0.3">
      <c r="A526" s="19" t="s">
        <v>158</v>
      </c>
      <c r="B526" s="19" t="s">
        <v>159</v>
      </c>
      <c r="C526" s="19" t="s">
        <v>46</v>
      </c>
      <c r="D526" s="19" t="s">
        <v>43</v>
      </c>
      <c r="E526" s="19">
        <v>0</v>
      </c>
      <c r="F526" s="19">
        <v>34</v>
      </c>
    </row>
    <row r="527" spans="1:6" x14ac:dyDescent="0.3">
      <c r="A527" s="19" t="s">
        <v>158</v>
      </c>
      <c r="B527" s="19" t="s">
        <v>159</v>
      </c>
      <c r="C527" s="19" t="s">
        <v>46</v>
      </c>
      <c r="D527" s="19" t="s">
        <v>45</v>
      </c>
      <c r="E527" s="19">
        <v>2</v>
      </c>
      <c r="F527" s="19">
        <v>64</v>
      </c>
    </row>
    <row r="528" spans="1:6" x14ac:dyDescent="0.3">
      <c r="A528" s="19" t="s">
        <v>158</v>
      </c>
      <c r="B528" s="19" t="s">
        <v>159</v>
      </c>
      <c r="C528" s="19" t="s">
        <v>46</v>
      </c>
      <c r="D528" s="19" t="s">
        <v>47</v>
      </c>
      <c r="E528" s="19">
        <v>0</v>
      </c>
      <c r="F528" s="19">
        <v>39</v>
      </c>
    </row>
    <row r="529" spans="1:6" x14ac:dyDescent="0.3">
      <c r="A529" s="19" t="s">
        <v>158</v>
      </c>
      <c r="B529" s="19" t="s">
        <v>159</v>
      </c>
      <c r="C529" s="19" t="s">
        <v>46</v>
      </c>
      <c r="D529" s="19" t="s">
        <v>49</v>
      </c>
      <c r="E529" s="19">
        <v>0</v>
      </c>
      <c r="F529" s="19">
        <v>36</v>
      </c>
    </row>
    <row r="530" spans="1:6" x14ac:dyDescent="0.3">
      <c r="A530" s="19" t="s">
        <v>160</v>
      </c>
      <c r="B530" s="19" t="s">
        <v>161</v>
      </c>
      <c r="C530" s="19" t="s">
        <v>46</v>
      </c>
      <c r="D530" s="19" t="s">
        <v>27</v>
      </c>
      <c r="E530" s="19">
        <v>0</v>
      </c>
      <c r="F530" s="19">
        <v>31</v>
      </c>
    </row>
    <row r="531" spans="1:6" x14ac:dyDescent="0.3">
      <c r="A531" s="19" t="s">
        <v>160</v>
      </c>
      <c r="B531" s="19" t="s">
        <v>161</v>
      </c>
      <c r="C531" s="19" t="s">
        <v>46</v>
      </c>
      <c r="D531" s="19" t="s">
        <v>29</v>
      </c>
      <c r="E531" s="19">
        <v>0</v>
      </c>
      <c r="F531" s="19">
        <v>27</v>
      </c>
    </row>
    <row r="532" spans="1:6" x14ac:dyDescent="0.3">
      <c r="A532" s="19" t="s">
        <v>160</v>
      </c>
      <c r="B532" s="19" t="s">
        <v>161</v>
      </c>
      <c r="C532" s="19" t="s">
        <v>46</v>
      </c>
      <c r="D532" s="19" t="s">
        <v>31</v>
      </c>
      <c r="E532" s="19">
        <v>0</v>
      </c>
      <c r="F532" s="19">
        <v>26</v>
      </c>
    </row>
    <row r="533" spans="1:6" x14ac:dyDescent="0.3">
      <c r="A533" s="19" t="s">
        <v>160</v>
      </c>
      <c r="B533" s="19" t="s">
        <v>161</v>
      </c>
      <c r="C533" s="19" t="s">
        <v>46</v>
      </c>
      <c r="D533" s="19" t="s">
        <v>33</v>
      </c>
      <c r="E533" s="19">
        <v>0</v>
      </c>
      <c r="F533" s="19">
        <v>25</v>
      </c>
    </row>
    <row r="534" spans="1:6" x14ac:dyDescent="0.3">
      <c r="A534" s="19" t="s">
        <v>160</v>
      </c>
      <c r="B534" s="19" t="s">
        <v>161</v>
      </c>
      <c r="C534" s="19" t="s">
        <v>46</v>
      </c>
      <c r="D534" s="19" t="s">
        <v>35</v>
      </c>
      <c r="E534" s="19">
        <v>0</v>
      </c>
      <c r="F534" s="19">
        <v>27</v>
      </c>
    </row>
    <row r="535" spans="1:6" x14ac:dyDescent="0.3">
      <c r="A535" s="19" t="s">
        <v>160</v>
      </c>
      <c r="B535" s="19" t="s">
        <v>161</v>
      </c>
      <c r="C535" s="19" t="s">
        <v>46</v>
      </c>
      <c r="D535" s="19" t="s">
        <v>37</v>
      </c>
      <c r="E535" s="19">
        <v>1</v>
      </c>
      <c r="F535" s="19">
        <v>25</v>
      </c>
    </row>
    <row r="536" spans="1:6" x14ac:dyDescent="0.3">
      <c r="A536" s="19" t="s">
        <v>160</v>
      </c>
      <c r="B536" s="19" t="s">
        <v>161</v>
      </c>
      <c r="C536" s="19" t="s">
        <v>46</v>
      </c>
      <c r="D536" s="19" t="s">
        <v>39</v>
      </c>
      <c r="E536" s="19">
        <v>0</v>
      </c>
      <c r="F536" s="19">
        <v>30</v>
      </c>
    </row>
    <row r="537" spans="1:6" x14ac:dyDescent="0.3">
      <c r="A537" s="19" t="s">
        <v>160</v>
      </c>
      <c r="B537" s="19" t="s">
        <v>161</v>
      </c>
      <c r="C537" s="19" t="s">
        <v>46</v>
      </c>
      <c r="D537" s="19" t="s">
        <v>41</v>
      </c>
      <c r="E537" s="19">
        <v>0</v>
      </c>
      <c r="F537" s="19">
        <v>27</v>
      </c>
    </row>
    <row r="538" spans="1:6" x14ac:dyDescent="0.3">
      <c r="A538" s="19" t="s">
        <v>160</v>
      </c>
      <c r="B538" s="19" t="s">
        <v>161</v>
      </c>
      <c r="C538" s="19" t="s">
        <v>46</v>
      </c>
      <c r="D538" s="19" t="s">
        <v>43</v>
      </c>
      <c r="E538" s="19">
        <v>0</v>
      </c>
      <c r="F538" s="19">
        <v>28</v>
      </c>
    </row>
    <row r="539" spans="1:6" x14ac:dyDescent="0.3">
      <c r="A539" s="19" t="s">
        <v>160</v>
      </c>
      <c r="B539" s="19" t="s">
        <v>161</v>
      </c>
      <c r="C539" s="19" t="s">
        <v>46</v>
      </c>
      <c r="D539" s="19" t="s">
        <v>45</v>
      </c>
      <c r="E539" s="19">
        <v>0</v>
      </c>
      <c r="F539" s="19">
        <v>43</v>
      </c>
    </row>
    <row r="540" spans="1:6" x14ac:dyDescent="0.3">
      <c r="A540" s="19" t="s">
        <v>160</v>
      </c>
      <c r="B540" s="19" t="s">
        <v>161</v>
      </c>
      <c r="C540" s="19" t="s">
        <v>46</v>
      </c>
      <c r="D540" s="19" t="s">
        <v>47</v>
      </c>
      <c r="E540" s="19">
        <v>0</v>
      </c>
      <c r="F540" s="19">
        <v>29</v>
      </c>
    </row>
    <row r="541" spans="1:6" x14ac:dyDescent="0.3">
      <c r="A541" s="19" t="s">
        <v>160</v>
      </c>
      <c r="B541" s="19" t="s">
        <v>161</v>
      </c>
      <c r="C541" s="19" t="s">
        <v>46</v>
      </c>
      <c r="D541" s="19" t="s">
        <v>49</v>
      </c>
      <c r="E541" s="19">
        <v>0</v>
      </c>
      <c r="F541" s="19">
        <v>30</v>
      </c>
    </row>
    <row r="542" spans="1:6" x14ac:dyDescent="0.3">
      <c r="A542" s="19" t="s">
        <v>162</v>
      </c>
      <c r="B542" s="19" t="s">
        <v>163</v>
      </c>
      <c r="C542" s="19" t="s">
        <v>38</v>
      </c>
      <c r="D542" s="19" t="s">
        <v>27</v>
      </c>
      <c r="E542" s="19">
        <v>0</v>
      </c>
      <c r="F542" s="19">
        <v>12</v>
      </c>
    </row>
    <row r="543" spans="1:6" x14ac:dyDescent="0.3">
      <c r="A543" s="19" t="s">
        <v>162</v>
      </c>
      <c r="B543" s="19" t="s">
        <v>163</v>
      </c>
      <c r="C543" s="19" t="s">
        <v>38</v>
      </c>
      <c r="D543" s="19" t="s">
        <v>29</v>
      </c>
      <c r="E543" s="19">
        <v>0</v>
      </c>
      <c r="F543" s="19">
        <v>15</v>
      </c>
    </row>
    <row r="544" spans="1:6" x14ac:dyDescent="0.3">
      <c r="A544" s="19" t="s">
        <v>162</v>
      </c>
      <c r="B544" s="19" t="s">
        <v>163</v>
      </c>
      <c r="C544" s="19" t="s">
        <v>38</v>
      </c>
      <c r="D544" s="19" t="s">
        <v>31</v>
      </c>
      <c r="E544" s="19">
        <v>0</v>
      </c>
      <c r="F544" s="19">
        <v>13</v>
      </c>
    </row>
    <row r="545" spans="1:6" x14ac:dyDescent="0.3">
      <c r="A545" s="19" t="s">
        <v>162</v>
      </c>
      <c r="B545" s="19" t="s">
        <v>163</v>
      </c>
      <c r="C545" s="19" t="s">
        <v>38</v>
      </c>
      <c r="D545" s="19" t="s">
        <v>33</v>
      </c>
      <c r="E545" s="19">
        <v>0</v>
      </c>
      <c r="F545" s="19">
        <v>14</v>
      </c>
    </row>
    <row r="546" spans="1:6" x14ac:dyDescent="0.3">
      <c r="A546" s="19" t="s">
        <v>162</v>
      </c>
      <c r="B546" s="19" t="s">
        <v>163</v>
      </c>
      <c r="C546" s="19" t="s">
        <v>38</v>
      </c>
      <c r="D546" s="19" t="s">
        <v>35</v>
      </c>
      <c r="E546" s="19">
        <v>0</v>
      </c>
      <c r="F546" s="19">
        <v>13</v>
      </c>
    </row>
    <row r="547" spans="1:6" x14ac:dyDescent="0.3">
      <c r="A547" s="19" t="s">
        <v>162</v>
      </c>
      <c r="B547" s="19" t="s">
        <v>163</v>
      </c>
      <c r="C547" s="19" t="s">
        <v>38</v>
      </c>
      <c r="D547" s="19" t="s">
        <v>37</v>
      </c>
      <c r="E547" s="19">
        <v>0</v>
      </c>
      <c r="F547" s="19">
        <v>15</v>
      </c>
    </row>
    <row r="548" spans="1:6" x14ac:dyDescent="0.3">
      <c r="A548" s="19" t="s">
        <v>162</v>
      </c>
      <c r="B548" s="19" t="s">
        <v>163</v>
      </c>
      <c r="C548" s="19" t="s">
        <v>38</v>
      </c>
      <c r="D548" s="19" t="s">
        <v>39</v>
      </c>
      <c r="E548" s="19">
        <v>0</v>
      </c>
      <c r="F548" s="19">
        <v>12</v>
      </c>
    </row>
    <row r="549" spans="1:6" x14ac:dyDescent="0.3">
      <c r="A549" s="19" t="s">
        <v>162</v>
      </c>
      <c r="B549" s="19" t="s">
        <v>163</v>
      </c>
      <c r="C549" s="19" t="s">
        <v>38</v>
      </c>
      <c r="D549" s="19" t="s">
        <v>41</v>
      </c>
      <c r="E549" s="19">
        <v>0</v>
      </c>
      <c r="F549" s="19">
        <v>13</v>
      </c>
    </row>
    <row r="550" spans="1:6" x14ac:dyDescent="0.3">
      <c r="A550" s="19" t="s">
        <v>162</v>
      </c>
      <c r="B550" s="19" t="s">
        <v>163</v>
      </c>
      <c r="C550" s="19" t="s">
        <v>38</v>
      </c>
      <c r="D550" s="19" t="s">
        <v>43</v>
      </c>
      <c r="E550" s="19">
        <v>0</v>
      </c>
      <c r="F550" s="19">
        <v>14</v>
      </c>
    </row>
    <row r="551" spans="1:6" x14ac:dyDescent="0.3">
      <c r="A551" s="19" t="s">
        <v>162</v>
      </c>
      <c r="B551" s="19" t="s">
        <v>163</v>
      </c>
      <c r="C551" s="19" t="s">
        <v>38</v>
      </c>
      <c r="D551" s="19" t="s">
        <v>45</v>
      </c>
      <c r="E551" s="19">
        <v>0</v>
      </c>
      <c r="F551" s="19">
        <v>24</v>
      </c>
    </row>
    <row r="552" spans="1:6" x14ac:dyDescent="0.3">
      <c r="A552" s="19" t="s">
        <v>162</v>
      </c>
      <c r="B552" s="19" t="s">
        <v>163</v>
      </c>
      <c r="C552" s="19" t="s">
        <v>38</v>
      </c>
      <c r="D552" s="19" t="s">
        <v>47</v>
      </c>
      <c r="E552" s="19">
        <v>0</v>
      </c>
      <c r="F552" s="19">
        <v>17</v>
      </c>
    </row>
    <row r="553" spans="1:6" x14ac:dyDescent="0.3">
      <c r="A553" s="19" t="s">
        <v>162</v>
      </c>
      <c r="B553" s="19" t="s">
        <v>163</v>
      </c>
      <c r="C553" s="19" t="s">
        <v>38</v>
      </c>
      <c r="D553" s="19" t="s">
        <v>49</v>
      </c>
      <c r="E553" s="19">
        <v>0</v>
      </c>
      <c r="F553" s="19">
        <v>12</v>
      </c>
    </row>
    <row r="554" spans="1:6" x14ac:dyDescent="0.3">
      <c r="A554" s="19" t="s">
        <v>164</v>
      </c>
      <c r="B554" s="19" t="s">
        <v>165</v>
      </c>
      <c r="C554" s="19" t="s">
        <v>38</v>
      </c>
      <c r="D554" s="19" t="s">
        <v>27</v>
      </c>
      <c r="E554" s="19">
        <v>0</v>
      </c>
      <c r="F554" s="19">
        <v>12</v>
      </c>
    </row>
    <row r="555" spans="1:6" x14ac:dyDescent="0.3">
      <c r="A555" s="19" t="s">
        <v>164</v>
      </c>
      <c r="B555" s="19" t="s">
        <v>165</v>
      </c>
      <c r="C555" s="19" t="s">
        <v>38</v>
      </c>
      <c r="D555" s="19" t="s">
        <v>29</v>
      </c>
      <c r="E555" s="19">
        <v>0</v>
      </c>
      <c r="F555" s="19">
        <v>13</v>
      </c>
    </row>
    <row r="556" spans="1:6" x14ac:dyDescent="0.3">
      <c r="A556" s="19" t="s">
        <v>164</v>
      </c>
      <c r="B556" s="19" t="s">
        <v>165</v>
      </c>
      <c r="C556" s="19" t="s">
        <v>38</v>
      </c>
      <c r="D556" s="19" t="s">
        <v>31</v>
      </c>
      <c r="E556" s="19">
        <v>0</v>
      </c>
      <c r="F556" s="19">
        <v>13</v>
      </c>
    </row>
    <row r="557" spans="1:6" x14ac:dyDescent="0.3">
      <c r="A557" s="19" t="s">
        <v>164</v>
      </c>
      <c r="B557" s="19" t="s">
        <v>165</v>
      </c>
      <c r="C557" s="19" t="s">
        <v>38</v>
      </c>
      <c r="D557" s="19" t="s">
        <v>33</v>
      </c>
      <c r="E557" s="19">
        <v>0</v>
      </c>
      <c r="F557" s="19">
        <v>11</v>
      </c>
    </row>
    <row r="558" spans="1:6" x14ac:dyDescent="0.3">
      <c r="A558" s="19" t="s">
        <v>164</v>
      </c>
      <c r="B558" s="19" t="s">
        <v>165</v>
      </c>
      <c r="C558" s="19" t="s">
        <v>38</v>
      </c>
      <c r="D558" s="19" t="s">
        <v>35</v>
      </c>
      <c r="E558" s="19">
        <v>0</v>
      </c>
      <c r="F558" s="19">
        <v>11</v>
      </c>
    </row>
    <row r="559" spans="1:6" x14ac:dyDescent="0.3">
      <c r="A559" s="19" t="s">
        <v>164</v>
      </c>
      <c r="B559" s="19" t="s">
        <v>165</v>
      </c>
      <c r="C559" s="19" t="s">
        <v>38</v>
      </c>
      <c r="D559" s="19" t="s">
        <v>37</v>
      </c>
      <c r="E559" s="19">
        <v>0</v>
      </c>
      <c r="F559" s="19">
        <v>11</v>
      </c>
    </row>
    <row r="560" spans="1:6" x14ac:dyDescent="0.3">
      <c r="A560" s="19" t="s">
        <v>164</v>
      </c>
      <c r="B560" s="19" t="s">
        <v>165</v>
      </c>
      <c r="C560" s="19" t="s">
        <v>38</v>
      </c>
      <c r="D560" s="19" t="s">
        <v>39</v>
      </c>
      <c r="E560" s="19">
        <v>0</v>
      </c>
      <c r="F560" s="19">
        <v>11</v>
      </c>
    </row>
    <row r="561" spans="1:6" x14ac:dyDescent="0.3">
      <c r="A561" s="19" t="s">
        <v>164</v>
      </c>
      <c r="B561" s="19" t="s">
        <v>165</v>
      </c>
      <c r="C561" s="19" t="s">
        <v>38</v>
      </c>
      <c r="D561" s="19" t="s">
        <v>41</v>
      </c>
      <c r="E561" s="19">
        <v>0</v>
      </c>
      <c r="F561" s="19">
        <v>10</v>
      </c>
    </row>
    <row r="562" spans="1:6" x14ac:dyDescent="0.3">
      <c r="A562" s="19" t="s">
        <v>164</v>
      </c>
      <c r="B562" s="19" t="s">
        <v>165</v>
      </c>
      <c r="C562" s="19" t="s">
        <v>38</v>
      </c>
      <c r="D562" s="19" t="s">
        <v>43</v>
      </c>
      <c r="E562" s="19">
        <v>0</v>
      </c>
      <c r="F562" s="19">
        <v>11</v>
      </c>
    </row>
    <row r="563" spans="1:6" x14ac:dyDescent="0.3">
      <c r="A563" s="19" t="s">
        <v>164</v>
      </c>
      <c r="B563" s="19" t="s">
        <v>165</v>
      </c>
      <c r="C563" s="19" t="s">
        <v>38</v>
      </c>
      <c r="D563" s="19" t="s">
        <v>45</v>
      </c>
      <c r="E563" s="19">
        <v>0</v>
      </c>
      <c r="F563" s="19">
        <v>17</v>
      </c>
    </row>
    <row r="564" spans="1:6" x14ac:dyDescent="0.3">
      <c r="A564" s="19" t="s">
        <v>164</v>
      </c>
      <c r="B564" s="19" t="s">
        <v>165</v>
      </c>
      <c r="C564" s="19" t="s">
        <v>38</v>
      </c>
      <c r="D564" s="19" t="s">
        <v>47</v>
      </c>
      <c r="E564" s="19">
        <v>0</v>
      </c>
      <c r="F564" s="19">
        <v>14</v>
      </c>
    </row>
    <row r="565" spans="1:6" x14ac:dyDescent="0.3">
      <c r="A565" s="19" t="s">
        <v>164</v>
      </c>
      <c r="B565" s="19" t="s">
        <v>165</v>
      </c>
      <c r="C565" s="19" t="s">
        <v>38</v>
      </c>
      <c r="D565" s="19" t="s">
        <v>49</v>
      </c>
      <c r="E565" s="19">
        <v>0</v>
      </c>
      <c r="F565" s="19">
        <v>13</v>
      </c>
    </row>
    <row r="566" spans="1:6" x14ac:dyDescent="0.3">
      <c r="A566" s="19" t="s">
        <v>166</v>
      </c>
      <c r="B566" s="19" t="s">
        <v>167</v>
      </c>
      <c r="C566" s="19" t="s">
        <v>38</v>
      </c>
      <c r="D566" s="19" t="s">
        <v>27</v>
      </c>
      <c r="E566" s="19">
        <v>1</v>
      </c>
      <c r="F566" s="19">
        <v>29</v>
      </c>
    </row>
    <row r="567" spans="1:6" x14ac:dyDescent="0.3">
      <c r="A567" s="19" t="s">
        <v>166</v>
      </c>
      <c r="B567" s="19" t="s">
        <v>167</v>
      </c>
      <c r="C567" s="19" t="s">
        <v>38</v>
      </c>
      <c r="D567" s="19" t="s">
        <v>29</v>
      </c>
      <c r="E567" s="19">
        <v>0</v>
      </c>
      <c r="F567" s="19">
        <v>31</v>
      </c>
    </row>
    <row r="568" spans="1:6" x14ac:dyDescent="0.3">
      <c r="A568" s="19" t="s">
        <v>166</v>
      </c>
      <c r="B568" s="19" t="s">
        <v>167</v>
      </c>
      <c r="C568" s="19" t="s">
        <v>38</v>
      </c>
      <c r="D568" s="19" t="s">
        <v>31</v>
      </c>
      <c r="E568" s="19">
        <v>0</v>
      </c>
      <c r="F568" s="19">
        <v>33</v>
      </c>
    </row>
    <row r="569" spans="1:6" x14ac:dyDescent="0.3">
      <c r="A569" s="19" t="s">
        <v>166</v>
      </c>
      <c r="B569" s="19" t="s">
        <v>167</v>
      </c>
      <c r="C569" s="19" t="s">
        <v>38</v>
      </c>
      <c r="D569" s="19" t="s">
        <v>33</v>
      </c>
      <c r="E569" s="19">
        <v>0</v>
      </c>
      <c r="F569" s="19">
        <v>34</v>
      </c>
    </row>
    <row r="570" spans="1:6" x14ac:dyDescent="0.3">
      <c r="A570" s="19" t="s">
        <v>166</v>
      </c>
      <c r="B570" s="19" t="s">
        <v>167</v>
      </c>
      <c r="C570" s="19" t="s">
        <v>38</v>
      </c>
      <c r="D570" s="19" t="s">
        <v>35</v>
      </c>
      <c r="E570" s="19">
        <v>0</v>
      </c>
      <c r="F570" s="19">
        <v>36</v>
      </c>
    </row>
    <row r="571" spans="1:6" x14ac:dyDescent="0.3">
      <c r="A571" s="19" t="s">
        <v>166</v>
      </c>
      <c r="B571" s="19" t="s">
        <v>167</v>
      </c>
      <c r="C571" s="19" t="s">
        <v>38</v>
      </c>
      <c r="D571" s="19" t="s">
        <v>37</v>
      </c>
      <c r="E571" s="19">
        <v>1</v>
      </c>
      <c r="F571" s="19">
        <v>30</v>
      </c>
    </row>
    <row r="572" spans="1:6" x14ac:dyDescent="0.3">
      <c r="A572" s="19" t="s">
        <v>166</v>
      </c>
      <c r="B572" s="19" t="s">
        <v>167</v>
      </c>
      <c r="C572" s="19" t="s">
        <v>38</v>
      </c>
      <c r="D572" s="19" t="s">
        <v>39</v>
      </c>
      <c r="E572" s="19">
        <v>0</v>
      </c>
      <c r="F572" s="19">
        <v>33</v>
      </c>
    </row>
    <row r="573" spans="1:6" x14ac:dyDescent="0.3">
      <c r="A573" s="19" t="s">
        <v>166</v>
      </c>
      <c r="B573" s="19" t="s">
        <v>167</v>
      </c>
      <c r="C573" s="19" t="s">
        <v>38</v>
      </c>
      <c r="D573" s="19" t="s">
        <v>41</v>
      </c>
      <c r="E573" s="19">
        <v>1</v>
      </c>
      <c r="F573" s="19">
        <v>35</v>
      </c>
    </row>
    <row r="574" spans="1:6" x14ac:dyDescent="0.3">
      <c r="A574" s="19" t="s">
        <v>166</v>
      </c>
      <c r="B574" s="19" t="s">
        <v>167</v>
      </c>
      <c r="C574" s="19" t="s">
        <v>38</v>
      </c>
      <c r="D574" s="19" t="s">
        <v>43</v>
      </c>
      <c r="E574" s="19">
        <v>0</v>
      </c>
      <c r="F574" s="19">
        <v>30</v>
      </c>
    </row>
    <row r="575" spans="1:6" x14ac:dyDescent="0.3">
      <c r="A575" s="19" t="s">
        <v>166</v>
      </c>
      <c r="B575" s="19" t="s">
        <v>167</v>
      </c>
      <c r="C575" s="19" t="s">
        <v>38</v>
      </c>
      <c r="D575" s="19" t="s">
        <v>45</v>
      </c>
      <c r="E575" s="19">
        <v>1</v>
      </c>
      <c r="F575" s="19">
        <v>45</v>
      </c>
    </row>
    <row r="576" spans="1:6" x14ac:dyDescent="0.3">
      <c r="A576" s="19" t="s">
        <v>166</v>
      </c>
      <c r="B576" s="19" t="s">
        <v>167</v>
      </c>
      <c r="C576" s="19" t="s">
        <v>38</v>
      </c>
      <c r="D576" s="19" t="s">
        <v>47</v>
      </c>
      <c r="E576" s="19">
        <v>0</v>
      </c>
      <c r="F576" s="19">
        <v>37</v>
      </c>
    </row>
    <row r="577" spans="1:6" x14ac:dyDescent="0.3">
      <c r="A577" s="19" t="s">
        <v>166</v>
      </c>
      <c r="B577" s="19" t="s">
        <v>167</v>
      </c>
      <c r="C577" s="19" t="s">
        <v>38</v>
      </c>
      <c r="D577" s="19" t="s">
        <v>49</v>
      </c>
      <c r="E577" s="19">
        <v>1</v>
      </c>
      <c r="F577" s="19">
        <v>29</v>
      </c>
    </row>
    <row r="578" spans="1:6" x14ac:dyDescent="0.3">
      <c r="A578" s="19" t="s">
        <v>168</v>
      </c>
      <c r="B578" s="19" t="s">
        <v>169</v>
      </c>
      <c r="C578" s="19" t="s">
        <v>28</v>
      </c>
      <c r="D578" s="19" t="s">
        <v>27</v>
      </c>
      <c r="E578" s="19">
        <v>1</v>
      </c>
      <c r="F578" s="19">
        <v>40</v>
      </c>
    </row>
    <row r="579" spans="1:6" x14ac:dyDescent="0.3">
      <c r="A579" s="19" t="s">
        <v>168</v>
      </c>
      <c r="B579" s="19" t="s">
        <v>169</v>
      </c>
      <c r="C579" s="19" t="s">
        <v>28</v>
      </c>
      <c r="D579" s="19" t="s">
        <v>29</v>
      </c>
      <c r="E579" s="19">
        <v>0</v>
      </c>
      <c r="F579" s="19">
        <v>35</v>
      </c>
    </row>
    <row r="580" spans="1:6" x14ac:dyDescent="0.3">
      <c r="A580" s="19" t="s">
        <v>168</v>
      </c>
      <c r="B580" s="19" t="s">
        <v>169</v>
      </c>
      <c r="C580" s="19" t="s">
        <v>28</v>
      </c>
      <c r="D580" s="19" t="s">
        <v>31</v>
      </c>
      <c r="E580" s="19">
        <v>1</v>
      </c>
      <c r="F580" s="19">
        <v>44</v>
      </c>
    </row>
    <row r="581" spans="1:6" x14ac:dyDescent="0.3">
      <c r="A581" s="19" t="s">
        <v>168</v>
      </c>
      <c r="B581" s="19" t="s">
        <v>169</v>
      </c>
      <c r="C581" s="19" t="s">
        <v>28</v>
      </c>
      <c r="D581" s="19" t="s">
        <v>33</v>
      </c>
      <c r="E581" s="19">
        <v>1</v>
      </c>
      <c r="F581" s="19">
        <v>42</v>
      </c>
    </row>
    <row r="582" spans="1:6" x14ac:dyDescent="0.3">
      <c r="A582" s="19" t="s">
        <v>168</v>
      </c>
      <c r="B582" s="19" t="s">
        <v>169</v>
      </c>
      <c r="C582" s="19" t="s">
        <v>28</v>
      </c>
      <c r="D582" s="19" t="s">
        <v>35</v>
      </c>
      <c r="E582" s="19">
        <v>0</v>
      </c>
      <c r="F582" s="19">
        <v>35</v>
      </c>
    </row>
    <row r="583" spans="1:6" x14ac:dyDescent="0.3">
      <c r="A583" s="19" t="s">
        <v>168</v>
      </c>
      <c r="B583" s="19" t="s">
        <v>169</v>
      </c>
      <c r="C583" s="19" t="s">
        <v>28</v>
      </c>
      <c r="D583" s="19" t="s">
        <v>37</v>
      </c>
      <c r="E583" s="19">
        <v>1</v>
      </c>
      <c r="F583" s="19">
        <v>37</v>
      </c>
    </row>
    <row r="584" spans="1:6" x14ac:dyDescent="0.3">
      <c r="A584" s="19" t="s">
        <v>168</v>
      </c>
      <c r="B584" s="19" t="s">
        <v>169</v>
      </c>
      <c r="C584" s="19" t="s">
        <v>28</v>
      </c>
      <c r="D584" s="19" t="s">
        <v>39</v>
      </c>
      <c r="E584" s="19">
        <v>0</v>
      </c>
      <c r="F584" s="19">
        <v>43</v>
      </c>
    </row>
    <row r="585" spans="1:6" x14ac:dyDescent="0.3">
      <c r="A585" s="19" t="s">
        <v>168</v>
      </c>
      <c r="B585" s="19" t="s">
        <v>169</v>
      </c>
      <c r="C585" s="19" t="s">
        <v>28</v>
      </c>
      <c r="D585" s="19" t="s">
        <v>41</v>
      </c>
      <c r="E585" s="19">
        <v>0</v>
      </c>
      <c r="F585" s="19">
        <v>35</v>
      </c>
    </row>
    <row r="586" spans="1:6" x14ac:dyDescent="0.3">
      <c r="A586" s="19" t="s">
        <v>168</v>
      </c>
      <c r="B586" s="19" t="s">
        <v>169</v>
      </c>
      <c r="C586" s="19" t="s">
        <v>28</v>
      </c>
      <c r="D586" s="19" t="s">
        <v>43</v>
      </c>
      <c r="E586" s="19">
        <v>1</v>
      </c>
      <c r="F586" s="19">
        <v>44</v>
      </c>
    </row>
    <row r="587" spans="1:6" x14ac:dyDescent="0.3">
      <c r="A587" s="19" t="s">
        <v>168</v>
      </c>
      <c r="B587" s="19" t="s">
        <v>169</v>
      </c>
      <c r="C587" s="19" t="s">
        <v>28</v>
      </c>
      <c r="D587" s="19" t="s">
        <v>45</v>
      </c>
      <c r="E587" s="19">
        <v>2</v>
      </c>
      <c r="F587" s="19">
        <v>73</v>
      </c>
    </row>
    <row r="588" spans="1:6" x14ac:dyDescent="0.3">
      <c r="A588" s="19" t="s">
        <v>168</v>
      </c>
      <c r="B588" s="19" t="s">
        <v>169</v>
      </c>
      <c r="C588" s="19" t="s">
        <v>28</v>
      </c>
      <c r="D588" s="19" t="s">
        <v>47</v>
      </c>
      <c r="E588" s="19">
        <v>1</v>
      </c>
      <c r="F588" s="19">
        <v>43</v>
      </c>
    </row>
    <row r="589" spans="1:6" x14ac:dyDescent="0.3">
      <c r="A589" s="19" t="s">
        <v>168</v>
      </c>
      <c r="B589" s="19" t="s">
        <v>169</v>
      </c>
      <c r="C589" s="19" t="s">
        <v>28</v>
      </c>
      <c r="D589" s="19" t="s">
        <v>49</v>
      </c>
      <c r="E589" s="19">
        <v>1</v>
      </c>
      <c r="F589" s="19">
        <v>44</v>
      </c>
    </row>
    <row r="590" spans="1:6" x14ac:dyDescent="0.3">
      <c r="A590" s="19" t="s">
        <v>170</v>
      </c>
      <c r="B590" s="19" t="s">
        <v>171</v>
      </c>
      <c r="C590" s="19" t="s">
        <v>28</v>
      </c>
      <c r="D590" s="19" t="s">
        <v>27</v>
      </c>
      <c r="E590" s="19">
        <v>0</v>
      </c>
      <c r="F590" s="19">
        <v>19</v>
      </c>
    </row>
    <row r="591" spans="1:6" x14ac:dyDescent="0.3">
      <c r="A591" s="19" t="s">
        <v>170</v>
      </c>
      <c r="B591" s="19" t="s">
        <v>171</v>
      </c>
      <c r="C591" s="19" t="s">
        <v>28</v>
      </c>
      <c r="D591" s="19" t="s">
        <v>29</v>
      </c>
      <c r="E591" s="19">
        <v>1</v>
      </c>
      <c r="F591" s="19">
        <v>19</v>
      </c>
    </row>
    <row r="592" spans="1:6" x14ac:dyDescent="0.3">
      <c r="A592" s="19" t="s">
        <v>170</v>
      </c>
      <c r="B592" s="19" t="s">
        <v>171</v>
      </c>
      <c r="C592" s="19" t="s">
        <v>28</v>
      </c>
      <c r="D592" s="19" t="s">
        <v>31</v>
      </c>
      <c r="E592" s="19">
        <v>0</v>
      </c>
      <c r="F592" s="19">
        <v>18</v>
      </c>
    </row>
    <row r="593" spans="1:6" x14ac:dyDescent="0.3">
      <c r="A593" s="19" t="s">
        <v>170</v>
      </c>
      <c r="B593" s="19" t="s">
        <v>171</v>
      </c>
      <c r="C593" s="19" t="s">
        <v>28</v>
      </c>
      <c r="D593" s="19" t="s">
        <v>33</v>
      </c>
      <c r="E593" s="19">
        <v>1</v>
      </c>
      <c r="F593" s="19">
        <v>21</v>
      </c>
    </row>
    <row r="594" spans="1:6" x14ac:dyDescent="0.3">
      <c r="A594" s="19" t="s">
        <v>170</v>
      </c>
      <c r="B594" s="19" t="s">
        <v>171</v>
      </c>
      <c r="C594" s="19" t="s">
        <v>28</v>
      </c>
      <c r="D594" s="19" t="s">
        <v>35</v>
      </c>
      <c r="E594" s="19">
        <v>0</v>
      </c>
      <c r="F594" s="19">
        <v>18</v>
      </c>
    </row>
    <row r="595" spans="1:6" x14ac:dyDescent="0.3">
      <c r="A595" s="19" t="s">
        <v>170</v>
      </c>
      <c r="B595" s="19" t="s">
        <v>171</v>
      </c>
      <c r="C595" s="19" t="s">
        <v>28</v>
      </c>
      <c r="D595" s="19" t="s">
        <v>37</v>
      </c>
      <c r="E595" s="19">
        <v>0</v>
      </c>
      <c r="F595" s="19">
        <v>19</v>
      </c>
    </row>
    <row r="596" spans="1:6" x14ac:dyDescent="0.3">
      <c r="A596" s="19" t="s">
        <v>170</v>
      </c>
      <c r="B596" s="19" t="s">
        <v>171</v>
      </c>
      <c r="C596" s="19" t="s">
        <v>28</v>
      </c>
      <c r="D596" s="19" t="s">
        <v>39</v>
      </c>
      <c r="E596" s="19">
        <v>0</v>
      </c>
      <c r="F596" s="19">
        <v>19</v>
      </c>
    </row>
    <row r="597" spans="1:6" x14ac:dyDescent="0.3">
      <c r="A597" s="19" t="s">
        <v>170</v>
      </c>
      <c r="B597" s="19" t="s">
        <v>171</v>
      </c>
      <c r="C597" s="19" t="s">
        <v>28</v>
      </c>
      <c r="D597" s="19" t="s">
        <v>41</v>
      </c>
      <c r="E597" s="19">
        <v>0</v>
      </c>
      <c r="F597" s="19">
        <v>17</v>
      </c>
    </row>
    <row r="598" spans="1:6" x14ac:dyDescent="0.3">
      <c r="A598" s="19" t="s">
        <v>170</v>
      </c>
      <c r="B598" s="19" t="s">
        <v>171</v>
      </c>
      <c r="C598" s="19" t="s">
        <v>28</v>
      </c>
      <c r="D598" s="19" t="s">
        <v>43</v>
      </c>
      <c r="E598" s="19">
        <v>0</v>
      </c>
      <c r="F598" s="19">
        <v>16</v>
      </c>
    </row>
    <row r="599" spans="1:6" x14ac:dyDescent="0.3">
      <c r="A599" s="19" t="s">
        <v>170</v>
      </c>
      <c r="B599" s="19" t="s">
        <v>171</v>
      </c>
      <c r="C599" s="19" t="s">
        <v>28</v>
      </c>
      <c r="D599" s="19" t="s">
        <v>45</v>
      </c>
      <c r="E599" s="19">
        <v>0</v>
      </c>
      <c r="F599" s="19">
        <v>25</v>
      </c>
    </row>
    <row r="600" spans="1:6" x14ac:dyDescent="0.3">
      <c r="A600" s="19" t="s">
        <v>170</v>
      </c>
      <c r="B600" s="19" t="s">
        <v>171</v>
      </c>
      <c r="C600" s="19" t="s">
        <v>28</v>
      </c>
      <c r="D600" s="19" t="s">
        <v>47</v>
      </c>
      <c r="E600" s="19">
        <v>0</v>
      </c>
      <c r="F600" s="19">
        <v>22</v>
      </c>
    </row>
    <row r="601" spans="1:6" x14ac:dyDescent="0.3">
      <c r="A601" s="19" t="s">
        <v>170</v>
      </c>
      <c r="B601" s="19" t="s">
        <v>171</v>
      </c>
      <c r="C601" s="19" t="s">
        <v>28</v>
      </c>
      <c r="D601" s="19" t="s">
        <v>49</v>
      </c>
      <c r="E601" s="19">
        <v>1</v>
      </c>
      <c r="F601" s="19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30" customWidth="1"/>
    <col min="4" max="4" width="18" customWidth="1"/>
    <col min="5" max="5" width="12" customWidth="1"/>
    <col min="6" max="6" width="16" customWidth="1"/>
  </cols>
  <sheetData>
    <row r="1" spans="1:6" ht="27.75" customHeight="1" x14ac:dyDescent="0.3">
      <c r="A1" s="18" t="s">
        <v>22</v>
      </c>
      <c r="B1" s="18" t="s">
        <v>60</v>
      </c>
      <c r="C1" s="18" t="s">
        <v>61</v>
      </c>
      <c r="D1" s="18" t="s">
        <v>25</v>
      </c>
      <c r="E1" s="18" t="s">
        <v>23</v>
      </c>
      <c r="F1" s="18" t="s">
        <v>64</v>
      </c>
    </row>
    <row r="2" spans="1:6" x14ac:dyDescent="0.3">
      <c r="A2" s="19" t="s">
        <v>27</v>
      </c>
      <c r="B2" s="19" t="s">
        <v>67</v>
      </c>
      <c r="C2" s="19" t="s">
        <v>68</v>
      </c>
      <c r="D2" s="19" t="s">
        <v>30</v>
      </c>
      <c r="E2" s="19">
        <v>132</v>
      </c>
      <c r="F2" s="20">
        <v>1800</v>
      </c>
    </row>
    <row r="3" spans="1:6" x14ac:dyDescent="0.3">
      <c r="A3" s="19" t="s">
        <v>29</v>
      </c>
      <c r="B3" s="19" t="s">
        <v>67</v>
      </c>
      <c r="C3" s="19" t="s">
        <v>68</v>
      </c>
      <c r="D3" s="19" t="s">
        <v>30</v>
      </c>
      <c r="E3" s="19">
        <v>145</v>
      </c>
      <c r="F3" s="20">
        <v>1800</v>
      </c>
    </row>
    <row r="4" spans="1:6" x14ac:dyDescent="0.3">
      <c r="A4" s="19" t="s">
        <v>31</v>
      </c>
      <c r="B4" s="19" t="s">
        <v>67</v>
      </c>
      <c r="C4" s="19" t="s">
        <v>68</v>
      </c>
      <c r="D4" s="19" t="s">
        <v>30</v>
      </c>
      <c r="E4" s="19">
        <v>132</v>
      </c>
      <c r="F4" s="20">
        <v>1800</v>
      </c>
    </row>
    <row r="5" spans="1:6" x14ac:dyDescent="0.3">
      <c r="A5" s="19" t="s">
        <v>33</v>
      </c>
      <c r="B5" s="19" t="s">
        <v>67</v>
      </c>
      <c r="C5" s="19" t="s">
        <v>68</v>
      </c>
      <c r="D5" s="19" t="s">
        <v>30</v>
      </c>
      <c r="E5" s="19">
        <v>152</v>
      </c>
      <c r="F5" s="20">
        <v>1800</v>
      </c>
    </row>
    <row r="6" spans="1:6" x14ac:dyDescent="0.3">
      <c r="A6" s="19" t="s">
        <v>35</v>
      </c>
      <c r="B6" s="19" t="s">
        <v>67</v>
      </c>
      <c r="C6" s="19" t="s">
        <v>68</v>
      </c>
      <c r="D6" s="19" t="s">
        <v>30</v>
      </c>
      <c r="E6" s="19">
        <v>159</v>
      </c>
      <c r="F6" s="20">
        <v>1800</v>
      </c>
    </row>
    <row r="7" spans="1:6" x14ac:dyDescent="0.3">
      <c r="A7" s="19" t="s">
        <v>37</v>
      </c>
      <c r="B7" s="19" t="s">
        <v>67</v>
      </c>
      <c r="C7" s="19" t="s">
        <v>68</v>
      </c>
      <c r="D7" s="19" t="s">
        <v>30</v>
      </c>
      <c r="E7" s="19">
        <v>133</v>
      </c>
      <c r="F7" s="20">
        <v>1800</v>
      </c>
    </row>
    <row r="8" spans="1:6" x14ac:dyDescent="0.3">
      <c r="A8" s="19" t="s">
        <v>39</v>
      </c>
      <c r="B8" s="19" t="s">
        <v>67</v>
      </c>
      <c r="C8" s="19" t="s">
        <v>68</v>
      </c>
      <c r="D8" s="19" t="s">
        <v>30</v>
      </c>
      <c r="E8" s="19">
        <v>138</v>
      </c>
      <c r="F8" s="20">
        <v>1800</v>
      </c>
    </row>
    <row r="9" spans="1:6" x14ac:dyDescent="0.3">
      <c r="A9" s="19" t="s">
        <v>41</v>
      </c>
      <c r="B9" s="19" t="s">
        <v>67</v>
      </c>
      <c r="C9" s="19" t="s">
        <v>68</v>
      </c>
      <c r="D9" s="19" t="s">
        <v>30</v>
      </c>
      <c r="E9" s="19">
        <v>123</v>
      </c>
      <c r="F9" s="20">
        <v>1800</v>
      </c>
    </row>
    <row r="10" spans="1:6" x14ac:dyDescent="0.3">
      <c r="A10" s="19" t="s">
        <v>43</v>
      </c>
      <c r="B10" s="19" t="s">
        <v>67</v>
      </c>
      <c r="C10" s="19" t="s">
        <v>68</v>
      </c>
      <c r="D10" s="19" t="s">
        <v>30</v>
      </c>
      <c r="E10" s="19">
        <v>125</v>
      </c>
      <c r="F10" s="20">
        <v>1800</v>
      </c>
    </row>
    <row r="11" spans="1:6" x14ac:dyDescent="0.3">
      <c r="A11" s="19" t="s">
        <v>45</v>
      </c>
      <c r="B11" s="19" t="s">
        <v>67</v>
      </c>
      <c r="C11" s="19" t="s">
        <v>68</v>
      </c>
      <c r="D11" s="19" t="s">
        <v>30</v>
      </c>
      <c r="E11" s="19">
        <v>219</v>
      </c>
      <c r="F11" s="20">
        <v>1800</v>
      </c>
    </row>
    <row r="12" spans="1:6" x14ac:dyDescent="0.3">
      <c r="A12" s="19" t="s">
        <v>47</v>
      </c>
      <c r="B12" s="19" t="s">
        <v>67</v>
      </c>
      <c r="C12" s="19" t="s">
        <v>68</v>
      </c>
      <c r="D12" s="19" t="s">
        <v>30</v>
      </c>
      <c r="E12" s="19">
        <v>178</v>
      </c>
      <c r="F12" s="20">
        <v>1800</v>
      </c>
    </row>
    <row r="13" spans="1:6" x14ac:dyDescent="0.3">
      <c r="A13" s="19" t="s">
        <v>49</v>
      </c>
      <c r="B13" s="19" t="s">
        <v>67</v>
      </c>
      <c r="C13" s="19" t="s">
        <v>68</v>
      </c>
      <c r="D13" s="19" t="s">
        <v>30</v>
      </c>
      <c r="E13" s="19">
        <v>138</v>
      </c>
      <c r="F13" s="20">
        <v>1800</v>
      </c>
    </row>
    <row r="14" spans="1:6" x14ac:dyDescent="0.3">
      <c r="A14" s="19" t="s">
        <v>27</v>
      </c>
      <c r="B14" s="19" t="s">
        <v>70</v>
      </c>
      <c r="C14" s="19" t="s">
        <v>71</v>
      </c>
      <c r="D14" s="19" t="s">
        <v>30</v>
      </c>
      <c r="E14" s="19">
        <v>176</v>
      </c>
      <c r="F14" s="20">
        <v>1200</v>
      </c>
    </row>
    <row r="15" spans="1:6" x14ac:dyDescent="0.3">
      <c r="A15" s="19" t="s">
        <v>29</v>
      </c>
      <c r="B15" s="19" t="s">
        <v>70</v>
      </c>
      <c r="C15" s="19" t="s">
        <v>71</v>
      </c>
      <c r="D15" s="19" t="s">
        <v>30</v>
      </c>
      <c r="E15" s="19">
        <v>168</v>
      </c>
      <c r="F15" s="20">
        <v>1200</v>
      </c>
    </row>
    <row r="16" spans="1:6" x14ac:dyDescent="0.3">
      <c r="A16" s="19" t="s">
        <v>31</v>
      </c>
      <c r="B16" s="19" t="s">
        <v>70</v>
      </c>
      <c r="C16" s="19" t="s">
        <v>71</v>
      </c>
      <c r="D16" s="19" t="s">
        <v>30</v>
      </c>
      <c r="E16" s="19">
        <v>187</v>
      </c>
      <c r="F16" s="20">
        <v>1200</v>
      </c>
    </row>
    <row r="17" spans="1:6" x14ac:dyDescent="0.3">
      <c r="A17" s="19" t="s">
        <v>33</v>
      </c>
      <c r="B17" s="19" t="s">
        <v>70</v>
      </c>
      <c r="C17" s="19" t="s">
        <v>71</v>
      </c>
      <c r="D17" s="19" t="s">
        <v>30</v>
      </c>
      <c r="E17" s="19">
        <v>179</v>
      </c>
      <c r="F17" s="20">
        <v>1200</v>
      </c>
    </row>
    <row r="18" spans="1:6" x14ac:dyDescent="0.3">
      <c r="A18" s="19" t="s">
        <v>35</v>
      </c>
      <c r="B18" s="19" t="s">
        <v>70</v>
      </c>
      <c r="C18" s="19" t="s">
        <v>71</v>
      </c>
      <c r="D18" s="19" t="s">
        <v>30</v>
      </c>
      <c r="E18" s="19">
        <v>161</v>
      </c>
      <c r="F18" s="20">
        <v>1200</v>
      </c>
    </row>
    <row r="19" spans="1:6" x14ac:dyDescent="0.3">
      <c r="A19" s="19" t="s">
        <v>37</v>
      </c>
      <c r="B19" s="19" t="s">
        <v>70</v>
      </c>
      <c r="C19" s="19" t="s">
        <v>71</v>
      </c>
      <c r="D19" s="19" t="s">
        <v>30</v>
      </c>
      <c r="E19" s="19">
        <v>177</v>
      </c>
      <c r="F19" s="20">
        <v>1200</v>
      </c>
    </row>
    <row r="20" spans="1:6" x14ac:dyDescent="0.3">
      <c r="A20" s="19" t="s">
        <v>39</v>
      </c>
      <c r="B20" s="19" t="s">
        <v>70</v>
      </c>
      <c r="C20" s="19" t="s">
        <v>71</v>
      </c>
      <c r="D20" s="19" t="s">
        <v>30</v>
      </c>
      <c r="E20" s="19">
        <v>173</v>
      </c>
      <c r="F20" s="20">
        <v>1200</v>
      </c>
    </row>
    <row r="21" spans="1:6" x14ac:dyDescent="0.3">
      <c r="A21" s="19" t="s">
        <v>41</v>
      </c>
      <c r="B21" s="19" t="s">
        <v>70</v>
      </c>
      <c r="C21" s="19" t="s">
        <v>71</v>
      </c>
      <c r="D21" s="19" t="s">
        <v>30</v>
      </c>
      <c r="E21" s="19">
        <v>168</v>
      </c>
      <c r="F21" s="20">
        <v>1200</v>
      </c>
    </row>
    <row r="22" spans="1:6" x14ac:dyDescent="0.3">
      <c r="A22" s="19" t="s">
        <v>43</v>
      </c>
      <c r="B22" s="19" t="s">
        <v>70</v>
      </c>
      <c r="C22" s="19" t="s">
        <v>71</v>
      </c>
      <c r="D22" s="19" t="s">
        <v>30</v>
      </c>
      <c r="E22" s="19">
        <v>159</v>
      </c>
      <c r="F22" s="20">
        <v>1200</v>
      </c>
    </row>
    <row r="23" spans="1:6" x14ac:dyDescent="0.3">
      <c r="A23" s="19" t="s">
        <v>45</v>
      </c>
      <c r="B23" s="19" t="s">
        <v>70</v>
      </c>
      <c r="C23" s="19" t="s">
        <v>71</v>
      </c>
      <c r="D23" s="19" t="s">
        <v>30</v>
      </c>
      <c r="E23" s="19">
        <v>286</v>
      </c>
      <c r="F23" s="20">
        <v>1200</v>
      </c>
    </row>
    <row r="24" spans="1:6" x14ac:dyDescent="0.3">
      <c r="A24" s="19" t="s">
        <v>47</v>
      </c>
      <c r="B24" s="19" t="s">
        <v>70</v>
      </c>
      <c r="C24" s="19" t="s">
        <v>71</v>
      </c>
      <c r="D24" s="19" t="s">
        <v>30</v>
      </c>
      <c r="E24" s="19">
        <v>201</v>
      </c>
      <c r="F24" s="20">
        <v>1200</v>
      </c>
    </row>
    <row r="25" spans="1:6" x14ac:dyDescent="0.3">
      <c r="A25" s="19" t="s">
        <v>49</v>
      </c>
      <c r="B25" s="19" t="s">
        <v>70</v>
      </c>
      <c r="C25" s="19" t="s">
        <v>71</v>
      </c>
      <c r="D25" s="19" t="s">
        <v>30</v>
      </c>
      <c r="E25" s="19">
        <v>164</v>
      </c>
      <c r="F25" s="20">
        <v>1200</v>
      </c>
    </row>
    <row r="26" spans="1:6" x14ac:dyDescent="0.3">
      <c r="A26" s="19" t="s">
        <v>27</v>
      </c>
      <c r="B26" s="19" t="s">
        <v>73</v>
      </c>
      <c r="C26" s="19" t="s">
        <v>74</v>
      </c>
      <c r="D26" s="19" t="s">
        <v>30</v>
      </c>
      <c r="E26" s="19">
        <v>225</v>
      </c>
      <c r="F26" s="20">
        <v>2200</v>
      </c>
    </row>
    <row r="27" spans="1:6" x14ac:dyDescent="0.3">
      <c r="A27" s="19" t="s">
        <v>29</v>
      </c>
      <c r="B27" s="19" t="s">
        <v>73</v>
      </c>
      <c r="C27" s="19" t="s">
        <v>74</v>
      </c>
      <c r="D27" s="19" t="s">
        <v>30</v>
      </c>
      <c r="E27" s="19">
        <v>177</v>
      </c>
      <c r="F27" s="20">
        <v>2200</v>
      </c>
    </row>
    <row r="28" spans="1:6" x14ac:dyDescent="0.3">
      <c r="A28" s="19" t="s">
        <v>31</v>
      </c>
      <c r="B28" s="19" t="s">
        <v>73</v>
      </c>
      <c r="C28" s="19" t="s">
        <v>74</v>
      </c>
      <c r="D28" s="19" t="s">
        <v>30</v>
      </c>
      <c r="E28" s="19">
        <v>224</v>
      </c>
      <c r="F28" s="20">
        <v>2200</v>
      </c>
    </row>
    <row r="29" spans="1:6" x14ac:dyDescent="0.3">
      <c r="A29" s="19" t="s">
        <v>33</v>
      </c>
      <c r="B29" s="19" t="s">
        <v>73</v>
      </c>
      <c r="C29" s="19" t="s">
        <v>74</v>
      </c>
      <c r="D29" s="19" t="s">
        <v>30</v>
      </c>
      <c r="E29" s="19">
        <v>229</v>
      </c>
      <c r="F29" s="20">
        <v>2200</v>
      </c>
    </row>
    <row r="30" spans="1:6" x14ac:dyDescent="0.3">
      <c r="A30" s="19" t="s">
        <v>35</v>
      </c>
      <c r="B30" s="19" t="s">
        <v>73</v>
      </c>
      <c r="C30" s="19" t="s">
        <v>74</v>
      </c>
      <c r="D30" s="19" t="s">
        <v>30</v>
      </c>
      <c r="E30" s="19">
        <v>187</v>
      </c>
      <c r="F30" s="20">
        <v>2200</v>
      </c>
    </row>
    <row r="31" spans="1:6" x14ac:dyDescent="0.3">
      <c r="A31" s="19" t="s">
        <v>37</v>
      </c>
      <c r="B31" s="19" t="s">
        <v>73</v>
      </c>
      <c r="C31" s="19" t="s">
        <v>74</v>
      </c>
      <c r="D31" s="19" t="s">
        <v>30</v>
      </c>
      <c r="E31" s="19">
        <v>214</v>
      </c>
      <c r="F31" s="20">
        <v>2200</v>
      </c>
    </row>
    <row r="32" spans="1:6" x14ac:dyDescent="0.3">
      <c r="A32" s="19" t="s">
        <v>39</v>
      </c>
      <c r="B32" s="19" t="s">
        <v>73</v>
      </c>
      <c r="C32" s="19" t="s">
        <v>74</v>
      </c>
      <c r="D32" s="19" t="s">
        <v>30</v>
      </c>
      <c r="E32" s="19">
        <v>238</v>
      </c>
      <c r="F32" s="20">
        <v>2200</v>
      </c>
    </row>
    <row r="33" spans="1:6" x14ac:dyDescent="0.3">
      <c r="A33" s="19" t="s">
        <v>41</v>
      </c>
      <c r="B33" s="19" t="s">
        <v>73</v>
      </c>
      <c r="C33" s="19" t="s">
        <v>74</v>
      </c>
      <c r="D33" s="19" t="s">
        <v>30</v>
      </c>
      <c r="E33" s="19">
        <v>212</v>
      </c>
      <c r="F33" s="20">
        <v>2200</v>
      </c>
    </row>
    <row r="34" spans="1:6" x14ac:dyDescent="0.3">
      <c r="A34" s="19" t="s">
        <v>43</v>
      </c>
      <c r="B34" s="19" t="s">
        <v>73</v>
      </c>
      <c r="C34" s="19" t="s">
        <v>74</v>
      </c>
      <c r="D34" s="19" t="s">
        <v>30</v>
      </c>
      <c r="E34" s="19">
        <v>238</v>
      </c>
      <c r="F34" s="20">
        <v>2200</v>
      </c>
    </row>
    <row r="35" spans="1:6" x14ac:dyDescent="0.3">
      <c r="A35" s="19" t="s">
        <v>45</v>
      </c>
      <c r="B35" s="19" t="s">
        <v>73</v>
      </c>
      <c r="C35" s="19" t="s">
        <v>74</v>
      </c>
      <c r="D35" s="19" t="s">
        <v>30</v>
      </c>
      <c r="E35" s="19">
        <v>377</v>
      </c>
      <c r="F35" s="20">
        <v>2200</v>
      </c>
    </row>
    <row r="36" spans="1:6" x14ac:dyDescent="0.3">
      <c r="A36" s="19" t="s">
        <v>47</v>
      </c>
      <c r="B36" s="19" t="s">
        <v>73</v>
      </c>
      <c r="C36" s="19" t="s">
        <v>74</v>
      </c>
      <c r="D36" s="19" t="s">
        <v>30</v>
      </c>
      <c r="E36" s="19">
        <v>273</v>
      </c>
      <c r="F36" s="20">
        <v>2200</v>
      </c>
    </row>
    <row r="37" spans="1:6" x14ac:dyDescent="0.3">
      <c r="A37" s="19" t="s">
        <v>49</v>
      </c>
      <c r="B37" s="19" t="s">
        <v>73</v>
      </c>
      <c r="C37" s="19" t="s">
        <v>74</v>
      </c>
      <c r="D37" s="19" t="s">
        <v>30</v>
      </c>
      <c r="E37" s="19">
        <v>221</v>
      </c>
      <c r="F37" s="20">
        <v>2200</v>
      </c>
    </row>
    <row r="38" spans="1:6" x14ac:dyDescent="0.3">
      <c r="A38" s="19" t="s">
        <v>27</v>
      </c>
      <c r="B38" s="19" t="s">
        <v>75</v>
      </c>
      <c r="C38" s="19" t="s">
        <v>76</v>
      </c>
      <c r="D38" s="19" t="s">
        <v>30</v>
      </c>
      <c r="E38" s="19">
        <v>182</v>
      </c>
      <c r="F38" s="20">
        <v>150</v>
      </c>
    </row>
    <row r="39" spans="1:6" x14ac:dyDescent="0.3">
      <c r="A39" s="19" t="s">
        <v>29</v>
      </c>
      <c r="B39" s="19" t="s">
        <v>75</v>
      </c>
      <c r="C39" s="19" t="s">
        <v>76</v>
      </c>
      <c r="D39" s="19" t="s">
        <v>30</v>
      </c>
      <c r="E39" s="19">
        <v>202</v>
      </c>
      <c r="F39" s="20">
        <v>150</v>
      </c>
    </row>
    <row r="40" spans="1:6" x14ac:dyDescent="0.3">
      <c r="A40" s="19" t="s">
        <v>31</v>
      </c>
      <c r="B40" s="19" t="s">
        <v>75</v>
      </c>
      <c r="C40" s="19" t="s">
        <v>76</v>
      </c>
      <c r="D40" s="19" t="s">
        <v>30</v>
      </c>
      <c r="E40" s="19">
        <v>171</v>
      </c>
      <c r="F40" s="20">
        <v>150</v>
      </c>
    </row>
    <row r="41" spans="1:6" x14ac:dyDescent="0.3">
      <c r="A41" s="19" t="s">
        <v>33</v>
      </c>
      <c r="B41" s="19" t="s">
        <v>75</v>
      </c>
      <c r="C41" s="19" t="s">
        <v>76</v>
      </c>
      <c r="D41" s="19" t="s">
        <v>30</v>
      </c>
      <c r="E41" s="19">
        <v>184</v>
      </c>
      <c r="F41" s="20">
        <v>150</v>
      </c>
    </row>
    <row r="42" spans="1:6" x14ac:dyDescent="0.3">
      <c r="A42" s="19" t="s">
        <v>35</v>
      </c>
      <c r="B42" s="19" t="s">
        <v>75</v>
      </c>
      <c r="C42" s="19" t="s">
        <v>76</v>
      </c>
      <c r="D42" s="19" t="s">
        <v>30</v>
      </c>
      <c r="E42" s="19">
        <v>220</v>
      </c>
      <c r="F42" s="20">
        <v>150</v>
      </c>
    </row>
    <row r="43" spans="1:6" x14ac:dyDescent="0.3">
      <c r="A43" s="19" t="s">
        <v>37</v>
      </c>
      <c r="B43" s="19" t="s">
        <v>75</v>
      </c>
      <c r="C43" s="19" t="s">
        <v>76</v>
      </c>
      <c r="D43" s="19" t="s">
        <v>30</v>
      </c>
      <c r="E43" s="19">
        <v>192</v>
      </c>
      <c r="F43" s="20">
        <v>150</v>
      </c>
    </row>
    <row r="44" spans="1:6" x14ac:dyDescent="0.3">
      <c r="A44" s="19" t="s">
        <v>39</v>
      </c>
      <c r="B44" s="19" t="s">
        <v>75</v>
      </c>
      <c r="C44" s="19" t="s">
        <v>76</v>
      </c>
      <c r="D44" s="19" t="s">
        <v>30</v>
      </c>
      <c r="E44" s="19">
        <v>192</v>
      </c>
      <c r="F44" s="20">
        <v>150</v>
      </c>
    </row>
    <row r="45" spans="1:6" x14ac:dyDescent="0.3">
      <c r="A45" s="19" t="s">
        <v>41</v>
      </c>
      <c r="B45" s="19" t="s">
        <v>75</v>
      </c>
      <c r="C45" s="19" t="s">
        <v>76</v>
      </c>
      <c r="D45" s="19" t="s">
        <v>30</v>
      </c>
      <c r="E45" s="19">
        <v>206</v>
      </c>
      <c r="F45" s="20">
        <v>150</v>
      </c>
    </row>
    <row r="46" spans="1:6" x14ac:dyDescent="0.3">
      <c r="A46" s="19" t="s">
        <v>43</v>
      </c>
      <c r="B46" s="19" t="s">
        <v>75</v>
      </c>
      <c r="C46" s="19" t="s">
        <v>76</v>
      </c>
      <c r="D46" s="19" t="s">
        <v>30</v>
      </c>
      <c r="E46" s="19">
        <v>174</v>
      </c>
      <c r="F46" s="20">
        <v>150</v>
      </c>
    </row>
    <row r="47" spans="1:6" x14ac:dyDescent="0.3">
      <c r="A47" s="19" t="s">
        <v>45</v>
      </c>
      <c r="B47" s="19" t="s">
        <v>75</v>
      </c>
      <c r="C47" s="19" t="s">
        <v>76</v>
      </c>
      <c r="D47" s="19" t="s">
        <v>30</v>
      </c>
      <c r="E47" s="19">
        <v>285</v>
      </c>
      <c r="F47" s="20">
        <v>150</v>
      </c>
    </row>
    <row r="48" spans="1:6" x14ac:dyDescent="0.3">
      <c r="A48" s="19" t="s">
        <v>47</v>
      </c>
      <c r="B48" s="19" t="s">
        <v>75</v>
      </c>
      <c r="C48" s="19" t="s">
        <v>76</v>
      </c>
      <c r="D48" s="19" t="s">
        <v>30</v>
      </c>
      <c r="E48" s="19">
        <v>247</v>
      </c>
      <c r="F48" s="20">
        <v>150</v>
      </c>
    </row>
    <row r="49" spans="1:6" x14ac:dyDescent="0.3">
      <c r="A49" s="19" t="s">
        <v>49</v>
      </c>
      <c r="B49" s="19" t="s">
        <v>75</v>
      </c>
      <c r="C49" s="19" t="s">
        <v>76</v>
      </c>
      <c r="D49" s="19" t="s">
        <v>30</v>
      </c>
      <c r="E49" s="19">
        <v>199</v>
      </c>
      <c r="F49" s="20">
        <v>150</v>
      </c>
    </row>
    <row r="50" spans="1:6" x14ac:dyDescent="0.3">
      <c r="A50" s="19" t="s">
        <v>27</v>
      </c>
      <c r="B50" s="19" t="s">
        <v>78</v>
      </c>
      <c r="C50" s="19" t="s">
        <v>79</v>
      </c>
      <c r="D50" s="19" t="s">
        <v>30</v>
      </c>
      <c r="E50" s="19">
        <v>160</v>
      </c>
      <c r="F50" s="20">
        <v>3500</v>
      </c>
    </row>
    <row r="51" spans="1:6" x14ac:dyDescent="0.3">
      <c r="A51" s="19" t="s">
        <v>29</v>
      </c>
      <c r="B51" s="19" t="s">
        <v>78</v>
      </c>
      <c r="C51" s="19" t="s">
        <v>79</v>
      </c>
      <c r="D51" s="19" t="s">
        <v>30</v>
      </c>
      <c r="E51" s="19">
        <v>155</v>
      </c>
      <c r="F51" s="20">
        <v>3500</v>
      </c>
    </row>
    <row r="52" spans="1:6" x14ac:dyDescent="0.3">
      <c r="A52" s="19" t="s">
        <v>31</v>
      </c>
      <c r="B52" s="19" t="s">
        <v>78</v>
      </c>
      <c r="C52" s="19" t="s">
        <v>79</v>
      </c>
      <c r="D52" s="19" t="s">
        <v>30</v>
      </c>
      <c r="E52" s="19">
        <v>159</v>
      </c>
      <c r="F52" s="20">
        <v>3500</v>
      </c>
    </row>
    <row r="53" spans="1:6" x14ac:dyDescent="0.3">
      <c r="A53" s="19" t="s">
        <v>33</v>
      </c>
      <c r="B53" s="19" t="s">
        <v>78</v>
      </c>
      <c r="C53" s="19" t="s">
        <v>79</v>
      </c>
      <c r="D53" s="19" t="s">
        <v>30</v>
      </c>
      <c r="E53" s="19">
        <v>164</v>
      </c>
      <c r="F53" s="20">
        <v>3500</v>
      </c>
    </row>
    <row r="54" spans="1:6" x14ac:dyDescent="0.3">
      <c r="A54" s="19" t="s">
        <v>35</v>
      </c>
      <c r="B54" s="19" t="s">
        <v>78</v>
      </c>
      <c r="C54" s="19" t="s">
        <v>79</v>
      </c>
      <c r="D54" s="19" t="s">
        <v>30</v>
      </c>
      <c r="E54" s="19">
        <v>184</v>
      </c>
      <c r="F54" s="20">
        <v>3500</v>
      </c>
    </row>
    <row r="55" spans="1:6" x14ac:dyDescent="0.3">
      <c r="A55" s="19" t="s">
        <v>37</v>
      </c>
      <c r="B55" s="19" t="s">
        <v>78</v>
      </c>
      <c r="C55" s="19" t="s">
        <v>79</v>
      </c>
      <c r="D55" s="19" t="s">
        <v>30</v>
      </c>
      <c r="E55" s="19">
        <v>140</v>
      </c>
      <c r="F55" s="20">
        <v>3500</v>
      </c>
    </row>
    <row r="56" spans="1:6" x14ac:dyDescent="0.3">
      <c r="A56" s="19" t="s">
        <v>39</v>
      </c>
      <c r="B56" s="19" t="s">
        <v>78</v>
      </c>
      <c r="C56" s="19" t="s">
        <v>79</v>
      </c>
      <c r="D56" s="19" t="s">
        <v>30</v>
      </c>
      <c r="E56" s="19">
        <v>144</v>
      </c>
      <c r="F56" s="20">
        <v>3500</v>
      </c>
    </row>
    <row r="57" spans="1:6" x14ac:dyDescent="0.3">
      <c r="A57" s="19" t="s">
        <v>41</v>
      </c>
      <c r="B57" s="19" t="s">
        <v>78</v>
      </c>
      <c r="C57" s="19" t="s">
        <v>79</v>
      </c>
      <c r="D57" s="19" t="s">
        <v>30</v>
      </c>
      <c r="E57" s="19">
        <v>166</v>
      </c>
      <c r="F57" s="20">
        <v>3500</v>
      </c>
    </row>
    <row r="58" spans="1:6" x14ac:dyDescent="0.3">
      <c r="A58" s="19" t="s">
        <v>43</v>
      </c>
      <c r="B58" s="19" t="s">
        <v>78</v>
      </c>
      <c r="C58" s="19" t="s">
        <v>79</v>
      </c>
      <c r="D58" s="19" t="s">
        <v>30</v>
      </c>
      <c r="E58" s="19">
        <v>180</v>
      </c>
      <c r="F58" s="20">
        <v>3500</v>
      </c>
    </row>
    <row r="59" spans="1:6" x14ac:dyDescent="0.3">
      <c r="A59" s="19" t="s">
        <v>45</v>
      </c>
      <c r="B59" s="19" t="s">
        <v>78</v>
      </c>
      <c r="C59" s="19" t="s">
        <v>79</v>
      </c>
      <c r="D59" s="19" t="s">
        <v>30</v>
      </c>
      <c r="E59" s="19">
        <v>251</v>
      </c>
      <c r="F59" s="20">
        <v>3500</v>
      </c>
    </row>
    <row r="60" spans="1:6" x14ac:dyDescent="0.3">
      <c r="A60" s="19" t="s">
        <v>47</v>
      </c>
      <c r="B60" s="19" t="s">
        <v>78</v>
      </c>
      <c r="C60" s="19" t="s">
        <v>79</v>
      </c>
      <c r="D60" s="19" t="s">
        <v>30</v>
      </c>
      <c r="E60" s="19">
        <v>169</v>
      </c>
      <c r="F60" s="20">
        <v>3500</v>
      </c>
    </row>
    <row r="61" spans="1:6" x14ac:dyDescent="0.3">
      <c r="A61" s="19" t="s">
        <v>49</v>
      </c>
      <c r="B61" s="19" t="s">
        <v>78</v>
      </c>
      <c r="C61" s="19" t="s">
        <v>79</v>
      </c>
      <c r="D61" s="19" t="s">
        <v>30</v>
      </c>
      <c r="E61" s="19">
        <v>169</v>
      </c>
      <c r="F61" s="20">
        <v>3500</v>
      </c>
    </row>
    <row r="62" spans="1:6" x14ac:dyDescent="0.3">
      <c r="A62" s="19" t="s">
        <v>27</v>
      </c>
      <c r="B62" s="19" t="s">
        <v>81</v>
      </c>
      <c r="C62" s="19" t="s">
        <v>82</v>
      </c>
      <c r="D62" s="19" t="s">
        <v>32</v>
      </c>
      <c r="E62" s="19">
        <v>146</v>
      </c>
      <c r="F62" s="20">
        <v>90</v>
      </c>
    </row>
    <row r="63" spans="1:6" x14ac:dyDescent="0.3">
      <c r="A63" s="19" t="s">
        <v>29</v>
      </c>
      <c r="B63" s="19" t="s">
        <v>81</v>
      </c>
      <c r="C63" s="19" t="s">
        <v>82</v>
      </c>
      <c r="D63" s="19" t="s">
        <v>32</v>
      </c>
      <c r="E63" s="19">
        <v>141</v>
      </c>
      <c r="F63" s="20">
        <v>90</v>
      </c>
    </row>
    <row r="64" spans="1:6" x14ac:dyDescent="0.3">
      <c r="A64" s="19" t="s">
        <v>31</v>
      </c>
      <c r="B64" s="19" t="s">
        <v>81</v>
      </c>
      <c r="C64" s="19" t="s">
        <v>82</v>
      </c>
      <c r="D64" s="19" t="s">
        <v>32</v>
      </c>
      <c r="E64" s="19">
        <v>130</v>
      </c>
      <c r="F64" s="20">
        <v>90</v>
      </c>
    </row>
    <row r="65" spans="1:6" x14ac:dyDescent="0.3">
      <c r="A65" s="19" t="s">
        <v>33</v>
      </c>
      <c r="B65" s="19" t="s">
        <v>81</v>
      </c>
      <c r="C65" s="19" t="s">
        <v>82</v>
      </c>
      <c r="D65" s="19" t="s">
        <v>32</v>
      </c>
      <c r="E65" s="19">
        <v>133</v>
      </c>
      <c r="F65" s="20">
        <v>90</v>
      </c>
    </row>
    <row r="66" spans="1:6" x14ac:dyDescent="0.3">
      <c r="A66" s="19" t="s">
        <v>35</v>
      </c>
      <c r="B66" s="19" t="s">
        <v>81</v>
      </c>
      <c r="C66" s="19" t="s">
        <v>82</v>
      </c>
      <c r="D66" s="19" t="s">
        <v>32</v>
      </c>
      <c r="E66" s="19">
        <v>148</v>
      </c>
      <c r="F66" s="20">
        <v>90</v>
      </c>
    </row>
    <row r="67" spans="1:6" x14ac:dyDescent="0.3">
      <c r="A67" s="19" t="s">
        <v>37</v>
      </c>
      <c r="B67" s="19" t="s">
        <v>81</v>
      </c>
      <c r="C67" s="19" t="s">
        <v>82</v>
      </c>
      <c r="D67" s="19" t="s">
        <v>32</v>
      </c>
      <c r="E67" s="19">
        <v>157</v>
      </c>
      <c r="F67" s="20">
        <v>90</v>
      </c>
    </row>
    <row r="68" spans="1:6" x14ac:dyDescent="0.3">
      <c r="A68" s="19" t="s">
        <v>39</v>
      </c>
      <c r="B68" s="19" t="s">
        <v>81</v>
      </c>
      <c r="C68" s="19" t="s">
        <v>82</v>
      </c>
      <c r="D68" s="19" t="s">
        <v>32</v>
      </c>
      <c r="E68" s="19">
        <v>126</v>
      </c>
      <c r="F68" s="20">
        <v>90</v>
      </c>
    </row>
    <row r="69" spans="1:6" x14ac:dyDescent="0.3">
      <c r="A69" s="19" t="s">
        <v>41</v>
      </c>
      <c r="B69" s="19" t="s">
        <v>81</v>
      </c>
      <c r="C69" s="19" t="s">
        <v>82</v>
      </c>
      <c r="D69" s="19" t="s">
        <v>32</v>
      </c>
      <c r="E69" s="19">
        <v>149</v>
      </c>
      <c r="F69" s="20">
        <v>90</v>
      </c>
    </row>
    <row r="70" spans="1:6" x14ac:dyDescent="0.3">
      <c r="A70" s="19" t="s">
        <v>43</v>
      </c>
      <c r="B70" s="19" t="s">
        <v>81</v>
      </c>
      <c r="C70" s="19" t="s">
        <v>82</v>
      </c>
      <c r="D70" s="19" t="s">
        <v>32</v>
      </c>
      <c r="E70" s="19">
        <v>158</v>
      </c>
      <c r="F70" s="20">
        <v>90</v>
      </c>
    </row>
    <row r="71" spans="1:6" x14ac:dyDescent="0.3">
      <c r="A71" s="19" t="s">
        <v>45</v>
      </c>
      <c r="B71" s="19" t="s">
        <v>81</v>
      </c>
      <c r="C71" s="19" t="s">
        <v>82</v>
      </c>
      <c r="D71" s="19" t="s">
        <v>32</v>
      </c>
      <c r="E71" s="19">
        <v>195</v>
      </c>
      <c r="F71" s="20">
        <v>90</v>
      </c>
    </row>
    <row r="72" spans="1:6" x14ac:dyDescent="0.3">
      <c r="A72" s="19" t="s">
        <v>47</v>
      </c>
      <c r="B72" s="19" t="s">
        <v>81</v>
      </c>
      <c r="C72" s="19" t="s">
        <v>82</v>
      </c>
      <c r="D72" s="19" t="s">
        <v>32</v>
      </c>
      <c r="E72" s="19">
        <v>146</v>
      </c>
      <c r="F72" s="20">
        <v>90</v>
      </c>
    </row>
    <row r="73" spans="1:6" x14ac:dyDescent="0.3">
      <c r="A73" s="19" t="s">
        <v>49</v>
      </c>
      <c r="B73" s="19" t="s">
        <v>81</v>
      </c>
      <c r="C73" s="19" t="s">
        <v>82</v>
      </c>
      <c r="D73" s="19" t="s">
        <v>32</v>
      </c>
      <c r="E73" s="19">
        <v>125</v>
      </c>
      <c r="F73" s="20">
        <v>90</v>
      </c>
    </row>
    <row r="74" spans="1:6" x14ac:dyDescent="0.3">
      <c r="A74" s="19" t="s">
        <v>27</v>
      </c>
      <c r="B74" s="19" t="s">
        <v>83</v>
      </c>
      <c r="C74" s="19" t="s">
        <v>84</v>
      </c>
      <c r="D74" s="19" t="s">
        <v>32</v>
      </c>
      <c r="E74" s="19">
        <v>190</v>
      </c>
      <c r="F74" s="20">
        <v>130</v>
      </c>
    </row>
    <row r="75" spans="1:6" x14ac:dyDescent="0.3">
      <c r="A75" s="19" t="s">
        <v>29</v>
      </c>
      <c r="B75" s="19" t="s">
        <v>83</v>
      </c>
      <c r="C75" s="19" t="s">
        <v>84</v>
      </c>
      <c r="D75" s="19" t="s">
        <v>32</v>
      </c>
      <c r="E75" s="19">
        <v>211</v>
      </c>
      <c r="F75" s="20">
        <v>130</v>
      </c>
    </row>
    <row r="76" spans="1:6" x14ac:dyDescent="0.3">
      <c r="A76" s="19" t="s">
        <v>31</v>
      </c>
      <c r="B76" s="19" t="s">
        <v>83</v>
      </c>
      <c r="C76" s="19" t="s">
        <v>84</v>
      </c>
      <c r="D76" s="19" t="s">
        <v>32</v>
      </c>
      <c r="E76" s="19">
        <v>197</v>
      </c>
      <c r="F76" s="20">
        <v>130</v>
      </c>
    </row>
    <row r="77" spans="1:6" x14ac:dyDescent="0.3">
      <c r="A77" s="19" t="s">
        <v>33</v>
      </c>
      <c r="B77" s="19" t="s">
        <v>83</v>
      </c>
      <c r="C77" s="19" t="s">
        <v>84</v>
      </c>
      <c r="D77" s="19" t="s">
        <v>32</v>
      </c>
      <c r="E77" s="19">
        <v>208</v>
      </c>
      <c r="F77" s="20">
        <v>130</v>
      </c>
    </row>
    <row r="78" spans="1:6" x14ac:dyDescent="0.3">
      <c r="A78" s="19" t="s">
        <v>35</v>
      </c>
      <c r="B78" s="19" t="s">
        <v>83</v>
      </c>
      <c r="C78" s="19" t="s">
        <v>84</v>
      </c>
      <c r="D78" s="19" t="s">
        <v>32</v>
      </c>
      <c r="E78" s="19">
        <v>172</v>
      </c>
      <c r="F78" s="20">
        <v>130</v>
      </c>
    </row>
    <row r="79" spans="1:6" x14ac:dyDescent="0.3">
      <c r="A79" s="19" t="s">
        <v>37</v>
      </c>
      <c r="B79" s="19" t="s">
        <v>83</v>
      </c>
      <c r="C79" s="19" t="s">
        <v>84</v>
      </c>
      <c r="D79" s="19" t="s">
        <v>32</v>
      </c>
      <c r="E79" s="19">
        <v>182</v>
      </c>
      <c r="F79" s="20">
        <v>130</v>
      </c>
    </row>
    <row r="80" spans="1:6" x14ac:dyDescent="0.3">
      <c r="A80" s="19" t="s">
        <v>39</v>
      </c>
      <c r="B80" s="19" t="s">
        <v>83</v>
      </c>
      <c r="C80" s="19" t="s">
        <v>84</v>
      </c>
      <c r="D80" s="19" t="s">
        <v>32</v>
      </c>
      <c r="E80" s="19">
        <v>182</v>
      </c>
      <c r="F80" s="20">
        <v>130</v>
      </c>
    </row>
    <row r="81" spans="1:6" x14ac:dyDescent="0.3">
      <c r="A81" s="19" t="s">
        <v>41</v>
      </c>
      <c r="B81" s="19" t="s">
        <v>83</v>
      </c>
      <c r="C81" s="19" t="s">
        <v>84</v>
      </c>
      <c r="D81" s="19" t="s">
        <v>32</v>
      </c>
      <c r="E81" s="19">
        <v>168</v>
      </c>
      <c r="F81" s="20">
        <v>130</v>
      </c>
    </row>
    <row r="82" spans="1:6" x14ac:dyDescent="0.3">
      <c r="A82" s="19" t="s">
        <v>43</v>
      </c>
      <c r="B82" s="19" t="s">
        <v>83</v>
      </c>
      <c r="C82" s="19" t="s">
        <v>84</v>
      </c>
      <c r="D82" s="19" t="s">
        <v>32</v>
      </c>
      <c r="E82" s="19">
        <v>185</v>
      </c>
      <c r="F82" s="20">
        <v>130</v>
      </c>
    </row>
    <row r="83" spans="1:6" x14ac:dyDescent="0.3">
      <c r="A83" s="19" t="s">
        <v>45</v>
      </c>
      <c r="B83" s="19" t="s">
        <v>83</v>
      </c>
      <c r="C83" s="19" t="s">
        <v>84</v>
      </c>
      <c r="D83" s="19" t="s">
        <v>32</v>
      </c>
      <c r="E83" s="19">
        <v>328</v>
      </c>
      <c r="F83" s="20">
        <v>130</v>
      </c>
    </row>
    <row r="84" spans="1:6" x14ac:dyDescent="0.3">
      <c r="A84" s="19" t="s">
        <v>47</v>
      </c>
      <c r="B84" s="19" t="s">
        <v>83</v>
      </c>
      <c r="C84" s="19" t="s">
        <v>84</v>
      </c>
      <c r="D84" s="19" t="s">
        <v>32</v>
      </c>
      <c r="E84" s="19">
        <v>208</v>
      </c>
      <c r="F84" s="20">
        <v>130</v>
      </c>
    </row>
    <row r="85" spans="1:6" x14ac:dyDescent="0.3">
      <c r="A85" s="19" t="s">
        <v>49</v>
      </c>
      <c r="B85" s="19" t="s">
        <v>83</v>
      </c>
      <c r="C85" s="19" t="s">
        <v>84</v>
      </c>
      <c r="D85" s="19" t="s">
        <v>32</v>
      </c>
      <c r="E85" s="19">
        <v>179</v>
      </c>
      <c r="F85" s="20">
        <v>130</v>
      </c>
    </row>
    <row r="86" spans="1:6" x14ac:dyDescent="0.3">
      <c r="A86" s="19" t="s">
        <v>27</v>
      </c>
      <c r="B86" s="19" t="s">
        <v>85</v>
      </c>
      <c r="C86" s="19" t="s">
        <v>86</v>
      </c>
      <c r="D86" s="19" t="s">
        <v>32</v>
      </c>
      <c r="E86" s="19">
        <v>159</v>
      </c>
      <c r="F86" s="20">
        <v>150</v>
      </c>
    </row>
    <row r="87" spans="1:6" x14ac:dyDescent="0.3">
      <c r="A87" s="19" t="s">
        <v>29</v>
      </c>
      <c r="B87" s="19" t="s">
        <v>85</v>
      </c>
      <c r="C87" s="19" t="s">
        <v>86</v>
      </c>
      <c r="D87" s="19" t="s">
        <v>32</v>
      </c>
      <c r="E87" s="19">
        <v>123</v>
      </c>
      <c r="F87" s="20">
        <v>150</v>
      </c>
    </row>
    <row r="88" spans="1:6" x14ac:dyDescent="0.3">
      <c r="A88" s="19" t="s">
        <v>31</v>
      </c>
      <c r="B88" s="19" t="s">
        <v>85</v>
      </c>
      <c r="C88" s="19" t="s">
        <v>86</v>
      </c>
      <c r="D88" s="19" t="s">
        <v>32</v>
      </c>
      <c r="E88" s="19">
        <v>140</v>
      </c>
      <c r="F88" s="20">
        <v>150</v>
      </c>
    </row>
    <row r="89" spans="1:6" x14ac:dyDescent="0.3">
      <c r="A89" s="19" t="s">
        <v>33</v>
      </c>
      <c r="B89" s="19" t="s">
        <v>85</v>
      </c>
      <c r="C89" s="19" t="s">
        <v>86</v>
      </c>
      <c r="D89" s="19" t="s">
        <v>32</v>
      </c>
      <c r="E89" s="19">
        <v>130</v>
      </c>
      <c r="F89" s="20">
        <v>150</v>
      </c>
    </row>
    <row r="90" spans="1:6" x14ac:dyDescent="0.3">
      <c r="A90" s="19" t="s">
        <v>35</v>
      </c>
      <c r="B90" s="19" t="s">
        <v>85</v>
      </c>
      <c r="C90" s="19" t="s">
        <v>86</v>
      </c>
      <c r="D90" s="19" t="s">
        <v>32</v>
      </c>
      <c r="E90" s="19">
        <v>156</v>
      </c>
      <c r="F90" s="20">
        <v>150</v>
      </c>
    </row>
    <row r="91" spans="1:6" x14ac:dyDescent="0.3">
      <c r="A91" s="19" t="s">
        <v>37</v>
      </c>
      <c r="B91" s="19" t="s">
        <v>85</v>
      </c>
      <c r="C91" s="19" t="s">
        <v>86</v>
      </c>
      <c r="D91" s="19" t="s">
        <v>32</v>
      </c>
      <c r="E91" s="19">
        <v>130</v>
      </c>
      <c r="F91" s="20">
        <v>150</v>
      </c>
    </row>
    <row r="92" spans="1:6" x14ac:dyDescent="0.3">
      <c r="A92" s="19" t="s">
        <v>39</v>
      </c>
      <c r="B92" s="19" t="s">
        <v>85</v>
      </c>
      <c r="C92" s="19" t="s">
        <v>86</v>
      </c>
      <c r="D92" s="19" t="s">
        <v>32</v>
      </c>
      <c r="E92" s="19">
        <v>148</v>
      </c>
      <c r="F92" s="20">
        <v>150</v>
      </c>
    </row>
    <row r="93" spans="1:6" x14ac:dyDescent="0.3">
      <c r="A93" s="19" t="s">
        <v>41</v>
      </c>
      <c r="B93" s="19" t="s">
        <v>85</v>
      </c>
      <c r="C93" s="19" t="s">
        <v>86</v>
      </c>
      <c r="D93" s="19" t="s">
        <v>32</v>
      </c>
      <c r="E93" s="19">
        <v>143</v>
      </c>
      <c r="F93" s="20">
        <v>150</v>
      </c>
    </row>
    <row r="94" spans="1:6" x14ac:dyDescent="0.3">
      <c r="A94" s="19" t="s">
        <v>43</v>
      </c>
      <c r="B94" s="19" t="s">
        <v>85</v>
      </c>
      <c r="C94" s="19" t="s">
        <v>86</v>
      </c>
      <c r="D94" s="19" t="s">
        <v>32</v>
      </c>
      <c r="E94" s="19">
        <v>145</v>
      </c>
      <c r="F94" s="20">
        <v>150</v>
      </c>
    </row>
    <row r="95" spans="1:6" x14ac:dyDescent="0.3">
      <c r="A95" s="19" t="s">
        <v>45</v>
      </c>
      <c r="B95" s="19" t="s">
        <v>85</v>
      </c>
      <c r="C95" s="19" t="s">
        <v>86</v>
      </c>
      <c r="D95" s="19" t="s">
        <v>32</v>
      </c>
      <c r="E95" s="19">
        <v>246</v>
      </c>
      <c r="F95" s="20">
        <v>150</v>
      </c>
    </row>
    <row r="96" spans="1:6" x14ac:dyDescent="0.3">
      <c r="A96" s="19" t="s">
        <v>47</v>
      </c>
      <c r="B96" s="19" t="s">
        <v>85</v>
      </c>
      <c r="C96" s="19" t="s">
        <v>86</v>
      </c>
      <c r="D96" s="19" t="s">
        <v>32</v>
      </c>
      <c r="E96" s="19">
        <v>181</v>
      </c>
      <c r="F96" s="20">
        <v>150</v>
      </c>
    </row>
    <row r="97" spans="1:6" x14ac:dyDescent="0.3">
      <c r="A97" s="19" t="s">
        <v>49</v>
      </c>
      <c r="B97" s="19" t="s">
        <v>85</v>
      </c>
      <c r="C97" s="19" t="s">
        <v>86</v>
      </c>
      <c r="D97" s="19" t="s">
        <v>32</v>
      </c>
      <c r="E97" s="19">
        <v>148</v>
      </c>
      <c r="F97" s="20">
        <v>150</v>
      </c>
    </row>
    <row r="98" spans="1:6" x14ac:dyDescent="0.3">
      <c r="A98" s="19" t="s">
        <v>27</v>
      </c>
      <c r="B98" s="19" t="s">
        <v>87</v>
      </c>
      <c r="C98" s="19" t="s">
        <v>88</v>
      </c>
      <c r="D98" s="19" t="s">
        <v>32</v>
      </c>
      <c r="E98" s="19">
        <v>210</v>
      </c>
      <c r="F98" s="20">
        <v>60</v>
      </c>
    </row>
    <row r="99" spans="1:6" x14ac:dyDescent="0.3">
      <c r="A99" s="19" t="s">
        <v>29</v>
      </c>
      <c r="B99" s="19" t="s">
        <v>87</v>
      </c>
      <c r="C99" s="19" t="s">
        <v>88</v>
      </c>
      <c r="D99" s="19" t="s">
        <v>32</v>
      </c>
      <c r="E99" s="19">
        <v>176</v>
      </c>
      <c r="F99" s="20">
        <v>60</v>
      </c>
    </row>
    <row r="100" spans="1:6" x14ac:dyDescent="0.3">
      <c r="A100" s="19" t="s">
        <v>31</v>
      </c>
      <c r="B100" s="19" t="s">
        <v>87</v>
      </c>
      <c r="C100" s="19" t="s">
        <v>88</v>
      </c>
      <c r="D100" s="19" t="s">
        <v>32</v>
      </c>
      <c r="E100" s="19">
        <v>218</v>
      </c>
      <c r="F100" s="20">
        <v>60</v>
      </c>
    </row>
    <row r="101" spans="1:6" x14ac:dyDescent="0.3">
      <c r="A101" s="19" t="s">
        <v>33</v>
      </c>
      <c r="B101" s="19" t="s">
        <v>87</v>
      </c>
      <c r="C101" s="19" t="s">
        <v>88</v>
      </c>
      <c r="D101" s="19" t="s">
        <v>32</v>
      </c>
      <c r="E101" s="19">
        <v>207</v>
      </c>
      <c r="F101" s="20">
        <v>60</v>
      </c>
    </row>
    <row r="102" spans="1:6" x14ac:dyDescent="0.3">
      <c r="A102" s="19" t="s">
        <v>35</v>
      </c>
      <c r="B102" s="19" t="s">
        <v>87</v>
      </c>
      <c r="C102" s="19" t="s">
        <v>88</v>
      </c>
      <c r="D102" s="19" t="s">
        <v>32</v>
      </c>
      <c r="E102" s="19">
        <v>205</v>
      </c>
      <c r="F102" s="20">
        <v>60</v>
      </c>
    </row>
    <row r="103" spans="1:6" x14ac:dyDescent="0.3">
      <c r="A103" s="19" t="s">
        <v>37</v>
      </c>
      <c r="B103" s="19" t="s">
        <v>87</v>
      </c>
      <c r="C103" s="19" t="s">
        <v>88</v>
      </c>
      <c r="D103" s="19" t="s">
        <v>32</v>
      </c>
      <c r="E103" s="19">
        <v>179</v>
      </c>
      <c r="F103" s="20">
        <v>60</v>
      </c>
    </row>
    <row r="104" spans="1:6" x14ac:dyDescent="0.3">
      <c r="A104" s="19" t="s">
        <v>39</v>
      </c>
      <c r="B104" s="19" t="s">
        <v>87</v>
      </c>
      <c r="C104" s="19" t="s">
        <v>88</v>
      </c>
      <c r="D104" s="19" t="s">
        <v>32</v>
      </c>
      <c r="E104" s="19">
        <v>223</v>
      </c>
      <c r="F104" s="20">
        <v>60</v>
      </c>
    </row>
    <row r="105" spans="1:6" x14ac:dyDescent="0.3">
      <c r="A105" s="19" t="s">
        <v>41</v>
      </c>
      <c r="B105" s="19" t="s">
        <v>87</v>
      </c>
      <c r="C105" s="19" t="s">
        <v>88</v>
      </c>
      <c r="D105" s="19" t="s">
        <v>32</v>
      </c>
      <c r="E105" s="19">
        <v>212</v>
      </c>
      <c r="F105" s="20">
        <v>60</v>
      </c>
    </row>
    <row r="106" spans="1:6" x14ac:dyDescent="0.3">
      <c r="A106" s="19" t="s">
        <v>43</v>
      </c>
      <c r="B106" s="19" t="s">
        <v>87</v>
      </c>
      <c r="C106" s="19" t="s">
        <v>88</v>
      </c>
      <c r="D106" s="19" t="s">
        <v>32</v>
      </c>
      <c r="E106" s="19">
        <v>177</v>
      </c>
      <c r="F106" s="20">
        <v>60</v>
      </c>
    </row>
    <row r="107" spans="1:6" x14ac:dyDescent="0.3">
      <c r="A107" s="19" t="s">
        <v>45</v>
      </c>
      <c r="B107" s="19" t="s">
        <v>87</v>
      </c>
      <c r="C107" s="19" t="s">
        <v>88</v>
      </c>
      <c r="D107" s="19" t="s">
        <v>32</v>
      </c>
      <c r="E107" s="19">
        <v>326</v>
      </c>
      <c r="F107" s="20">
        <v>60</v>
      </c>
    </row>
    <row r="108" spans="1:6" x14ac:dyDescent="0.3">
      <c r="A108" s="19" t="s">
        <v>47</v>
      </c>
      <c r="B108" s="19" t="s">
        <v>87</v>
      </c>
      <c r="C108" s="19" t="s">
        <v>88</v>
      </c>
      <c r="D108" s="19" t="s">
        <v>32</v>
      </c>
      <c r="E108" s="19">
        <v>252</v>
      </c>
      <c r="F108" s="20">
        <v>60</v>
      </c>
    </row>
    <row r="109" spans="1:6" x14ac:dyDescent="0.3">
      <c r="A109" s="19" t="s">
        <v>49</v>
      </c>
      <c r="B109" s="19" t="s">
        <v>87</v>
      </c>
      <c r="C109" s="19" t="s">
        <v>88</v>
      </c>
      <c r="D109" s="19" t="s">
        <v>32</v>
      </c>
      <c r="E109" s="19">
        <v>197</v>
      </c>
      <c r="F109" s="20">
        <v>60</v>
      </c>
    </row>
    <row r="110" spans="1:6" x14ac:dyDescent="0.3">
      <c r="A110" s="19" t="s">
        <v>27</v>
      </c>
      <c r="B110" s="19" t="s">
        <v>89</v>
      </c>
      <c r="C110" s="19" t="s">
        <v>90</v>
      </c>
      <c r="D110" s="19" t="s">
        <v>32</v>
      </c>
      <c r="E110" s="19">
        <v>174</v>
      </c>
      <c r="F110" s="20">
        <v>200</v>
      </c>
    </row>
    <row r="111" spans="1:6" x14ac:dyDescent="0.3">
      <c r="A111" s="19" t="s">
        <v>29</v>
      </c>
      <c r="B111" s="19" t="s">
        <v>89</v>
      </c>
      <c r="C111" s="19" t="s">
        <v>90</v>
      </c>
      <c r="D111" s="19" t="s">
        <v>32</v>
      </c>
      <c r="E111" s="19">
        <v>161</v>
      </c>
      <c r="F111" s="20">
        <v>200</v>
      </c>
    </row>
    <row r="112" spans="1:6" x14ac:dyDescent="0.3">
      <c r="A112" s="19" t="s">
        <v>31</v>
      </c>
      <c r="B112" s="19" t="s">
        <v>89</v>
      </c>
      <c r="C112" s="19" t="s">
        <v>90</v>
      </c>
      <c r="D112" s="19" t="s">
        <v>32</v>
      </c>
      <c r="E112" s="19">
        <v>157</v>
      </c>
      <c r="F112" s="20">
        <v>200</v>
      </c>
    </row>
    <row r="113" spans="1:6" x14ac:dyDescent="0.3">
      <c r="A113" s="19" t="s">
        <v>33</v>
      </c>
      <c r="B113" s="19" t="s">
        <v>89</v>
      </c>
      <c r="C113" s="19" t="s">
        <v>90</v>
      </c>
      <c r="D113" s="19" t="s">
        <v>32</v>
      </c>
      <c r="E113" s="19">
        <v>171</v>
      </c>
      <c r="F113" s="20">
        <v>200</v>
      </c>
    </row>
    <row r="114" spans="1:6" x14ac:dyDescent="0.3">
      <c r="A114" s="19" t="s">
        <v>35</v>
      </c>
      <c r="B114" s="19" t="s">
        <v>89</v>
      </c>
      <c r="C114" s="19" t="s">
        <v>90</v>
      </c>
      <c r="D114" s="19" t="s">
        <v>32</v>
      </c>
      <c r="E114" s="19">
        <v>192</v>
      </c>
      <c r="F114" s="20">
        <v>200</v>
      </c>
    </row>
    <row r="115" spans="1:6" x14ac:dyDescent="0.3">
      <c r="A115" s="19" t="s">
        <v>37</v>
      </c>
      <c r="B115" s="19" t="s">
        <v>89</v>
      </c>
      <c r="C115" s="19" t="s">
        <v>90</v>
      </c>
      <c r="D115" s="19" t="s">
        <v>32</v>
      </c>
      <c r="E115" s="19">
        <v>150</v>
      </c>
      <c r="F115" s="20">
        <v>200</v>
      </c>
    </row>
    <row r="116" spans="1:6" x14ac:dyDescent="0.3">
      <c r="A116" s="19" t="s">
        <v>39</v>
      </c>
      <c r="B116" s="19" t="s">
        <v>89</v>
      </c>
      <c r="C116" s="19" t="s">
        <v>90</v>
      </c>
      <c r="D116" s="19" t="s">
        <v>32</v>
      </c>
      <c r="E116" s="19">
        <v>198</v>
      </c>
      <c r="F116" s="20">
        <v>200</v>
      </c>
    </row>
    <row r="117" spans="1:6" x14ac:dyDescent="0.3">
      <c r="A117" s="19" t="s">
        <v>41</v>
      </c>
      <c r="B117" s="19" t="s">
        <v>89</v>
      </c>
      <c r="C117" s="19" t="s">
        <v>90</v>
      </c>
      <c r="D117" s="19" t="s">
        <v>32</v>
      </c>
      <c r="E117" s="19">
        <v>193</v>
      </c>
      <c r="F117" s="20">
        <v>200</v>
      </c>
    </row>
    <row r="118" spans="1:6" x14ac:dyDescent="0.3">
      <c r="A118" s="19" t="s">
        <v>43</v>
      </c>
      <c r="B118" s="19" t="s">
        <v>89</v>
      </c>
      <c r="C118" s="19" t="s">
        <v>90</v>
      </c>
      <c r="D118" s="19" t="s">
        <v>32</v>
      </c>
      <c r="E118" s="19">
        <v>196</v>
      </c>
      <c r="F118" s="20">
        <v>200</v>
      </c>
    </row>
    <row r="119" spans="1:6" x14ac:dyDescent="0.3">
      <c r="A119" s="19" t="s">
        <v>45</v>
      </c>
      <c r="B119" s="19" t="s">
        <v>89</v>
      </c>
      <c r="C119" s="19" t="s">
        <v>90</v>
      </c>
      <c r="D119" s="19" t="s">
        <v>32</v>
      </c>
      <c r="E119" s="19">
        <v>271</v>
      </c>
      <c r="F119" s="20">
        <v>200</v>
      </c>
    </row>
    <row r="120" spans="1:6" x14ac:dyDescent="0.3">
      <c r="A120" s="19" t="s">
        <v>47</v>
      </c>
      <c r="B120" s="19" t="s">
        <v>89</v>
      </c>
      <c r="C120" s="19" t="s">
        <v>90</v>
      </c>
      <c r="D120" s="19" t="s">
        <v>32</v>
      </c>
      <c r="E120" s="19">
        <v>222</v>
      </c>
      <c r="F120" s="20">
        <v>200</v>
      </c>
    </row>
    <row r="121" spans="1:6" x14ac:dyDescent="0.3">
      <c r="A121" s="19" t="s">
        <v>49</v>
      </c>
      <c r="B121" s="19" t="s">
        <v>89</v>
      </c>
      <c r="C121" s="19" t="s">
        <v>90</v>
      </c>
      <c r="D121" s="19" t="s">
        <v>32</v>
      </c>
      <c r="E121" s="19">
        <v>196</v>
      </c>
      <c r="F121" s="20">
        <v>200</v>
      </c>
    </row>
    <row r="122" spans="1:6" x14ac:dyDescent="0.3">
      <c r="A122" s="19" t="s">
        <v>27</v>
      </c>
      <c r="B122" s="19" t="s">
        <v>91</v>
      </c>
      <c r="C122" s="19" t="s">
        <v>92</v>
      </c>
      <c r="D122" s="19" t="s">
        <v>36</v>
      </c>
      <c r="E122" s="19">
        <v>61</v>
      </c>
      <c r="F122" s="20">
        <v>400</v>
      </c>
    </row>
    <row r="123" spans="1:6" x14ac:dyDescent="0.3">
      <c r="A123" s="19" t="s">
        <v>29</v>
      </c>
      <c r="B123" s="19" t="s">
        <v>91</v>
      </c>
      <c r="C123" s="19" t="s">
        <v>92</v>
      </c>
      <c r="D123" s="19" t="s">
        <v>36</v>
      </c>
      <c r="E123" s="19">
        <v>64</v>
      </c>
      <c r="F123" s="20">
        <v>400</v>
      </c>
    </row>
    <row r="124" spans="1:6" x14ac:dyDescent="0.3">
      <c r="A124" s="19" t="s">
        <v>31</v>
      </c>
      <c r="B124" s="19" t="s">
        <v>91</v>
      </c>
      <c r="C124" s="19" t="s">
        <v>92</v>
      </c>
      <c r="D124" s="19" t="s">
        <v>36</v>
      </c>
      <c r="E124" s="19">
        <v>65</v>
      </c>
      <c r="F124" s="20">
        <v>400</v>
      </c>
    </row>
    <row r="125" spans="1:6" x14ac:dyDescent="0.3">
      <c r="A125" s="19" t="s">
        <v>33</v>
      </c>
      <c r="B125" s="19" t="s">
        <v>91</v>
      </c>
      <c r="C125" s="19" t="s">
        <v>92</v>
      </c>
      <c r="D125" s="19" t="s">
        <v>36</v>
      </c>
      <c r="E125" s="19">
        <v>58</v>
      </c>
      <c r="F125" s="20">
        <v>400</v>
      </c>
    </row>
    <row r="126" spans="1:6" x14ac:dyDescent="0.3">
      <c r="A126" s="19" t="s">
        <v>35</v>
      </c>
      <c r="B126" s="19" t="s">
        <v>91</v>
      </c>
      <c r="C126" s="19" t="s">
        <v>92</v>
      </c>
      <c r="D126" s="19" t="s">
        <v>36</v>
      </c>
      <c r="E126" s="19">
        <v>76</v>
      </c>
      <c r="F126" s="20">
        <v>400</v>
      </c>
    </row>
    <row r="127" spans="1:6" x14ac:dyDescent="0.3">
      <c r="A127" s="19" t="s">
        <v>37</v>
      </c>
      <c r="B127" s="19" t="s">
        <v>91</v>
      </c>
      <c r="C127" s="19" t="s">
        <v>92</v>
      </c>
      <c r="D127" s="19" t="s">
        <v>36</v>
      </c>
      <c r="E127" s="19">
        <v>74</v>
      </c>
      <c r="F127" s="20">
        <v>400</v>
      </c>
    </row>
    <row r="128" spans="1:6" x14ac:dyDescent="0.3">
      <c r="A128" s="19" t="s">
        <v>39</v>
      </c>
      <c r="B128" s="19" t="s">
        <v>91</v>
      </c>
      <c r="C128" s="19" t="s">
        <v>92</v>
      </c>
      <c r="D128" s="19" t="s">
        <v>36</v>
      </c>
      <c r="E128" s="19">
        <v>59</v>
      </c>
      <c r="F128" s="20">
        <v>400</v>
      </c>
    </row>
    <row r="129" spans="1:6" x14ac:dyDescent="0.3">
      <c r="A129" s="19" t="s">
        <v>41</v>
      </c>
      <c r="B129" s="19" t="s">
        <v>91</v>
      </c>
      <c r="C129" s="19" t="s">
        <v>92</v>
      </c>
      <c r="D129" s="19" t="s">
        <v>36</v>
      </c>
      <c r="E129" s="19">
        <v>64</v>
      </c>
      <c r="F129" s="20">
        <v>400</v>
      </c>
    </row>
    <row r="130" spans="1:6" x14ac:dyDescent="0.3">
      <c r="A130" s="19" t="s">
        <v>43</v>
      </c>
      <c r="B130" s="19" t="s">
        <v>91</v>
      </c>
      <c r="C130" s="19" t="s">
        <v>92</v>
      </c>
      <c r="D130" s="19" t="s">
        <v>36</v>
      </c>
      <c r="E130" s="19">
        <v>73</v>
      </c>
      <c r="F130" s="20">
        <v>400</v>
      </c>
    </row>
    <row r="131" spans="1:6" x14ac:dyDescent="0.3">
      <c r="A131" s="19" t="s">
        <v>45</v>
      </c>
      <c r="B131" s="19" t="s">
        <v>91</v>
      </c>
      <c r="C131" s="19" t="s">
        <v>92</v>
      </c>
      <c r="D131" s="19" t="s">
        <v>36</v>
      </c>
      <c r="E131" s="19">
        <v>121</v>
      </c>
      <c r="F131" s="20">
        <v>400</v>
      </c>
    </row>
    <row r="132" spans="1:6" x14ac:dyDescent="0.3">
      <c r="A132" s="19" t="s">
        <v>47</v>
      </c>
      <c r="B132" s="19" t="s">
        <v>91</v>
      </c>
      <c r="C132" s="19" t="s">
        <v>92</v>
      </c>
      <c r="D132" s="19" t="s">
        <v>36</v>
      </c>
      <c r="E132" s="19">
        <v>87</v>
      </c>
      <c r="F132" s="20">
        <v>400</v>
      </c>
    </row>
    <row r="133" spans="1:6" x14ac:dyDescent="0.3">
      <c r="A133" s="19" t="s">
        <v>49</v>
      </c>
      <c r="B133" s="19" t="s">
        <v>91</v>
      </c>
      <c r="C133" s="19" t="s">
        <v>92</v>
      </c>
      <c r="D133" s="19" t="s">
        <v>36</v>
      </c>
      <c r="E133" s="19">
        <v>62</v>
      </c>
      <c r="F133" s="20">
        <v>400</v>
      </c>
    </row>
    <row r="134" spans="1:6" x14ac:dyDescent="0.3">
      <c r="A134" s="19" t="s">
        <v>27</v>
      </c>
      <c r="B134" s="19" t="s">
        <v>94</v>
      </c>
      <c r="C134" s="19" t="s">
        <v>95</v>
      </c>
      <c r="D134" s="19" t="s">
        <v>36</v>
      </c>
      <c r="E134" s="19">
        <v>116</v>
      </c>
      <c r="F134" s="20">
        <v>1100</v>
      </c>
    </row>
    <row r="135" spans="1:6" x14ac:dyDescent="0.3">
      <c r="A135" s="19" t="s">
        <v>29</v>
      </c>
      <c r="B135" s="19" t="s">
        <v>94</v>
      </c>
      <c r="C135" s="19" t="s">
        <v>95</v>
      </c>
      <c r="D135" s="19" t="s">
        <v>36</v>
      </c>
      <c r="E135" s="19">
        <v>116</v>
      </c>
      <c r="F135" s="20">
        <v>1100</v>
      </c>
    </row>
    <row r="136" spans="1:6" x14ac:dyDescent="0.3">
      <c r="A136" s="19" t="s">
        <v>31</v>
      </c>
      <c r="B136" s="19" t="s">
        <v>94</v>
      </c>
      <c r="C136" s="19" t="s">
        <v>95</v>
      </c>
      <c r="D136" s="19" t="s">
        <v>36</v>
      </c>
      <c r="E136" s="19">
        <v>139</v>
      </c>
      <c r="F136" s="20">
        <v>1100</v>
      </c>
    </row>
    <row r="137" spans="1:6" x14ac:dyDescent="0.3">
      <c r="A137" s="19" t="s">
        <v>33</v>
      </c>
      <c r="B137" s="19" t="s">
        <v>94</v>
      </c>
      <c r="C137" s="19" t="s">
        <v>95</v>
      </c>
      <c r="D137" s="19" t="s">
        <v>36</v>
      </c>
      <c r="E137" s="19">
        <v>120</v>
      </c>
      <c r="F137" s="20">
        <v>1100</v>
      </c>
    </row>
    <row r="138" spans="1:6" x14ac:dyDescent="0.3">
      <c r="A138" s="19" t="s">
        <v>35</v>
      </c>
      <c r="B138" s="19" t="s">
        <v>94</v>
      </c>
      <c r="C138" s="19" t="s">
        <v>95</v>
      </c>
      <c r="D138" s="19" t="s">
        <v>36</v>
      </c>
      <c r="E138" s="19">
        <v>133</v>
      </c>
      <c r="F138" s="20">
        <v>1100</v>
      </c>
    </row>
    <row r="139" spans="1:6" x14ac:dyDescent="0.3">
      <c r="A139" s="19" t="s">
        <v>37</v>
      </c>
      <c r="B139" s="19" t="s">
        <v>94</v>
      </c>
      <c r="C139" s="19" t="s">
        <v>95</v>
      </c>
      <c r="D139" s="19" t="s">
        <v>36</v>
      </c>
      <c r="E139" s="19">
        <v>130</v>
      </c>
      <c r="F139" s="20">
        <v>1100</v>
      </c>
    </row>
    <row r="140" spans="1:6" x14ac:dyDescent="0.3">
      <c r="A140" s="19" t="s">
        <v>39</v>
      </c>
      <c r="B140" s="19" t="s">
        <v>94</v>
      </c>
      <c r="C140" s="19" t="s">
        <v>95</v>
      </c>
      <c r="D140" s="19" t="s">
        <v>36</v>
      </c>
      <c r="E140" s="19">
        <v>107</v>
      </c>
      <c r="F140" s="20">
        <v>1100</v>
      </c>
    </row>
    <row r="141" spans="1:6" x14ac:dyDescent="0.3">
      <c r="A141" s="19" t="s">
        <v>41</v>
      </c>
      <c r="B141" s="19" t="s">
        <v>94</v>
      </c>
      <c r="C141" s="19" t="s">
        <v>95</v>
      </c>
      <c r="D141" s="19" t="s">
        <v>36</v>
      </c>
      <c r="E141" s="19">
        <v>126</v>
      </c>
      <c r="F141" s="20">
        <v>1100</v>
      </c>
    </row>
    <row r="142" spans="1:6" x14ac:dyDescent="0.3">
      <c r="A142" s="19" t="s">
        <v>43</v>
      </c>
      <c r="B142" s="19" t="s">
        <v>94</v>
      </c>
      <c r="C142" s="19" t="s">
        <v>95</v>
      </c>
      <c r="D142" s="19" t="s">
        <v>36</v>
      </c>
      <c r="E142" s="19">
        <v>110</v>
      </c>
      <c r="F142" s="20">
        <v>1100</v>
      </c>
    </row>
    <row r="143" spans="1:6" x14ac:dyDescent="0.3">
      <c r="A143" s="19" t="s">
        <v>45</v>
      </c>
      <c r="B143" s="19" t="s">
        <v>94</v>
      </c>
      <c r="C143" s="19" t="s">
        <v>95</v>
      </c>
      <c r="D143" s="19" t="s">
        <v>36</v>
      </c>
      <c r="E143" s="19">
        <v>217</v>
      </c>
      <c r="F143" s="20">
        <v>1100</v>
      </c>
    </row>
    <row r="144" spans="1:6" x14ac:dyDescent="0.3">
      <c r="A144" s="19" t="s">
        <v>47</v>
      </c>
      <c r="B144" s="19" t="s">
        <v>94</v>
      </c>
      <c r="C144" s="19" t="s">
        <v>95</v>
      </c>
      <c r="D144" s="19" t="s">
        <v>36</v>
      </c>
      <c r="E144" s="19">
        <v>159</v>
      </c>
      <c r="F144" s="20">
        <v>1100</v>
      </c>
    </row>
    <row r="145" spans="1:6" x14ac:dyDescent="0.3">
      <c r="A145" s="19" t="s">
        <v>49</v>
      </c>
      <c r="B145" s="19" t="s">
        <v>94</v>
      </c>
      <c r="C145" s="19" t="s">
        <v>95</v>
      </c>
      <c r="D145" s="19" t="s">
        <v>36</v>
      </c>
      <c r="E145" s="19">
        <v>131</v>
      </c>
      <c r="F145" s="20">
        <v>1100</v>
      </c>
    </row>
    <row r="146" spans="1:6" x14ac:dyDescent="0.3">
      <c r="A146" s="19" t="s">
        <v>27</v>
      </c>
      <c r="B146" s="19" t="s">
        <v>96</v>
      </c>
      <c r="C146" s="19" t="s">
        <v>97</v>
      </c>
      <c r="D146" s="19" t="s">
        <v>36</v>
      </c>
      <c r="E146" s="19">
        <v>56</v>
      </c>
      <c r="F146" s="20">
        <v>700</v>
      </c>
    </row>
    <row r="147" spans="1:6" x14ac:dyDescent="0.3">
      <c r="A147" s="19" t="s">
        <v>29</v>
      </c>
      <c r="B147" s="19" t="s">
        <v>96</v>
      </c>
      <c r="C147" s="19" t="s">
        <v>97</v>
      </c>
      <c r="D147" s="19" t="s">
        <v>36</v>
      </c>
      <c r="E147" s="19">
        <v>61</v>
      </c>
      <c r="F147" s="20">
        <v>700</v>
      </c>
    </row>
    <row r="148" spans="1:6" x14ac:dyDescent="0.3">
      <c r="A148" s="19" t="s">
        <v>31</v>
      </c>
      <c r="B148" s="19" t="s">
        <v>96</v>
      </c>
      <c r="C148" s="19" t="s">
        <v>97</v>
      </c>
      <c r="D148" s="19" t="s">
        <v>36</v>
      </c>
      <c r="E148" s="19">
        <v>58</v>
      </c>
      <c r="F148" s="20">
        <v>700</v>
      </c>
    </row>
    <row r="149" spans="1:6" x14ac:dyDescent="0.3">
      <c r="A149" s="19" t="s">
        <v>33</v>
      </c>
      <c r="B149" s="19" t="s">
        <v>96</v>
      </c>
      <c r="C149" s="19" t="s">
        <v>97</v>
      </c>
      <c r="D149" s="19" t="s">
        <v>36</v>
      </c>
      <c r="E149" s="19">
        <v>54</v>
      </c>
      <c r="F149" s="20">
        <v>700</v>
      </c>
    </row>
    <row r="150" spans="1:6" x14ac:dyDescent="0.3">
      <c r="A150" s="19" t="s">
        <v>35</v>
      </c>
      <c r="B150" s="19" t="s">
        <v>96</v>
      </c>
      <c r="C150" s="19" t="s">
        <v>97</v>
      </c>
      <c r="D150" s="19" t="s">
        <v>36</v>
      </c>
      <c r="E150" s="19">
        <v>66</v>
      </c>
      <c r="F150" s="20">
        <v>700</v>
      </c>
    </row>
    <row r="151" spans="1:6" x14ac:dyDescent="0.3">
      <c r="A151" s="19" t="s">
        <v>37</v>
      </c>
      <c r="B151" s="19" t="s">
        <v>96</v>
      </c>
      <c r="C151" s="19" t="s">
        <v>97</v>
      </c>
      <c r="D151" s="19" t="s">
        <v>36</v>
      </c>
      <c r="E151" s="19">
        <v>65</v>
      </c>
      <c r="F151" s="20">
        <v>700</v>
      </c>
    </row>
    <row r="152" spans="1:6" x14ac:dyDescent="0.3">
      <c r="A152" s="19" t="s">
        <v>39</v>
      </c>
      <c r="B152" s="19" t="s">
        <v>96</v>
      </c>
      <c r="C152" s="19" t="s">
        <v>97</v>
      </c>
      <c r="D152" s="19" t="s">
        <v>36</v>
      </c>
      <c r="E152" s="19">
        <v>54</v>
      </c>
      <c r="F152" s="20">
        <v>700</v>
      </c>
    </row>
    <row r="153" spans="1:6" x14ac:dyDescent="0.3">
      <c r="A153" s="19" t="s">
        <v>41</v>
      </c>
      <c r="B153" s="19" t="s">
        <v>96</v>
      </c>
      <c r="C153" s="19" t="s">
        <v>97</v>
      </c>
      <c r="D153" s="19" t="s">
        <v>36</v>
      </c>
      <c r="E153" s="19">
        <v>52</v>
      </c>
      <c r="F153" s="20">
        <v>700</v>
      </c>
    </row>
    <row r="154" spans="1:6" x14ac:dyDescent="0.3">
      <c r="A154" s="19" t="s">
        <v>43</v>
      </c>
      <c r="B154" s="19" t="s">
        <v>96</v>
      </c>
      <c r="C154" s="19" t="s">
        <v>97</v>
      </c>
      <c r="D154" s="19" t="s">
        <v>36</v>
      </c>
      <c r="E154" s="19">
        <v>62</v>
      </c>
      <c r="F154" s="20">
        <v>700</v>
      </c>
    </row>
    <row r="155" spans="1:6" x14ac:dyDescent="0.3">
      <c r="A155" s="19" t="s">
        <v>45</v>
      </c>
      <c r="B155" s="19" t="s">
        <v>96</v>
      </c>
      <c r="C155" s="19" t="s">
        <v>97</v>
      </c>
      <c r="D155" s="19" t="s">
        <v>36</v>
      </c>
      <c r="E155" s="19">
        <v>97</v>
      </c>
      <c r="F155" s="20">
        <v>700</v>
      </c>
    </row>
    <row r="156" spans="1:6" x14ac:dyDescent="0.3">
      <c r="A156" s="19" t="s">
        <v>47</v>
      </c>
      <c r="B156" s="19" t="s">
        <v>96</v>
      </c>
      <c r="C156" s="19" t="s">
        <v>97</v>
      </c>
      <c r="D156" s="19" t="s">
        <v>36</v>
      </c>
      <c r="E156" s="19">
        <v>69</v>
      </c>
      <c r="F156" s="20">
        <v>700</v>
      </c>
    </row>
    <row r="157" spans="1:6" x14ac:dyDescent="0.3">
      <c r="A157" s="19" t="s">
        <v>49</v>
      </c>
      <c r="B157" s="19" t="s">
        <v>96</v>
      </c>
      <c r="C157" s="19" t="s">
        <v>97</v>
      </c>
      <c r="D157" s="19" t="s">
        <v>36</v>
      </c>
      <c r="E157" s="19">
        <v>61</v>
      </c>
      <c r="F157" s="20">
        <v>700</v>
      </c>
    </row>
    <row r="158" spans="1:6" x14ac:dyDescent="0.3">
      <c r="A158" s="19" t="s">
        <v>27</v>
      </c>
      <c r="B158" s="19" t="s">
        <v>98</v>
      </c>
      <c r="C158" s="19" t="s">
        <v>99</v>
      </c>
      <c r="D158" s="19" t="s">
        <v>36</v>
      </c>
      <c r="E158" s="19">
        <v>75</v>
      </c>
      <c r="F158" s="20">
        <v>250</v>
      </c>
    </row>
    <row r="159" spans="1:6" x14ac:dyDescent="0.3">
      <c r="A159" s="19" t="s">
        <v>29</v>
      </c>
      <c r="B159" s="19" t="s">
        <v>98</v>
      </c>
      <c r="C159" s="19" t="s">
        <v>99</v>
      </c>
      <c r="D159" s="19" t="s">
        <v>36</v>
      </c>
      <c r="E159" s="19">
        <v>70</v>
      </c>
      <c r="F159" s="20">
        <v>250</v>
      </c>
    </row>
    <row r="160" spans="1:6" x14ac:dyDescent="0.3">
      <c r="A160" s="19" t="s">
        <v>31</v>
      </c>
      <c r="B160" s="19" t="s">
        <v>98</v>
      </c>
      <c r="C160" s="19" t="s">
        <v>99</v>
      </c>
      <c r="D160" s="19" t="s">
        <v>36</v>
      </c>
      <c r="E160" s="19">
        <v>75</v>
      </c>
      <c r="F160" s="20">
        <v>250</v>
      </c>
    </row>
    <row r="161" spans="1:6" x14ac:dyDescent="0.3">
      <c r="A161" s="19" t="s">
        <v>33</v>
      </c>
      <c r="B161" s="19" t="s">
        <v>98</v>
      </c>
      <c r="C161" s="19" t="s">
        <v>99</v>
      </c>
      <c r="D161" s="19" t="s">
        <v>36</v>
      </c>
      <c r="E161" s="19">
        <v>71</v>
      </c>
      <c r="F161" s="20">
        <v>250</v>
      </c>
    </row>
    <row r="162" spans="1:6" x14ac:dyDescent="0.3">
      <c r="A162" s="19" t="s">
        <v>35</v>
      </c>
      <c r="B162" s="19" t="s">
        <v>98</v>
      </c>
      <c r="C162" s="19" t="s">
        <v>99</v>
      </c>
      <c r="D162" s="19" t="s">
        <v>36</v>
      </c>
      <c r="E162" s="19">
        <v>79</v>
      </c>
      <c r="F162" s="20">
        <v>250</v>
      </c>
    </row>
    <row r="163" spans="1:6" x14ac:dyDescent="0.3">
      <c r="A163" s="19" t="s">
        <v>37</v>
      </c>
      <c r="B163" s="19" t="s">
        <v>98</v>
      </c>
      <c r="C163" s="19" t="s">
        <v>99</v>
      </c>
      <c r="D163" s="19" t="s">
        <v>36</v>
      </c>
      <c r="E163" s="19">
        <v>64</v>
      </c>
      <c r="F163" s="20">
        <v>250</v>
      </c>
    </row>
    <row r="164" spans="1:6" x14ac:dyDescent="0.3">
      <c r="A164" s="19" t="s">
        <v>39</v>
      </c>
      <c r="B164" s="19" t="s">
        <v>98</v>
      </c>
      <c r="C164" s="19" t="s">
        <v>99</v>
      </c>
      <c r="D164" s="19" t="s">
        <v>36</v>
      </c>
      <c r="E164" s="19">
        <v>62</v>
      </c>
      <c r="F164" s="20">
        <v>250</v>
      </c>
    </row>
    <row r="165" spans="1:6" x14ac:dyDescent="0.3">
      <c r="A165" s="19" t="s">
        <v>41</v>
      </c>
      <c r="B165" s="19" t="s">
        <v>98</v>
      </c>
      <c r="C165" s="19" t="s">
        <v>99</v>
      </c>
      <c r="D165" s="19" t="s">
        <v>36</v>
      </c>
      <c r="E165" s="19">
        <v>59</v>
      </c>
      <c r="F165" s="20">
        <v>250</v>
      </c>
    </row>
    <row r="166" spans="1:6" x14ac:dyDescent="0.3">
      <c r="A166" s="19" t="s">
        <v>43</v>
      </c>
      <c r="B166" s="19" t="s">
        <v>98</v>
      </c>
      <c r="C166" s="19" t="s">
        <v>99</v>
      </c>
      <c r="D166" s="19" t="s">
        <v>36</v>
      </c>
      <c r="E166" s="19">
        <v>60</v>
      </c>
      <c r="F166" s="20">
        <v>250</v>
      </c>
    </row>
    <row r="167" spans="1:6" x14ac:dyDescent="0.3">
      <c r="A167" s="19" t="s">
        <v>45</v>
      </c>
      <c r="B167" s="19" t="s">
        <v>98</v>
      </c>
      <c r="C167" s="19" t="s">
        <v>99</v>
      </c>
      <c r="D167" s="19" t="s">
        <v>36</v>
      </c>
      <c r="E167" s="19">
        <v>113</v>
      </c>
      <c r="F167" s="20">
        <v>250</v>
      </c>
    </row>
    <row r="168" spans="1:6" x14ac:dyDescent="0.3">
      <c r="A168" s="19" t="s">
        <v>47</v>
      </c>
      <c r="B168" s="19" t="s">
        <v>98</v>
      </c>
      <c r="C168" s="19" t="s">
        <v>99</v>
      </c>
      <c r="D168" s="19" t="s">
        <v>36</v>
      </c>
      <c r="E168" s="19">
        <v>73</v>
      </c>
      <c r="F168" s="20">
        <v>250</v>
      </c>
    </row>
    <row r="169" spans="1:6" x14ac:dyDescent="0.3">
      <c r="A169" s="19" t="s">
        <v>49</v>
      </c>
      <c r="B169" s="19" t="s">
        <v>98</v>
      </c>
      <c r="C169" s="19" t="s">
        <v>99</v>
      </c>
      <c r="D169" s="19" t="s">
        <v>36</v>
      </c>
      <c r="E169" s="19">
        <v>60</v>
      </c>
      <c r="F169" s="20">
        <v>250</v>
      </c>
    </row>
    <row r="170" spans="1:6" x14ac:dyDescent="0.3">
      <c r="A170" s="19" t="s">
        <v>27</v>
      </c>
      <c r="B170" s="19" t="s">
        <v>100</v>
      </c>
      <c r="C170" s="19" t="s">
        <v>101</v>
      </c>
      <c r="D170" s="19" t="s">
        <v>42</v>
      </c>
      <c r="E170" s="19">
        <v>105</v>
      </c>
      <c r="F170" s="20">
        <v>900</v>
      </c>
    </row>
    <row r="171" spans="1:6" x14ac:dyDescent="0.3">
      <c r="A171" s="19" t="s">
        <v>29</v>
      </c>
      <c r="B171" s="19" t="s">
        <v>100</v>
      </c>
      <c r="C171" s="19" t="s">
        <v>101</v>
      </c>
      <c r="D171" s="19" t="s">
        <v>42</v>
      </c>
      <c r="E171" s="19">
        <v>107</v>
      </c>
      <c r="F171" s="20">
        <v>900</v>
      </c>
    </row>
    <row r="172" spans="1:6" x14ac:dyDescent="0.3">
      <c r="A172" s="19" t="s">
        <v>31</v>
      </c>
      <c r="B172" s="19" t="s">
        <v>100</v>
      </c>
      <c r="C172" s="19" t="s">
        <v>101</v>
      </c>
      <c r="D172" s="19" t="s">
        <v>42</v>
      </c>
      <c r="E172" s="19">
        <v>113</v>
      </c>
      <c r="F172" s="20">
        <v>900</v>
      </c>
    </row>
    <row r="173" spans="1:6" x14ac:dyDescent="0.3">
      <c r="A173" s="19" t="s">
        <v>33</v>
      </c>
      <c r="B173" s="19" t="s">
        <v>100</v>
      </c>
      <c r="C173" s="19" t="s">
        <v>101</v>
      </c>
      <c r="D173" s="19" t="s">
        <v>42</v>
      </c>
      <c r="E173" s="19">
        <v>112</v>
      </c>
      <c r="F173" s="20">
        <v>900</v>
      </c>
    </row>
    <row r="174" spans="1:6" x14ac:dyDescent="0.3">
      <c r="A174" s="19" t="s">
        <v>35</v>
      </c>
      <c r="B174" s="19" t="s">
        <v>100</v>
      </c>
      <c r="C174" s="19" t="s">
        <v>101</v>
      </c>
      <c r="D174" s="19" t="s">
        <v>42</v>
      </c>
      <c r="E174" s="19">
        <v>114</v>
      </c>
      <c r="F174" s="20">
        <v>900</v>
      </c>
    </row>
    <row r="175" spans="1:6" x14ac:dyDescent="0.3">
      <c r="A175" s="19" t="s">
        <v>37</v>
      </c>
      <c r="B175" s="19" t="s">
        <v>100</v>
      </c>
      <c r="C175" s="19" t="s">
        <v>101</v>
      </c>
      <c r="D175" s="19" t="s">
        <v>42</v>
      </c>
      <c r="E175" s="19">
        <v>96</v>
      </c>
      <c r="F175" s="20">
        <v>900</v>
      </c>
    </row>
    <row r="176" spans="1:6" x14ac:dyDescent="0.3">
      <c r="A176" s="19" t="s">
        <v>39</v>
      </c>
      <c r="B176" s="19" t="s">
        <v>100</v>
      </c>
      <c r="C176" s="19" t="s">
        <v>101</v>
      </c>
      <c r="D176" s="19" t="s">
        <v>42</v>
      </c>
      <c r="E176" s="19">
        <v>122</v>
      </c>
      <c r="F176" s="20">
        <v>900</v>
      </c>
    </row>
    <row r="177" spans="1:6" x14ac:dyDescent="0.3">
      <c r="A177" s="19" t="s">
        <v>41</v>
      </c>
      <c r="B177" s="19" t="s">
        <v>100</v>
      </c>
      <c r="C177" s="19" t="s">
        <v>101</v>
      </c>
      <c r="D177" s="19" t="s">
        <v>42</v>
      </c>
      <c r="E177" s="19">
        <v>105</v>
      </c>
      <c r="F177" s="20">
        <v>900</v>
      </c>
    </row>
    <row r="178" spans="1:6" x14ac:dyDescent="0.3">
      <c r="A178" s="19" t="s">
        <v>43</v>
      </c>
      <c r="B178" s="19" t="s">
        <v>100</v>
      </c>
      <c r="C178" s="19" t="s">
        <v>101</v>
      </c>
      <c r="D178" s="19" t="s">
        <v>42</v>
      </c>
      <c r="E178" s="19">
        <v>95</v>
      </c>
      <c r="F178" s="20">
        <v>900</v>
      </c>
    </row>
    <row r="179" spans="1:6" x14ac:dyDescent="0.3">
      <c r="A179" s="19" t="s">
        <v>45</v>
      </c>
      <c r="B179" s="19" t="s">
        <v>100</v>
      </c>
      <c r="C179" s="19" t="s">
        <v>101</v>
      </c>
      <c r="D179" s="19" t="s">
        <v>42</v>
      </c>
      <c r="E179" s="19">
        <v>165</v>
      </c>
      <c r="F179" s="20">
        <v>900</v>
      </c>
    </row>
    <row r="180" spans="1:6" x14ac:dyDescent="0.3">
      <c r="A180" s="19" t="s">
        <v>47</v>
      </c>
      <c r="B180" s="19" t="s">
        <v>100</v>
      </c>
      <c r="C180" s="19" t="s">
        <v>101</v>
      </c>
      <c r="D180" s="19" t="s">
        <v>42</v>
      </c>
      <c r="E180" s="19">
        <v>113</v>
      </c>
      <c r="F180" s="20">
        <v>900</v>
      </c>
    </row>
    <row r="181" spans="1:6" x14ac:dyDescent="0.3">
      <c r="A181" s="19" t="s">
        <v>49</v>
      </c>
      <c r="B181" s="19" t="s">
        <v>100</v>
      </c>
      <c r="C181" s="19" t="s">
        <v>101</v>
      </c>
      <c r="D181" s="19" t="s">
        <v>42</v>
      </c>
      <c r="E181" s="19">
        <v>116</v>
      </c>
      <c r="F181" s="20">
        <v>900</v>
      </c>
    </row>
    <row r="182" spans="1:6" x14ac:dyDescent="0.3">
      <c r="A182" s="19" t="s">
        <v>27</v>
      </c>
      <c r="B182" s="19" t="s">
        <v>102</v>
      </c>
      <c r="C182" s="19" t="s">
        <v>103</v>
      </c>
      <c r="D182" s="19" t="s">
        <v>42</v>
      </c>
      <c r="E182" s="19">
        <v>71</v>
      </c>
      <c r="F182" s="20">
        <v>1500</v>
      </c>
    </row>
    <row r="183" spans="1:6" x14ac:dyDescent="0.3">
      <c r="A183" s="19" t="s">
        <v>29</v>
      </c>
      <c r="B183" s="19" t="s">
        <v>102</v>
      </c>
      <c r="C183" s="19" t="s">
        <v>103</v>
      </c>
      <c r="D183" s="19" t="s">
        <v>42</v>
      </c>
      <c r="E183" s="19">
        <v>67</v>
      </c>
      <c r="F183" s="20">
        <v>1500</v>
      </c>
    </row>
    <row r="184" spans="1:6" x14ac:dyDescent="0.3">
      <c r="A184" s="19" t="s">
        <v>31</v>
      </c>
      <c r="B184" s="19" t="s">
        <v>102</v>
      </c>
      <c r="C184" s="19" t="s">
        <v>103</v>
      </c>
      <c r="D184" s="19" t="s">
        <v>42</v>
      </c>
      <c r="E184" s="19">
        <v>78</v>
      </c>
      <c r="F184" s="20">
        <v>1500</v>
      </c>
    </row>
    <row r="185" spans="1:6" x14ac:dyDescent="0.3">
      <c r="A185" s="19" t="s">
        <v>33</v>
      </c>
      <c r="B185" s="19" t="s">
        <v>102</v>
      </c>
      <c r="C185" s="19" t="s">
        <v>103</v>
      </c>
      <c r="D185" s="19" t="s">
        <v>42</v>
      </c>
      <c r="E185" s="19">
        <v>68</v>
      </c>
      <c r="F185" s="20">
        <v>1500</v>
      </c>
    </row>
    <row r="186" spans="1:6" x14ac:dyDescent="0.3">
      <c r="A186" s="19" t="s">
        <v>35</v>
      </c>
      <c r="B186" s="19" t="s">
        <v>102</v>
      </c>
      <c r="C186" s="19" t="s">
        <v>103</v>
      </c>
      <c r="D186" s="19" t="s">
        <v>42</v>
      </c>
      <c r="E186" s="19">
        <v>65</v>
      </c>
      <c r="F186" s="20">
        <v>1500</v>
      </c>
    </row>
    <row r="187" spans="1:6" x14ac:dyDescent="0.3">
      <c r="A187" s="19" t="s">
        <v>37</v>
      </c>
      <c r="B187" s="19" t="s">
        <v>102</v>
      </c>
      <c r="C187" s="19" t="s">
        <v>103</v>
      </c>
      <c r="D187" s="19" t="s">
        <v>42</v>
      </c>
      <c r="E187" s="19">
        <v>66</v>
      </c>
      <c r="F187" s="20">
        <v>1500</v>
      </c>
    </row>
    <row r="188" spans="1:6" x14ac:dyDescent="0.3">
      <c r="A188" s="19" t="s">
        <v>39</v>
      </c>
      <c r="B188" s="19" t="s">
        <v>102</v>
      </c>
      <c r="C188" s="19" t="s">
        <v>103</v>
      </c>
      <c r="D188" s="19" t="s">
        <v>42</v>
      </c>
      <c r="E188" s="19">
        <v>74</v>
      </c>
      <c r="F188" s="20">
        <v>1500</v>
      </c>
    </row>
    <row r="189" spans="1:6" x14ac:dyDescent="0.3">
      <c r="A189" s="19" t="s">
        <v>41</v>
      </c>
      <c r="B189" s="19" t="s">
        <v>102</v>
      </c>
      <c r="C189" s="19" t="s">
        <v>103</v>
      </c>
      <c r="D189" s="19" t="s">
        <v>42</v>
      </c>
      <c r="E189" s="19">
        <v>68</v>
      </c>
      <c r="F189" s="20">
        <v>1500</v>
      </c>
    </row>
    <row r="190" spans="1:6" x14ac:dyDescent="0.3">
      <c r="A190" s="19" t="s">
        <v>43</v>
      </c>
      <c r="B190" s="19" t="s">
        <v>102</v>
      </c>
      <c r="C190" s="19" t="s">
        <v>103</v>
      </c>
      <c r="D190" s="19" t="s">
        <v>42</v>
      </c>
      <c r="E190" s="19">
        <v>74</v>
      </c>
      <c r="F190" s="20">
        <v>1500</v>
      </c>
    </row>
    <row r="191" spans="1:6" x14ac:dyDescent="0.3">
      <c r="A191" s="19" t="s">
        <v>45</v>
      </c>
      <c r="B191" s="19" t="s">
        <v>102</v>
      </c>
      <c r="C191" s="19" t="s">
        <v>103</v>
      </c>
      <c r="D191" s="19" t="s">
        <v>42</v>
      </c>
      <c r="E191" s="19">
        <v>129</v>
      </c>
      <c r="F191" s="20">
        <v>1500</v>
      </c>
    </row>
    <row r="192" spans="1:6" x14ac:dyDescent="0.3">
      <c r="A192" s="19" t="s">
        <v>47</v>
      </c>
      <c r="B192" s="19" t="s">
        <v>102</v>
      </c>
      <c r="C192" s="19" t="s">
        <v>103</v>
      </c>
      <c r="D192" s="19" t="s">
        <v>42</v>
      </c>
      <c r="E192" s="19">
        <v>93</v>
      </c>
      <c r="F192" s="20">
        <v>1500</v>
      </c>
    </row>
    <row r="193" spans="1:6" x14ac:dyDescent="0.3">
      <c r="A193" s="19" t="s">
        <v>49</v>
      </c>
      <c r="B193" s="19" t="s">
        <v>102</v>
      </c>
      <c r="C193" s="19" t="s">
        <v>103</v>
      </c>
      <c r="D193" s="19" t="s">
        <v>42</v>
      </c>
      <c r="E193" s="19">
        <v>85</v>
      </c>
      <c r="F193" s="20">
        <v>1500</v>
      </c>
    </row>
    <row r="194" spans="1:6" x14ac:dyDescent="0.3">
      <c r="A194" s="19" t="s">
        <v>27</v>
      </c>
      <c r="B194" s="19" t="s">
        <v>104</v>
      </c>
      <c r="C194" s="19" t="s">
        <v>105</v>
      </c>
      <c r="D194" s="19" t="s">
        <v>42</v>
      </c>
      <c r="E194" s="19">
        <v>99</v>
      </c>
      <c r="F194" s="20">
        <v>600</v>
      </c>
    </row>
    <row r="195" spans="1:6" x14ac:dyDescent="0.3">
      <c r="A195" s="19" t="s">
        <v>29</v>
      </c>
      <c r="B195" s="19" t="s">
        <v>104</v>
      </c>
      <c r="C195" s="19" t="s">
        <v>105</v>
      </c>
      <c r="D195" s="19" t="s">
        <v>42</v>
      </c>
      <c r="E195" s="19">
        <v>105</v>
      </c>
      <c r="F195" s="20">
        <v>600</v>
      </c>
    </row>
    <row r="196" spans="1:6" x14ac:dyDescent="0.3">
      <c r="A196" s="19" t="s">
        <v>31</v>
      </c>
      <c r="B196" s="19" t="s">
        <v>104</v>
      </c>
      <c r="C196" s="19" t="s">
        <v>105</v>
      </c>
      <c r="D196" s="19" t="s">
        <v>42</v>
      </c>
      <c r="E196" s="19">
        <v>90</v>
      </c>
      <c r="F196" s="20">
        <v>600</v>
      </c>
    </row>
    <row r="197" spans="1:6" x14ac:dyDescent="0.3">
      <c r="A197" s="19" t="s">
        <v>33</v>
      </c>
      <c r="B197" s="19" t="s">
        <v>104</v>
      </c>
      <c r="C197" s="19" t="s">
        <v>105</v>
      </c>
      <c r="D197" s="19" t="s">
        <v>42</v>
      </c>
      <c r="E197" s="19">
        <v>89</v>
      </c>
      <c r="F197" s="20">
        <v>600</v>
      </c>
    </row>
    <row r="198" spans="1:6" x14ac:dyDescent="0.3">
      <c r="A198" s="19" t="s">
        <v>35</v>
      </c>
      <c r="B198" s="19" t="s">
        <v>104</v>
      </c>
      <c r="C198" s="19" t="s">
        <v>105</v>
      </c>
      <c r="D198" s="19" t="s">
        <v>42</v>
      </c>
      <c r="E198" s="19">
        <v>82</v>
      </c>
      <c r="F198" s="20">
        <v>600</v>
      </c>
    </row>
    <row r="199" spans="1:6" x14ac:dyDescent="0.3">
      <c r="A199" s="19" t="s">
        <v>37</v>
      </c>
      <c r="B199" s="19" t="s">
        <v>104</v>
      </c>
      <c r="C199" s="19" t="s">
        <v>105</v>
      </c>
      <c r="D199" s="19" t="s">
        <v>42</v>
      </c>
      <c r="E199" s="19">
        <v>87</v>
      </c>
      <c r="F199" s="20">
        <v>600</v>
      </c>
    </row>
    <row r="200" spans="1:6" x14ac:dyDescent="0.3">
      <c r="A200" s="19" t="s">
        <v>39</v>
      </c>
      <c r="B200" s="19" t="s">
        <v>104</v>
      </c>
      <c r="C200" s="19" t="s">
        <v>105</v>
      </c>
      <c r="D200" s="19" t="s">
        <v>42</v>
      </c>
      <c r="E200" s="19">
        <v>103</v>
      </c>
      <c r="F200" s="20">
        <v>600</v>
      </c>
    </row>
    <row r="201" spans="1:6" x14ac:dyDescent="0.3">
      <c r="A201" s="19" t="s">
        <v>41</v>
      </c>
      <c r="B201" s="19" t="s">
        <v>104</v>
      </c>
      <c r="C201" s="19" t="s">
        <v>105</v>
      </c>
      <c r="D201" s="19" t="s">
        <v>42</v>
      </c>
      <c r="E201" s="19">
        <v>105</v>
      </c>
      <c r="F201" s="20">
        <v>600</v>
      </c>
    </row>
    <row r="202" spans="1:6" x14ac:dyDescent="0.3">
      <c r="A202" s="19" t="s">
        <v>43</v>
      </c>
      <c r="B202" s="19" t="s">
        <v>104</v>
      </c>
      <c r="C202" s="19" t="s">
        <v>105</v>
      </c>
      <c r="D202" s="19" t="s">
        <v>42</v>
      </c>
      <c r="E202" s="19">
        <v>95</v>
      </c>
      <c r="F202" s="20">
        <v>600</v>
      </c>
    </row>
    <row r="203" spans="1:6" x14ac:dyDescent="0.3">
      <c r="A203" s="19" t="s">
        <v>45</v>
      </c>
      <c r="B203" s="19" t="s">
        <v>104</v>
      </c>
      <c r="C203" s="19" t="s">
        <v>105</v>
      </c>
      <c r="D203" s="19" t="s">
        <v>42</v>
      </c>
      <c r="E203" s="19">
        <v>155</v>
      </c>
      <c r="F203" s="20">
        <v>600</v>
      </c>
    </row>
    <row r="204" spans="1:6" x14ac:dyDescent="0.3">
      <c r="A204" s="19" t="s">
        <v>47</v>
      </c>
      <c r="B204" s="19" t="s">
        <v>104</v>
      </c>
      <c r="C204" s="19" t="s">
        <v>105</v>
      </c>
      <c r="D204" s="19" t="s">
        <v>42</v>
      </c>
      <c r="E204" s="19">
        <v>118</v>
      </c>
      <c r="F204" s="20">
        <v>600</v>
      </c>
    </row>
    <row r="205" spans="1:6" x14ac:dyDescent="0.3">
      <c r="A205" s="19" t="s">
        <v>49</v>
      </c>
      <c r="B205" s="19" t="s">
        <v>104</v>
      </c>
      <c r="C205" s="19" t="s">
        <v>105</v>
      </c>
      <c r="D205" s="19" t="s">
        <v>42</v>
      </c>
      <c r="E205" s="19">
        <v>85</v>
      </c>
      <c r="F205" s="20">
        <v>600</v>
      </c>
    </row>
    <row r="206" spans="1:6" x14ac:dyDescent="0.3">
      <c r="A206" s="19" t="s">
        <v>27</v>
      </c>
      <c r="B206" s="19" t="s">
        <v>106</v>
      </c>
      <c r="C206" s="19" t="s">
        <v>107</v>
      </c>
      <c r="D206" s="19" t="s">
        <v>34</v>
      </c>
      <c r="E206" s="19">
        <v>113</v>
      </c>
      <c r="F206" s="20">
        <v>150</v>
      </c>
    </row>
    <row r="207" spans="1:6" x14ac:dyDescent="0.3">
      <c r="A207" s="19" t="s">
        <v>29</v>
      </c>
      <c r="B207" s="19" t="s">
        <v>106</v>
      </c>
      <c r="C207" s="19" t="s">
        <v>107</v>
      </c>
      <c r="D207" s="19" t="s">
        <v>34</v>
      </c>
      <c r="E207" s="19">
        <v>99</v>
      </c>
      <c r="F207" s="20">
        <v>150</v>
      </c>
    </row>
    <row r="208" spans="1:6" x14ac:dyDescent="0.3">
      <c r="A208" s="19" t="s">
        <v>31</v>
      </c>
      <c r="B208" s="19" t="s">
        <v>106</v>
      </c>
      <c r="C208" s="19" t="s">
        <v>107</v>
      </c>
      <c r="D208" s="19" t="s">
        <v>34</v>
      </c>
      <c r="E208" s="19">
        <v>101</v>
      </c>
      <c r="F208" s="20">
        <v>150</v>
      </c>
    </row>
    <row r="209" spans="1:6" x14ac:dyDescent="0.3">
      <c r="A209" s="19" t="s">
        <v>33</v>
      </c>
      <c r="B209" s="19" t="s">
        <v>106</v>
      </c>
      <c r="C209" s="19" t="s">
        <v>107</v>
      </c>
      <c r="D209" s="19" t="s">
        <v>34</v>
      </c>
      <c r="E209" s="19">
        <v>111</v>
      </c>
      <c r="F209" s="20">
        <v>150</v>
      </c>
    </row>
    <row r="210" spans="1:6" x14ac:dyDescent="0.3">
      <c r="A210" s="19" t="s">
        <v>35</v>
      </c>
      <c r="B210" s="19" t="s">
        <v>106</v>
      </c>
      <c r="C210" s="19" t="s">
        <v>107</v>
      </c>
      <c r="D210" s="19" t="s">
        <v>34</v>
      </c>
      <c r="E210" s="19">
        <v>101</v>
      </c>
      <c r="F210" s="20">
        <v>150</v>
      </c>
    </row>
    <row r="211" spans="1:6" x14ac:dyDescent="0.3">
      <c r="A211" s="19" t="s">
        <v>37</v>
      </c>
      <c r="B211" s="19" t="s">
        <v>106</v>
      </c>
      <c r="C211" s="19" t="s">
        <v>107</v>
      </c>
      <c r="D211" s="19" t="s">
        <v>34</v>
      </c>
      <c r="E211" s="19">
        <v>97</v>
      </c>
      <c r="F211" s="20">
        <v>150</v>
      </c>
    </row>
    <row r="212" spans="1:6" x14ac:dyDescent="0.3">
      <c r="A212" s="19" t="s">
        <v>39</v>
      </c>
      <c r="B212" s="19" t="s">
        <v>106</v>
      </c>
      <c r="C212" s="19" t="s">
        <v>107</v>
      </c>
      <c r="D212" s="19" t="s">
        <v>34</v>
      </c>
      <c r="E212" s="19">
        <v>118</v>
      </c>
      <c r="F212" s="20">
        <v>150</v>
      </c>
    </row>
    <row r="213" spans="1:6" x14ac:dyDescent="0.3">
      <c r="A213" s="19" t="s">
        <v>41</v>
      </c>
      <c r="B213" s="19" t="s">
        <v>106</v>
      </c>
      <c r="C213" s="19" t="s">
        <v>107</v>
      </c>
      <c r="D213" s="19" t="s">
        <v>34</v>
      </c>
      <c r="E213" s="19">
        <v>92</v>
      </c>
      <c r="F213" s="20">
        <v>150</v>
      </c>
    </row>
    <row r="214" spans="1:6" x14ac:dyDescent="0.3">
      <c r="A214" s="19" t="s">
        <v>43</v>
      </c>
      <c r="B214" s="19" t="s">
        <v>106</v>
      </c>
      <c r="C214" s="19" t="s">
        <v>107</v>
      </c>
      <c r="D214" s="19" t="s">
        <v>34</v>
      </c>
      <c r="E214" s="19">
        <v>120</v>
      </c>
      <c r="F214" s="20">
        <v>150</v>
      </c>
    </row>
    <row r="215" spans="1:6" x14ac:dyDescent="0.3">
      <c r="A215" s="19" t="s">
        <v>45</v>
      </c>
      <c r="B215" s="19" t="s">
        <v>106</v>
      </c>
      <c r="C215" s="19" t="s">
        <v>107</v>
      </c>
      <c r="D215" s="19" t="s">
        <v>34</v>
      </c>
      <c r="E215" s="19">
        <v>193</v>
      </c>
      <c r="F215" s="20">
        <v>150</v>
      </c>
    </row>
    <row r="216" spans="1:6" x14ac:dyDescent="0.3">
      <c r="A216" s="19" t="s">
        <v>47</v>
      </c>
      <c r="B216" s="19" t="s">
        <v>106</v>
      </c>
      <c r="C216" s="19" t="s">
        <v>107</v>
      </c>
      <c r="D216" s="19" t="s">
        <v>34</v>
      </c>
      <c r="E216" s="19">
        <v>116</v>
      </c>
      <c r="F216" s="20">
        <v>150</v>
      </c>
    </row>
    <row r="217" spans="1:6" x14ac:dyDescent="0.3">
      <c r="A217" s="19" t="s">
        <v>49</v>
      </c>
      <c r="B217" s="19" t="s">
        <v>106</v>
      </c>
      <c r="C217" s="19" t="s">
        <v>107</v>
      </c>
      <c r="D217" s="19" t="s">
        <v>34</v>
      </c>
      <c r="E217" s="19">
        <v>115</v>
      </c>
      <c r="F217" s="20">
        <v>150</v>
      </c>
    </row>
    <row r="218" spans="1:6" x14ac:dyDescent="0.3">
      <c r="A218" s="19" t="s">
        <v>27</v>
      </c>
      <c r="B218" s="19" t="s">
        <v>108</v>
      </c>
      <c r="C218" s="19" t="s">
        <v>109</v>
      </c>
      <c r="D218" s="19" t="s">
        <v>34</v>
      </c>
      <c r="E218" s="19">
        <v>140</v>
      </c>
      <c r="F218" s="20">
        <v>150</v>
      </c>
    </row>
    <row r="219" spans="1:6" x14ac:dyDescent="0.3">
      <c r="A219" s="19" t="s">
        <v>29</v>
      </c>
      <c r="B219" s="19" t="s">
        <v>108</v>
      </c>
      <c r="C219" s="19" t="s">
        <v>109</v>
      </c>
      <c r="D219" s="19" t="s">
        <v>34</v>
      </c>
      <c r="E219" s="19">
        <v>139</v>
      </c>
      <c r="F219" s="20">
        <v>150</v>
      </c>
    </row>
    <row r="220" spans="1:6" x14ac:dyDescent="0.3">
      <c r="A220" s="19" t="s">
        <v>31</v>
      </c>
      <c r="B220" s="19" t="s">
        <v>108</v>
      </c>
      <c r="C220" s="19" t="s">
        <v>109</v>
      </c>
      <c r="D220" s="19" t="s">
        <v>34</v>
      </c>
      <c r="E220" s="19">
        <v>137</v>
      </c>
      <c r="F220" s="20">
        <v>150</v>
      </c>
    </row>
    <row r="221" spans="1:6" x14ac:dyDescent="0.3">
      <c r="A221" s="19" t="s">
        <v>33</v>
      </c>
      <c r="B221" s="19" t="s">
        <v>108</v>
      </c>
      <c r="C221" s="19" t="s">
        <v>109</v>
      </c>
      <c r="D221" s="19" t="s">
        <v>34</v>
      </c>
      <c r="E221" s="19">
        <v>112</v>
      </c>
      <c r="F221" s="20">
        <v>150</v>
      </c>
    </row>
    <row r="222" spans="1:6" x14ac:dyDescent="0.3">
      <c r="A222" s="19" t="s">
        <v>35</v>
      </c>
      <c r="B222" s="19" t="s">
        <v>108</v>
      </c>
      <c r="C222" s="19" t="s">
        <v>109</v>
      </c>
      <c r="D222" s="19" t="s">
        <v>34</v>
      </c>
      <c r="E222" s="19">
        <v>109</v>
      </c>
      <c r="F222" s="20">
        <v>150</v>
      </c>
    </row>
    <row r="223" spans="1:6" x14ac:dyDescent="0.3">
      <c r="A223" s="19" t="s">
        <v>37</v>
      </c>
      <c r="B223" s="19" t="s">
        <v>108</v>
      </c>
      <c r="C223" s="19" t="s">
        <v>109</v>
      </c>
      <c r="D223" s="19" t="s">
        <v>34</v>
      </c>
      <c r="E223" s="19">
        <v>120</v>
      </c>
      <c r="F223" s="20">
        <v>150</v>
      </c>
    </row>
    <row r="224" spans="1:6" x14ac:dyDescent="0.3">
      <c r="A224" s="19" t="s">
        <v>39</v>
      </c>
      <c r="B224" s="19" t="s">
        <v>108</v>
      </c>
      <c r="C224" s="19" t="s">
        <v>109</v>
      </c>
      <c r="D224" s="19" t="s">
        <v>34</v>
      </c>
      <c r="E224" s="19">
        <v>141</v>
      </c>
      <c r="F224" s="20">
        <v>150</v>
      </c>
    </row>
    <row r="225" spans="1:6" x14ac:dyDescent="0.3">
      <c r="A225" s="19" t="s">
        <v>41</v>
      </c>
      <c r="B225" s="19" t="s">
        <v>108</v>
      </c>
      <c r="C225" s="19" t="s">
        <v>109</v>
      </c>
      <c r="D225" s="19" t="s">
        <v>34</v>
      </c>
      <c r="E225" s="19">
        <v>114</v>
      </c>
      <c r="F225" s="20">
        <v>150</v>
      </c>
    </row>
    <row r="226" spans="1:6" x14ac:dyDescent="0.3">
      <c r="A226" s="19" t="s">
        <v>43</v>
      </c>
      <c r="B226" s="19" t="s">
        <v>108</v>
      </c>
      <c r="C226" s="19" t="s">
        <v>109</v>
      </c>
      <c r="D226" s="19" t="s">
        <v>34</v>
      </c>
      <c r="E226" s="19">
        <v>119</v>
      </c>
      <c r="F226" s="20">
        <v>150</v>
      </c>
    </row>
    <row r="227" spans="1:6" x14ac:dyDescent="0.3">
      <c r="A227" s="19" t="s">
        <v>45</v>
      </c>
      <c r="B227" s="19" t="s">
        <v>108</v>
      </c>
      <c r="C227" s="19" t="s">
        <v>109</v>
      </c>
      <c r="D227" s="19" t="s">
        <v>34</v>
      </c>
      <c r="E227" s="19">
        <v>177</v>
      </c>
      <c r="F227" s="20">
        <v>150</v>
      </c>
    </row>
    <row r="228" spans="1:6" x14ac:dyDescent="0.3">
      <c r="A228" s="19" t="s">
        <v>47</v>
      </c>
      <c r="B228" s="19" t="s">
        <v>108</v>
      </c>
      <c r="C228" s="19" t="s">
        <v>109</v>
      </c>
      <c r="D228" s="19" t="s">
        <v>34</v>
      </c>
      <c r="E228" s="19">
        <v>154</v>
      </c>
      <c r="F228" s="20">
        <v>150</v>
      </c>
    </row>
    <row r="229" spans="1:6" x14ac:dyDescent="0.3">
      <c r="A229" s="19" t="s">
        <v>49</v>
      </c>
      <c r="B229" s="19" t="s">
        <v>108</v>
      </c>
      <c r="C229" s="19" t="s">
        <v>109</v>
      </c>
      <c r="D229" s="19" t="s">
        <v>34</v>
      </c>
      <c r="E229" s="19">
        <v>111</v>
      </c>
      <c r="F229" s="20">
        <v>150</v>
      </c>
    </row>
    <row r="230" spans="1:6" x14ac:dyDescent="0.3">
      <c r="A230" s="19" t="s">
        <v>27</v>
      </c>
      <c r="B230" s="19" t="s">
        <v>110</v>
      </c>
      <c r="C230" s="19" t="s">
        <v>111</v>
      </c>
      <c r="D230" s="19" t="s">
        <v>34</v>
      </c>
      <c r="E230" s="19">
        <v>80</v>
      </c>
      <c r="F230" s="20">
        <v>350</v>
      </c>
    </row>
    <row r="231" spans="1:6" x14ac:dyDescent="0.3">
      <c r="A231" s="19" t="s">
        <v>29</v>
      </c>
      <c r="B231" s="19" t="s">
        <v>110</v>
      </c>
      <c r="C231" s="19" t="s">
        <v>111</v>
      </c>
      <c r="D231" s="19" t="s">
        <v>34</v>
      </c>
      <c r="E231" s="19">
        <v>82</v>
      </c>
      <c r="F231" s="20">
        <v>350</v>
      </c>
    </row>
    <row r="232" spans="1:6" x14ac:dyDescent="0.3">
      <c r="A232" s="19" t="s">
        <v>31</v>
      </c>
      <c r="B232" s="19" t="s">
        <v>110</v>
      </c>
      <c r="C232" s="19" t="s">
        <v>111</v>
      </c>
      <c r="D232" s="19" t="s">
        <v>34</v>
      </c>
      <c r="E232" s="19">
        <v>86</v>
      </c>
      <c r="F232" s="20">
        <v>350</v>
      </c>
    </row>
    <row r="233" spans="1:6" x14ac:dyDescent="0.3">
      <c r="A233" s="19" t="s">
        <v>33</v>
      </c>
      <c r="B233" s="19" t="s">
        <v>110</v>
      </c>
      <c r="C233" s="19" t="s">
        <v>111</v>
      </c>
      <c r="D233" s="19" t="s">
        <v>34</v>
      </c>
      <c r="E233" s="19">
        <v>88</v>
      </c>
      <c r="F233" s="20">
        <v>350</v>
      </c>
    </row>
    <row r="234" spans="1:6" x14ac:dyDescent="0.3">
      <c r="A234" s="19" t="s">
        <v>35</v>
      </c>
      <c r="B234" s="19" t="s">
        <v>110</v>
      </c>
      <c r="C234" s="19" t="s">
        <v>111</v>
      </c>
      <c r="D234" s="19" t="s">
        <v>34</v>
      </c>
      <c r="E234" s="19">
        <v>71</v>
      </c>
      <c r="F234" s="20">
        <v>350</v>
      </c>
    </row>
    <row r="235" spans="1:6" x14ac:dyDescent="0.3">
      <c r="A235" s="19" t="s">
        <v>37</v>
      </c>
      <c r="B235" s="19" t="s">
        <v>110</v>
      </c>
      <c r="C235" s="19" t="s">
        <v>111</v>
      </c>
      <c r="D235" s="19" t="s">
        <v>34</v>
      </c>
      <c r="E235" s="19">
        <v>84</v>
      </c>
      <c r="F235" s="20">
        <v>350</v>
      </c>
    </row>
    <row r="236" spans="1:6" x14ac:dyDescent="0.3">
      <c r="A236" s="19" t="s">
        <v>39</v>
      </c>
      <c r="B236" s="19" t="s">
        <v>110</v>
      </c>
      <c r="C236" s="19" t="s">
        <v>111</v>
      </c>
      <c r="D236" s="19" t="s">
        <v>34</v>
      </c>
      <c r="E236" s="19">
        <v>88</v>
      </c>
      <c r="F236" s="20">
        <v>350</v>
      </c>
    </row>
    <row r="237" spans="1:6" x14ac:dyDescent="0.3">
      <c r="A237" s="19" t="s">
        <v>41</v>
      </c>
      <c r="B237" s="19" t="s">
        <v>110</v>
      </c>
      <c r="C237" s="19" t="s">
        <v>111</v>
      </c>
      <c r="D237" s="19" t="s">
        <v>34</v>
      </c>
      <c r="E237" s="19">
        <v>93</v>
      </c>
      <c r="F237" s="20">
        <v>350</v>
      </c>
    </row>
    <row r="238" spans="1:6" x14ac:dyDescent="0.3">
      <c r="A238" s="19" t="s">
        <v>43</v>
      </c>
      <c r="B238" s="19" t="s">
        <v>110</v>
      </c>
      <c r="C238" s="19" t="s">
        <v>111</v>
      </c>
      <c r="D238" s="19" t="s">
        <v>34</v>
      </c>
      <c r="E238" s="19">
        <v>94</v>
      </c>
      <c r="F238" s="20">
        <v>350</v>
      </c>
    </row>
    <row r="239" spans="1:6" x14ac:dyDescent="0.3">
      <c r="A239" s="19" t="s">
        <v>45</v>
      </c>
      <c r="B239" s="19" t="s">
        <v>110</v>
      </c>
      <c r="C239" s="19" t="s">
        <v>111</v>
      </c>
      <c r="D239" s="19" t="s">
        <v>34</v>
      </c>
      <c r="E239" s="19">
        <v>131</v>
      </c>
      <c r="F239" s="20">
        <v>350</v>
      </c>
    </row>
    <row r="240" spans="1:6" x14ac:dyDescent="0.3">
      <c r="A240" s="19" t="s">
        <v>47</v>
      </c>
      <c r="B240" s="19" t="s">
        <v>110</v>
      </c>
      <c r="C240" s="19" t="s">
        <v>111</v>
      </c>
      <c r="D240" s="19" t="s">
        <v>34</v>
      </c>
      <c r="E240" s="19">
        <v>92</v>
      </c>
      <c r="F240" s="20">
        <v>350</v>
      </c>
    </row>
    <row r="241" spans="1:6" x14ac:dyDescent="0.3">
      <c r="A241" s="19" t="s">
        <v>49</v>
      </c>
      <c r="B241" s="19" t="s">
        <v>110</v>
      </c>
      <c r="C241" s="19" t="s">
        <v>111</v>
      </c>
      <c r="D241" s="19" t="s">
        <v>34</v>
      </c>
      <c r="E241" s="19">
        <v>77</v>
      </c>
      <c r="F241" s="20">
        <v>350</v>
      </c>
    </row>
    <row r="242" spans="1:6" x14ac:dyDescent="0.3">
      <c r="A242" s="19" t="s">
        <v>27</v>
      </c>
      <c r="B242" s="19" t="s">
        <v>112</v>
      </c>
      <c r="C242" s="19" t="s">
        <v>113</v>
      </c>
      <c r="D242" s="19" t="s">
        <v>34</v>
      </c>
      <c r="E242" s="19">
        <v>88</v>
      </c>
      <c r="F242" s="20">
        <v>350</v>
      </c>
    </row>
    <row r="243" spans="1:6" x14ac:dyDescent="0.3">
      <c r="A243" s="19" t="s">
        <v>29</v>
      </c>
      <c r="B243" s="19" t="s">
        <v>112</v>
      </c>
      <c r="C243" s="19" t="s">
        <v>113</v>
      </c>
      <c r="D243" s="19" t="s">
        <v>34</v>
      </c>
      <c r="E243" s="19">
        <v>84</v>
      </c>
      <c r="F243" s="20">
        <v>350</v>
      </c>
    </row>
    <row r="244" spans="1:6" x14ac:dyDescent="0.3">
      <c r="A244" s="19" t="s">
        <v>31</v>
      </c>
      <c r="B244" s="19" t="s">
        <v>112</v>
      </c>
      <c r="C244" s="19" t="s">
        <v>113</v>
      </c>
      <c r="D244" s="19" t="s">
        <v>34</v>
      </c>
      <c r="E244" s="19">
        <v>79</v>
      </c>
      <c r="F244" s="20">
        <v>350</v>
      </c>
    </row>
    <row r="245" spans="1:6" x14ac:dyDescent="0.3">
      <c r="A245" s="19" t="s">
        <v>33</v>
      </c>
      <c r="B245" s="19" t="s">
        <v>112</v>
      </c>
      <c r="C245" s="19" t="s">
        <v>113</v>
      </c>
      <c r="D245" s="19" t="s">
        <v>34</v>
      </c>
      <c r="E245" s="19">
        <v>84</v>
      </c>
      <c r="F245" s="20">
        <v>350</v>
      </c>
    </row>
    <row r="246" spans="1:6" x14ac:dyDescent="0.3">
      <c r="A246" s="19" t="s">
        <v>35</v>
      </c>
      <c r="B246" s="19" t="s">
        <v>112</v>
      </c>
      <c r="C246" s="19" t="s">
        <v>113</v>
      </c>
      <c r="D246" s="19" t="s">
        <v>34</v>
      </c>
      <c r="E246" s="19">
        <v>88</v>
      </c>
      <c r="F246" s="20">
        <v>350</v>
      </c>
    </row>
    <row r="247" spans="1:6" x14ac:dyDescent="0.3">
      <c r="A247" s="19" t="s">
        <v>37</v>
      </c>
      <c r="B247" s="19" t="s">
        <v>112</v>
      </c>
      <c r="C247" s="19" t="s">
        <v>113</v>
      </c>
      <c r="D247" s="19" t="s">
        <v>34</v>
      </c>
      <c r="E247" s="19">
        <v>85</v>
      </c>
      <c r="F247" s="20">
        <v>350</v>
      </c>
    </row>
    <row r="248" spans="1:6" x14ac:dyDescent="0.3">
      <c r="A248" s="19" t="s">
        <v>39</v>
      </c>
      <c r="B248" s="19" t="s">
        <v>112</v>
      </c>
      <c r="C248" s="19" t="s">
        <v>113</v>
      </c>
      <c r="D248" s="19" t="s">
        <v>34</v>
      </c>
      <c r="E248" s="19">
        <v>79</v>
      </c>
      <c r="F248" s="20">
        <v>350</v>
      </c>
    </row>
    <row r="249" spans="1:6" x14ac:dyDescent="0.3">
      <c r="A249" s="19" t="s">
        <v>41</v>
      </c>
      <c r="B249" s="19" t="s">
        <v>112</v>
      </c>
      <c r="C249" s="19" t="s">
        <v>113</v>
      </c>
      <c r="D249" s="19" t="s">
        <v>34</v>
      </c>
      <c r="E249" s="19">
        <v>75</v>
      </c>
      <c r="F249" s="20">
        <v>350</v>
      </c>
    </row>
    <row r="250" spans="1:6" x14ac:dyDescent="0.3">
      <c r="A250" s="19" t="s">
        <v>43</v>
      </c>
      <c r="B250" s="19" t="s">
        <v>112</v>
      </c>
      <c r="C250" s="19" t="s">
        <v>113</v>
      </c>
      <c r="D250" s="19" t="s">
        <v>34</v>
      </c>
      <c r="E250" s="19">
        <v>74</v>
      </c>
      <c r="F250" s="20">
        <v>350</v>
      </c>
    </row>
    <row r="251" spans="1:6" x14ac:dyDescent="0.3">
      <c r="A251" s="19" t="s">
        <v>45</v>
      </c>
      <c r="B251" s="19" t="s">
        <v>112</v>
      </c>
      <c r="C251" s="19" t="s">
        <v>113</v>
      </c>
      <c r="D251" s="19" t="s">
        <v>34</v>
      </c>
      <c r="E251" s="19">
        <v>127</v>
      </c>
      <c r="F251" s="20">
        <v>350</v>
      </c>
    </row>
    <row r="252" spans="1:6" x14ac:dyDescent="0.3">
      <c r="A252" s="19" t="s">
        <v>47</v>
      </c>
      <c r="B252" s="19" t="s">
        <v>112</v>
      </c>
      <c r="C252" s="19" t="s">
        <v>113</v>
      </c>
      <c r="D252" s="19" t="s">
        <v>34</v>
      </c>
      <c r="E252" s="19">
        <v>83</v>
      </c>
      <c r="F252" s="20">
        <v>350</v>
      </c>
    </row>
    <row r="253" spans="1:6" x14ac:dyDescent="0.3">
      <c r="A253" s="19" t="s">
        <v>49</v>
      </c>
      <c r="B253" s="19" t="s">
        <v>112</v>
      </c>
      <c r="C253" s="19" t="s">
        <v>113</v>
      </c>
      <c r="D253" s="19" t="s">
        <v>34</v>
      </c>
      <c r="E253" s="19">
        <v>85</v>
      </c>
      <c r="F253" s="20">
        <v>350</v>
      </c>
    </row>
    <row r="254" spans="1:6" x14ac:dyDescent="0.3">
      <c r="A254" s="19" t="s">
        <v>27</v>
      </c>
      <c r="B254" s="19" t="s">
        <v>114</v>
      </c>
      <c r="C254" s="19" t="s">
        <v>115</v>
      </c>
      <c r="D254" s="19" t="s">
        <v>34</v>
      </c>
      <c r="E254" s="19">
        <v>56</v>
      </c>
      <c r="F254" s="20">
        <v>450</v>
      </c>
    </row>
    <row r="255" spans="1:6" x14ac:dyDescent="0.3">
      <c r="A255" s="19" t="s">
        <v>29</v>
      </c>
      <c r="B255" s="19" t="s">
        <v>114</v>
      </c>
      <c r="C255" s="19" t="s">
        <v>115</v>
      </c>
      <c r="D255" s="19" t="s">
        <v>34</v>
      </c>
      <c r="E255" s="19">
        <v>61</v>
      </c>
      <c r="F255" s="20">
        <v>450</v>
      </c>
    </row>
    <row r="256" spans="1:6" x14ac:dyDescent="0.3">
      <c r="A256" s="19" t="s">
        <v>31</v>
      </c>
      <c r="B256" s="19" t="s">
        <v>114</v>
      </c>
      <c r="C256" s="19" t="s">
        <v>115</v>
      </c>
      <c r="D256" s="19" t="s">
        <v>34</v>
      </c>
      <c r="E256" s="19">
        <v>55</v>
      </c>
      <c r="F256" s="20">
        <v>450</v>
      </c>
    </row>
    <row r="257" spans="1:6" x14ac:dyDescent="0.3">
      <c r="A257" s="19" t="s">
        <v>33</v>
      </c>
      <c r="B257" s="19" t="s">
        <v>114</v>
      </c>
      <c r="C257" s="19" t="s">
        <v>115</v>
      </c>
      <c r="D257" s="19" t="s">
        <v>34</v>
      </c>
      <c r="E257" s="19">
        <v>52</v>
      </c>
      <c r="F257" s="20">
        <v>450</v>
      </c>
    </row>
    <row r="258" spans="1:6" x14ac:dyDescent="0.3">
      <c r="A258" s="19" t="s">
        <v>35</v>
      </c>
      <c r="B258" s="19" t="s">
        <v>114</v>
      </c>
      <c r="C258" s="19" t="s">
        <v>115</v>
      </c>
      <c r="D258" s="19" t="s">
        <v>34</v>
      </c>
      <c r="E258" s="19">
        <v>65</v>
      </c>
      <c r="F258" s="20">
        <v>450</v>
      </c>
    </row>
    <row r="259" spans="1:6" x14ac:dyDescent="0.3">
      <c r="A259" s="19" t="s">
        <v>37</v>
      </c>
      <c r="B259" s="19" t="s">
        <v>114</v>
      </c>
      <c r="C259" s="19" t="s">
        <v>115</v>
      </c>
      <c r="D259" s="19" t="s">
        <v>34</v>
      </c>
      <c r="E259" s="19">
        <v>65</v>
      </c>
      <c r="F259" s="20">
        <v>450</v>
      </c>
    </row>
    <row r="260" spans="1:6" x14ac:dyDescent="0.3">
      <c r="A260" s="19" t="s">
        <v>39</v>
      </c>
      <c r="B260" s="19" t="s">
        <v>114</v>
      </c>
      <c r="C260" s="19" t="s">
        <v>115</v>
      </c>
      <c r="D260" s="19" t="s">
        <v>34</v>
      </c>
      <c r="E260" s="19">
        <v>56</v>
      </c>
      <c r="F260" s="20">
        <v>450</v>
      </c>
    </row>
    <row r="261" spans="1:6" x14ac:dyDescent="0.3">
      <c r="A261" s="19" t="s">
        <v>41</v>
      </c>
      <c r="B261" s="19" t="s">
        <v>114</v>
      </c>
      <c r="C261" s="19" t="s">
        <v>115</v>
      </c>
      <c r="D261" s="19" t="s">
        <v>34</v>
      </c>
      <c r="E261" s="19">
        <v>59</v>
      </c>
      <c r="F261" s="20">
        <v>450</v>
      </c>
    </row>
    <row r="262" spans="1:6" x14ac:dyDescent="0.3">
      <c r="A262" s="19" t="s">
        <v>43</v>
      </c>
      <c r="B262" s="19" t="s">
        <v>114</v>
      </c>
      <c r="C262" s="19" t="s">
        <v>115</v>
      </c>
      <c r="D262" s="19" t="s">
        <v>34</v>
      </c>
      <c r="E262" s="19">
        <v>63</v>
      </c>
      <c r="F262" s="20">
        <v>450</v>
      </c>
    </row>
    <row r="263" spans="1:6" x14ac:dyDescent="0.3">
      <c r="A263" s="19" t="s">
        <v>45</v>
      </c>
      <c r="B263" s="19" t="s">
        <v>114</v>
      </c>
      <c r="C263" s="19" t="s">
        <v>115</v>
      </c>
      <c r="D263" s="19" t="s">
        <v>34</v>
      </c>
      <c r="E263" s="19">
        <v>107</v>
      </c>
      <c r="F263" s="20">
        <v>450</v>
      </c>
    </row>
    <row r="264" spans="1:6" x14ac:dyDescent="0.3">
      <c r="A264" s="19" t="s">
        <v>47</v>
      </c>
      <c r="B264" s="19" t="s">
        <v>114</v>
      </c>
      <c r="C264" s="19" t="s">
        <v>115</v>
      </c>
      <c r="D264" s="19" t="s">
        <v>34</v>
      </c>
      <c r="E264" s="19">
        <v>75</v>
      </c>
      <c r="F264" s="20">
        <v>450</v>
      </c>
    </row>
    <row r="265" spans="1:6" x14ac:dyDescent="0.3">
      <c r="A265" s="19" t="s">
        <v>49</v>
      </c>
      <c r="B265" s="19" t="s">
        <v>114</v>
      </c>
      <c r="C265" s="19" t="s">
        <v>115</v>
      </c>
      <c r="D265" s="19" t="s">
        <v>34</v>
      </c>
      <c r="E265" s="19">
        <v>51</v>
      </c>
      <c r="F265" s="20">
        <v>450</v>
      </c>
    </row>
    <row r="266" spans="1:6" x14ac:dyDescent="0.3">
      <c r="A266" s="19" t="s">
        <v>27</v>
      </c>
      <c r="B266" s="19" t="s">
        <v>116</v>
      </c>
      <c r="C266" s="19" t="s">
        <v>117</v>
      </c>
      <c r="D266" s="19" t="s">
        <v>44</v>
      </c>
      <c r="E266" s="19">
        <v>81</v>
      </c>
      <c r="F266" s="20">
        <v>80</v>
      </c>
    </row>
    <row r="267" spans="1:6" x14ac:dyDescent="0.3">
      <c r="A267" s="19" t="s">
        <v>29</v>
      </c>
      <c r="B267" s="19" t="s">
        <v>116</v>
      </c>
      <c r="C267" s="19" t="s">
        <v>117</v>
      </c>
      <c r="D267" s="19" t="s">
        <v>44</v>
      </c>
      <c r="E267" s="19">
        <v>74</v>
      </c>
      <c r="F267" s="20">
        <v>80</v>
      </c>
    </row>
    <row r="268" spans="1:6" x14ac:dyDescent="0.3">
      <c r="A268" s="19" t="s">
        <v>31</v>
      </c>
      <c r="B268" s="19" t="s">
        <v>116</v>
      </c>
      <c r="C268" s="19" t="s">
        <v>117</v>
      </c>
      <c r="D268" s="19" t="s">
        <v>44</v>
      </c>
      <c r="E268" s="19">
        <v>85</v>
      </c>
      <c r="F268" s="20">
        <v>80</v>
      </c>
    </row>
    <row r="269" spans="1:6" x14ac:dyDescent="0.3">
      <c r="A269" s="19" t="s">
        <v>33</v>
      </c>
      <c r="B269" s="19" t="s">
        <v>116</v>
      </c>
      <c r="C269" s="19" t="s">
        <v>117</v>
      </c>
      <c r="D269" s="19" t="s">
        <v>44</v>
      </c>
      <c r="E269" s="19">
        <v>80</v>
      </c>
      <c r="F269" s="20">
        <v>80</v>
      </c>
    </row>
    <row r="270" spans="1:6" x14ac:dyDescent="0.3">
      <c r="A270" s="19" t="s">
        <v>35</v>
      </c>
      <c r="B270" s="19" t="s">
        <v>116</v>
      </c>
      <c r="C270" s="19" t="s">
        <v>117</v>
      </c>
      <c r="D270" s="19" t="s">
        <v>44</v>
      </c>
      <c r="E270" s="19">
        <v>72</v>
      </c>
      <c r="F270" s="20">
        <v>80</v>
      </c>
    </row>
    <row r="271" spans="1:6" x14ac:dyDescent="0.3">
      <c r="A271" s="19" t="s">
        <v>37</v>
      </c>
      <c r="B271" s="19" t="s">
        <v>116</v>
      </c>
      <c r="C271" s="19" t="s">
        <v>117</v>
      </c>
      <c r="D271" s="19" t="s">
        <v>44</v>
      </c>
      <c r="E271" s="19">
        <v>73</v>
      </c>
      <c r="F271" s="20">
        <v>80</v>
      </c>
    </row>
    <row r="272" spans="1:6" x14ac:dyDescent="0.3">
      <c r="A272" s="19" t="s">
        <v>39</v>
      </c>
      <c r="B272" s="19" t="s">
        <v>116</v>
      </c>
      <c r="C272" s="19" t="s">
        <v>117</v>
      </c>
      <c r="D272" s="19" t="s">
        <v>44</v>
      </c>
      <c r="E272" s="19">
        <v>75</v>
      </c>
      <c r="F272" s="20">
        <v>80</v>
      </c>
    </row>
    <row r="273" spans="1:6" x14ac:dyDescent="0.3">
      <c r="A273" s="19" t="s">
        <v>41</v>
      </c>
      <c r="B273" s="19" t="s">
        <v>116</v>
      </c>
      <c r="C273" s="19" t="s">
        <v>117</v>
      </c>
      <c r="D273" s="19" t="s">
        <v>44</v>
      </c>
      <c r="E273" s="19">
        <v>83</v>
      </c>
      <c r="F273" s="20">
        <v>80</v>
      </c>
    </row>
    <row r="274" spans="1:6" x14ac:dyDescent="0.3">
      <c r="A274" s="19" t="s">
        <v>43</v>
      </c>
      <c r="B274" s="19" t="s">
        <v>116</v>
      </c>
      <c r="C274" s="19" t="s">
        <v>117</v>
      </c>
      <c r="D274" s="19" t="s">
        <v>44</v>
      </c>
      <c r="E274" s="19">
        <v>74</v>
      </c>
      <c r="F274" s="20">
        <v>80</v>
      </c>
    </row>
    <row r="275" spans="1:6" x14ac:dyDescent="0.3">
      <c r="A275" s="19" t="s">
        <v>45</v>
      </c>
      <c r="B275" s="19" t="s">
        <v>116</v>
      </c>
      <c r="C275" s="19" t="s">
        <v>117</v>
      </c>
      <c r="D275" s="19" t="s">
        <v>44</v>
      </c>
      <c r="E275" s="19">
        <v>108</v>
      </c>
      <c r="F275" s="20">
        <v>80</v>
      </c>
    </row>
    <row r="276" spans="1:6" x14ac:dyDescent="0.3">
      <c r="A276" s="19" t="s">
        <v>47</v>
      </c>
      <c r="B276" s="19" t="s">
        <v>116</v>
      </c>
      <c r="C276" s="19" t="s">
        <v>117</v>
      </c>
      <c r="D276" s="19" t="s">
        <v>44</v>
      </c>
      <c r="E276" s="19">
        <v>93</v>
      </c>
      <c r="F276" s="20">
        <v>80</v>
      </c>
    </row>
    <row r="277" spans="1:6" x14ac:dyDescent="0.3">
      <c r="A277" s="19" t="s">
        <v>49</v>
      </c>
      <c r="B277" s="19" t="s">
        <v>116</v>
      </c>
      <c r="C277" s="19" t="s">
        <v>117</v>
      </c>
      <c r="D277" s="19" t="s">
        <v>44</v>
      </c>
      <c r="E277" s="19">
        <v>76</v>
      </c>
      <c r="F277" s="20">
        <v>80</v>
      </c>
    </row>
    <row r="278" spans="1:6" x14ac:dyDescent="0.3">
      <c r="A278" s="19" t="s">
        <v>27</v>
      </c>
      <c r="B278" s="19" t="s">
        <v>118</v>
      </c>
      <c r="C278" s="19" t="s">
        <v>119</v>
      </c>
      <c r="D278" s="19" t="s">
        <v>44</v>
      </c>
      <c r="E278" s="19">
        <v>67</v>
      </c>
      <c r="F278" s="20">
        <v>150</v>
      </c>
    </row>
    <row r="279" spans="1:6" x14ac:dyDescent="0.3">
      <c r="A279" s="19" t="s">
        <v>29</v>
      </c>
      <c r="B279" s="19" t="s">
        <v>118</v>
      </c>
      <c r="C279" s="19" t="s">
        <v>119</v>
      </c>
      <c r="D279" s="19" t="s">
        <v>44</v>
      </c>
      <c r="E279" s="19">
        <v>59</v>
      </c>
      <c r="F279" s="20">
        <v>150</v>
      </c>
    </row>
    <row r="280" spans="1:6" x14ac:dyDescent="0.3">
      <c r="A280" s="19" t="s">
        <v>31</v>
      </c>
      <c r="B280" s="19" t="s">
        <v>118</v>
      </c>
      <c r="C280" s="19" t="s">
        <v>119</v>
      </c>
      <c r="D280" s="19" t="s">
        <v>44</v>
      </c>
      <c r="E280" s="19">
        <v>73</v>
      </c>
      <c r="F280" s="20">
        <v>150</v>
      </c>
    </row>
    <row r="281" spans="1:6" x14ac:dyDescent="0.3">
      <c r="A281" s="19" t="s">
        <v>33</v>
      </c>
      <c r="B281" s="19" t="s">
        <v>118</v>
      </c>
      <c r="C281" s="19" t="s">
        <v>119</v>
      </c>
      <c r="D281" s="19" t="s">
        <v>44</v>
      </c>
      <c r="E281" s="19">
        <v>57</v>
      </c>
      <c r="F281" s="20">
        <v>150</v>
      </c>
    </row>
    <row r="282" spans="1:6" x14ac:dyDescent="0.3">
      <c r="A282" s="19" t="s">
        <v>35</v>
      </c>
      <c r="B282" s="19" t="s">
        <v>118</v>
      </c>
      <c r="C282" s="19" t="s">
        <v>119</v>
      </c>
      <c r="D282" s="19" t="s">
        <v>44</v>
      </c>
      <c r="E282" s="19">
        <v>65</v>
      </c>
      <c r="F282" s="20">
        <v>150</v>
      </c>
    </row>
    <row r="283" spans="1:6" x14ac:dyDescent="0.3">
      <c r="A283" s="19" t="s">
        <v>37</v>
      </c>
      <c r="B283" s="19" t="s">
        <v>118</v>
      </c>
      <c r="C283" s="19" t="s">
        <v>119</v>
      </c>
      <c r="D283" s="19" t="s">
        <v>44</v>
      </c>
      <c r="E283" s="19">
        <v>61</v>
      </c>
      <c r="F283" s="20">
        <v>150</v>
      </c>
    </row>
    <row r="284" spans="1:6" x14ac:dyDescent="0.3">
      <c r="A284" s="19" t="s">
        <v>39</v>
      </c>
      <c r="B284" s="19" t="s">
        <v>118</v>
      </c>
      <c r="C284" s="19" t="s">
        <v>119</v>
      </c>
      <c r="D284" s="19" t="s">
        <v>44</v>
      </c>
      <c r="E284" s="19">
        <v>63</v>
      </c>
      <c r="F284" s="20">
        <v>150</v>
      </c>
    </row>
    <row r="285" spans="1:6" x14ac:dyDescent="0.3">
      <c r="A285" s="19" t="s">
        <v>41</v>
      </c>
      <c r="B285" s="19" t="s">
        <v>118</v>
      </c>
      <c r="C285" s="19" t="s">
        <v>119</v>
      </c>
      <c r="D285" s="19" t="s">
        <v>44</v>
      </c>
      <c r="E285" s="19">
        <v>62</v>
      </c>
      <c r="F285" s="20">
        <v>150</v>
      </c>
    </row>
    <row r="286" spans="1:6" x14ac:dyDescent="0.3">
      <c r="A286" s="19" t="s">
        <v>43</v>
      </c>
      <c r="B286" s="19" t="s">
        <v>118</v>
      </c>
      <c r="C286" s="19" t="s">
        <v>119</v>
      </c>
      <c r="D286" s="19" t="s">
        <v>44</v>
      </c>
      <c r="E286" s="19">
        <v>73</v>
      </c>
      <c r="F286" s="20">
        <v>150</v>
      </c>
    </row>
    <row r="287" spans="1:6" x14ac:dyDescent="0.3">
      <c r="A287" s="19" t="s">
        <v>45</v>
      </c>
      <c r="B287" s="19" t="s">
        <v>118</v>
      </c>
      <c r="C287" s="19" t="s">
        <v>119</v>
      </c>
      <c r="D287" s="19" t="s">
        <v>44</v>
      </c>
      <c r="E287" s="19">
        <v>108</v>
      </c>
      <c r="F287" s="20">
        <v>150</v>
      </c>
    </row>
    <row r="288" spans="1:6" x14ac:dyDescent="0.3">
      <c r="A288" s="19" t="s">
        <v>47</v>
      </c>
      <c r="B288" s="19" t="s">
        <v>118</v>
      </c>
      <c r="C288" s="19" t="s">
        <v>119</v>
      </c>
      <c r="D288" s="19" t="s">
        <v>44</v>
      </c>
      <c r="E288" s="19">
        <v>72</v>
      </c>
      <c r="F288" s="20">
        <v>150</v>
      </c>
    </row>
    <row r="289" spans="1:6" x14ac:dyDescent="0.3">
      <c r="A289" s="19" t="s">
        <v>49</v>
      </c>
      <c r="B289" s="19" t="s">
        <v>118</v>
      </c>
      <c r="C289" s="19" t="s">
        <v>119</v>
      </c>
      <c r="D289" s="19" t="s">
        <v>44</v>
      </c>
      <c r="E289" s="19">
        <v>69</v>
      </c>
      <c r="F289" s="20">
        <v>150</v>
      </c>
    </row>
    <row r="290" spans="1:6" x14ac:dyDescent="0.3">
      <c r="A290" s="19" t="s">
        <v>27</v>
      </c>
      <c r="B290" s="19" t="s">
        <v>120</v>
      </c>
      <c r="C290" s="19" t="s">
        <v>121</v>
      </c>
      <c r="D290" s="19" t="s">
        <v>44</v>
      </c>
      <c r="E290" s="19">
        <v>106</v>
      </c>
      <c r="F290" s="20">
        <v>100</v>
      </c>
    </row>
    <row r="291" spans="1:6" x14ac:dyDescent="0.3">
      <c r="A291" s="19" t="s">
        <v>29</v>
      </c>
      <c r="B291" s="19" t="s">
        <v>120</v>
      </c>
      <c r="C291" s="19" t="s">
        <v>121</v>
      </c>
      <c r="D291" s="19" t="s">
        <v>44</v>
      </c>
      <c r="E291" s="19">
        <v>122</v>
      </c>
      <c r="F291" s="20">
        <v>100</v>
      </c>
    </row>
    <row r="292" spans="1:6" x14ac:dyDescent="0.3">
      <c r="A292" s="19" t="s">
        <v>31</v>
      </c>
      <c r="B292" s="19" t="s">
        <v>120</v>
      </c>
      <c r="C292" s="19" t="s">
        <v>121</v>
      </c>
      <c r="D292" s="19" t="s">
        <v>44</v>
      </c>
      <c r="E292" s="19">
        <v>106</v>
      </c>
      <c r="F292" s="20">
        <v>100</v>
      </c>
    </row>
    <row r="293" spans="1:6" x14ac:dyDescent="0.3">
      <c r="A293" s="19" t="s">
        <v>33</v>
      </c>
      <c r="B293" s="19" t="s">
        <v>120</v>
      </c>
      <c r="C293" s="19" t="s">
        <v>121</v>
      </c>
      <c r="D293" s="19" t="s">
        <v>44</v>
      </c>
      <c r="E293" s="19">
        <v>133</v>
      </c>
      <c r="F293" s="20">
        <v>100</v>
      </c>
    </row>
    <row r="294" spans="1:6" x14ac:dyDescent="0.3">
      <c r="A294" s="19" t="s">
        <v>35</v>
      </c>
      <c r="B294" s="19" t="s">
        <v>120</v>
      </c>
      <c r="C294" s="19" t="s">
        <v>121</v>
      </c>
      <c r="D294" s="19" t="s">
        <v>44</v>
      </c>
      <c r="E294" s="19">
        <v>120</v>
      </c>
      <c r="F294" s="20">
        <v>100</v>
      </c>
    </row>
    <row r="295" spans="1:6" x14ac:dyDescent="0.3">
      <c r="A295" s="19" t="s">
        <v>37</v>
      </c>
      <c r="B295" s="19" t="s">
        <v>120</v>
      </c>
      <c r="C295" s="19" t="s">
        <v>121</v>
      </c>
      <c r="D295" s="19" t="s">
        <v>44</v>
      </c>
      <c r="E295" s="19">
        <v>134</v>
      </c>
      <c r="F295" s="20">
        <v>100</v>
      </c>
    </row>
    <row r="296" spans="1:6" x14ac:dyDescent="0.3">
      <c r="A296" s="19" t="s">
        <v>39</v>
      </c>
      <c r="B296" s="19" t="s">
        <v>120</v>
      </c>
      <c r="C296" s="19" t="s">
        <v>121</v>
      </c>
      <c r="D296" s="19" t="s">
        <v>44</v>
      </c>
      <c r="E296" s="19">
        <v>115</v>
      </c>
      <c r="F296" s="20">
        <v>100</v>
      </c>
    </row>
    <row r="297" spans="1:6" x14ac:dyDescent="0.3">
      <c r="A297" s="19" t="s">
        <v>41</v>
      </c>
      <c r="B297" s="19" t="s">
        <v>120</v>
      </c>
      <c r="C297" s="19" t="s">
        <v>121</v>
      </c>
      <c r="D297" s="19" t="s">
        <v>44</v>
      </c>
      <c r="E297" s="19">
        <v>120</v>
      </c>
      <c r="F297" s="20">
        <v>100</v>
      </c>
    </row>
    <row r="298" spans="1:6" x14ac:dyDescent="0.3">
      <c r="A298" s="19" t="s">
        <v>43</v>
      </c>
      <c r="B298" s="19" t="s">
        <v>120</v>
      </c>
      <c r="C298" s="19" t="s">
        <v>121</v>
      </c>
      <c r="D298" s="19" t="s">
        <v>44</v>
      </c>
      <c r="E298" s="19">
        <v>101</v>
      </c>
      <c r="F298" s="20">
        <v>100</v>
      </c>
    </row>
    <row r="299" spans="1:6" x14ac:dyDescent="0.3">
      <c r="A299" s="19" t="s">
        <v>45</v>
      </c>
      <c r="B299" s="19" t="s">
        <v>120</v>
      </c>
      <c r="C299" s="19" t="s">
        <v>121</v>
      </c>
      <c r="D299" s="19" t="s">
        <v>44</v>
      </c>
      <c r="E299" s="19">
        <v>214</v>
      </c>
      <c r="F299" s="20">
        <v>100</v>
      </c>
    </row>
    <row r="300" spans="1:6" x14ac:dyDescent="0.3">
      <c r="A300" s="19" t="s">
        <v>47</v>
      </c>
      <c r="B300" s="19" t="s">
        <v>120</v>
      </c>
      <c r="C300" s="19" t="s">
        <v>121</v>
      </c>
      <c r="D300" s="19" t="s">
        <v>44</v>
      </c>
      <c r="E300" s="19">
        <v>138</v>
      </c>
      <c r="F300" s="20">
        <v>100</v>
      </c>
    </row>
    <row r="301" spans="1:6" x14ac:dyDescent="0.3">
      <c r="A301" s="19" t="s">
        <v>49</v>
      </c>
      <c r="B301" s="19" t="s">
        <v>120</v>
      </c>
      <c r="C301" s="19" t="s">
        <v>121</v>
      </c>
      <c r="D301" s="19" t="s">
        <v>44</v>
      </c>
      <c r="E301" s="19">
        <v>131</v>
      </c>
      <c r="F301" s="20">
        <v>100</v>
      </c>
    </row>
    <row r="302" spans="1:6" x14ac:dyDescent="0.3">
      <c r="A302" s="19" t="s">
        <v>27</v>
      </c>
      <c r="B302" s="19" t="s">
        <v>122</v>
      </c>
      <c r="C302" s="19" t="s">
        <v>123</v>
      </c>
      <c r="D302" s="19" t="s">
        <v>28</v>
      </c>
      <c r="E302" s="19">
        <v>14</v>
      </c>
      <c r="F302" s="20">
        <v>120</v>
      </c>
    </row>
    <row r="303" spans="1:6" x14ac:dyDescent="0.3">
      <c r="A303" s="19" t="s">
        <v>29</v>
      </c>
      <c r="B303" s="19" t="s">
        <v>122</v>
      </c>
      <c r="C303" s="19" t="s">
        <v>123</v>
      </c>
      <c r="D303" s="19" t="s">
        <v>28</v>
      </c>
      <c r="E303" s="19">
        <v>12</v>
      </c>
      <c r="F303" s="20">
        <v>120</v>
      </c>
    </row>
    <row r="304" spans="1:6" x14ac:dyDescent="0.3">
      <c r="A304" s="19" t="s">
        <v>31</v>
      </c>
      <c r="B304" s="19" t="s">
        <v>122</v>
      </c>
      <c r="C304" s="19" t="s">
        <v>123</v>
      </c>
      <c r="D304" s="19" t="s">
        <v>28</v>
      </c>
      <c r="E304" s="19">
        <v>16</v>
      </c>
      <c r="F304" s="20">
        <v>120</v>
      </c>
    </row>
    <row r="305" spans="1:6" x14ac:dyDescent="0.3">
      <c r="A305" s="19" t="s">
        <v>33</v>
      </c>
      <c r="B305" s="19" t="s">
        <v>122</v>
      </c>
      <c r="C305" s="19" t="s">
        <v>123</v>
      </c>
      <c r="D305" s="19" t="s">
        <v>28</v>
      </c>
      <c r="E305" s="19">
        <v>16</v>
      </c>
      <c r="F305" s="20">
        <v>120</v>
      </c>
    </row>
    <row r="306" spans="1:6" x14ac:dyDescent="0.3">
      <c r="A306" s="19" t="s">
        <v>35</v>
      </c>
      <c r="B306" s="19" t="s">
        <v>122</v>
      </c>
      <c r="C306" s="19" t="s">
        <v>123</v>
      </c>
      <c r="D306" s="19" t="s">
        <v>28</v>
      </c>
      <c r="E306" s="19">
        <v>12</v>
      </c>
      <c r="F306" s="20">
        <v>120</v>
      </c>
    </row>
    <row r="307" spans="1:6" x14ac:dyDescent="0.3">
      <c r="A307" s="19" t="s">
        <v>37</v>
      </c>
      <c r="B307" s="19" t="s">
        <v>122</v>
      </c>
      <c r="C307" s="19" t="s">
        <v>123</v>
      </c>
      <c r="D307" s="19" t="s">
        <v>28</v>
      </c>
      <c r="E307" s="19">
        <v>14</v>
      </c>
      <c r="F307" s="20">
        <v>120</v>
      </c>
    </row>
    <row r="308" spans="1:6" x14ac:dyDescent="0.3">
      <c r="A308" s="19" t="s">
        <v>39</v>
      </c>
      <c r="B308" s="19" t="s">
        <v>122</v>
      </c>
      <c r="C308" s="19" t="s">
        <v>123</v>
      </c>
      <c r="D308" s="19" t="s">
        <v>28</v>
      </c>
      <c r="E308" s="19">
        <v>16</v>
      </c>
      <c r="F308" s="20">
        <v>120</v>
      </c>
    </row>
    <row r="309" spans="1:6" x14ac:dyDescent="0.3">
      <c r="A309" s="19" t="s">
        <v>41</v>
      </c>
      <c r="B309" s="19" t="s">
        <v>122</v>
      </c>
      <c r="C309" s="19" t="s">
        <v>123</v>
      </c>
      <c r="D309" s="19" t="s">
        <v>28</v>
      </c>
      <c r="E309" s="19">
        <v>15</v>
      </c>
      <c r="F309" s="20">
        <v>120</v>
      </c>
    </row>
    <row r="310" spans="1:6" x14ac:dyDescent="0.3">
      <c r="A310" s="19" t="s">
        <v>43</v>
      </c>
      <c r="B310" s="19" t="s">
        <v>122</v>
      </c>
      <c r="C310" s="19" t="s">
        <v>123</v>
      </c>
      <c r="D310" s="19" t="s">
        <v>28</v>
      </c>
      <c r="E310" s="19">
        <v>15</v>
      </c>
      <c r="F310" s="20">
        <v>120</v>
      </c>
    </row>
    <row r="311" spans="1:6" x14ac:dyDescent="0.3">
      <c r="A311" s="19" t="s">
        <v>45</v>
      </c>
      <c r="B311" s="19" t="s">
        <v>122</v>
      </c>
      <c r="C311" s="19" t="s">
        <v>123</v>
      </c>
      <c r="D311" s="19" t="s">
        <v>28</v>
      </c>
      <c r="E311" s="19">
        <v>23</v>
      </c>
      <c r="F311" s="20">
        <v>120</v>
      </c>
    </row>
    <row r="312" spans="1:6" x14ac:dyDescent="0.3">
      <c r="A312" s="19" t="s">
        <v>47</v>
      </c>
      <c r="B312" s="19" t="s">
        <v>122</v>
      </c>
      <c r="C312" s="19" t="s">
        <v>123</v>
      </c>
      <c r="D312" s="19" t="s">
        <v>28</v>
      </c>
      <c r="E312" s="19">
        <v>17</v>
      </c>
      <c r="F312" s="20">
        <v>120</v>
      </c>
    </row>
    <row r="313" spans="1:6" x14ac:dyDescent="0.3">
      <c r="A313" s="19" t="s">
        <v>49</v>
      </c>
      <c r="B313" s="19" t="s">
        <v>122</v>
      </c>
      <c r="C313" s="19" t="s">
        <v>123</v>
      </c>
      <c r="D313" s="19" t="s">
        <v>28</v>
      </c>
      <c r="E313" s="19">
        <v>12</v>
      </c>
      <c r="F313" s="20">
        <v>120</v>
      </c>
    </row>
    <row r="314" spans="1:6" x14ac:dyDescent="0.3">
      <c r="A314" s="19" t="s">
        <v>27</v>
      </c>
      <c r="B314" s="19" t="s">
        <v>124</v>
      </c>
      <c r="C314" s="19" t="s">
        <v>125</v>
      </c>
      <c r="D314" s="19" t="s">
        <v>28</v>
      </c>
      <c r="E314" s="19">
        <v>15</v>
      </c>
      <c r="F314" s="20">
        <v>250</v>
      </c>
    </row>
    <row r="315" spans="1:6" x14ac:dyDescent="0.3">
      <c r="A315" s="19" t="s">
        <v>29</v>
      </c>
      <c r="B315" s="19" t="s">
        <v>124</v>
      </c>
      <c r="C315" s="19" t="s">
        <v>125</v>
      </c>
      <c r="D315" s="19" t="s">
        <v>28</v>
      </c>
      <c r="E315" s="19">
        <v>14</v>
      </c>
      <c r="F315" s="20">
        <v>250</v>
      </c>
    </row>
    <row r="316" spans="1:6" x14ac:dyDescent="0.3">
      <c r="A316" s="19" t="s">
        <v>31</v>
      </c>
      <c r="B316" s="19" t="s">
        <v>124</v>
      </c>
      <c r="C316" s="19" t="s">
        <v>125</v>
      </c>
      <c r="D316" s="19" t="s">
        <v>28</v>
      </c>
      <c r="E316" s="19">
        <v>16</v>
      </c>
      <c r="F316" s="20">
        <v>250</v>
      </c>
    </row>
    <row r="317" spans="1:6" x14ac:dyDescent="0.3">
      <c r="A317" s="19" t="s">
        <v>33</v>
      </c>
      <c r="B317" s="19" t="s">
        <v>124</v>
      </c>
      <c r="C317" s="19" t="s">
        <v>125</v>
      </c>
      <c r="D317" s="19" t="s">
        <v>28</v>
      </c>
      <c r="E317" s="19">
        <v>18</v>
      </c>
      <c r="F317" s="20">
        <v>250</v>
      </c>
    </row>
    <row r="318" spans="1:6" x14ac:dyDescent="0.3">
      <c r="A318" s="19" t="s">
        <v>35</v>
      </c>
      <c r="B318" s="19" t="s">
        <v>124</v>
      </c>
      <c r="C318" s="19" t="s">
        <v>125</v>
      </c>
      <c r="D318" s="19" t="s">
        <v>28</v>
      </c>
      <c r="E318" s="19">
        <v>14</v>
      </c>
      <c r="F318" s="20">
        <v>250</v>
      </c>
    </row>
    <row r="319" spans="1:6" x14ac:dyDescent="0.3">
      <c r="A319" s="19" t="s">
        <v>37</v>
      </c>
      <c r="B319" s="19" t="s">
        <v>124</v>
      </c>
      <c r="C319" s="19" t="s">
        <v>125</v>
      </c>
      <c r="D319" s="19" t="s">
        <v>28</v>
      </c>
      <c r="E319" s="19">
        <v>17</v>
      </c>
      <c r="F319" s="20">
        <v>250</v>
      </c>
    </row>
    <row r="320" spans="1:6" x14ac:dyDescent="0.3">
      <c r="A320" s="19" t="s">
        <v>39</v>
      </c>
      <c r="B320" s="19" t="s">
        <v>124</v>
      </c>
      <c r="C320" s="19" t="s">
        <v>125</v>
      </c>
      <c r="D320" s="19" t="s">
        <v>28</v>
      </c>
      <c r="E320" s="19">
        <v>18</v>
      </c>
      <c r="F320" s="20">
        <v>250</v>
      </c>
    </row>
    <row r="321" spans="1:6" x14ac:dyDescent="0.3">
      <c r="A321" s="19" t="s">
        <v>41</v>
      </c>
      <c r="B321" s="19" t="s">
        <v>124</v>
      </c>
      <c r="C321" s="19" t="s">
        <v>125</v>
      </c>
      <c r="D321" s="19" t="s">
        <v>28</v>
      </c>
      <c r="E321" s="19">
        <v>15</v>
      </c>
      <c r="F321" s="20">
        <v>250</v>
      </c>
    </row>
    <row r="322" spans="1:6" x14ac:dyDescent="0.3">
      <c r="A322" s="19" t="s">
        <v>43</v>
      </c>
      <c r="B322" s="19" t="s">
        <v>124</v>
      </c>
      <c r="C322" s="19" t="s">
        <v>125</v>
      </c>
      <c r="D322" s="19" t="s">
        <v>28</v>
      </c>
      <c r="E322" s="19">
        <v>18</v>
      </c>
      <c r="F322" s="20">
        <v>250</v>
      </c>
    </row>
    <row r="323" spans="1:6" x14ac:dyDescent="0.3">
      <c r="A323" s="19" t="s">
        <v>45</v>
      </c>
      <c r="B323" s="19" t="s">
        <v>124</v>
      </c>
      <c r="C323" s="19" t="s">
        <v>125</v>
      </c>
      <c r="D323" s="19" t="s">
        <v>28</v>
      </c>
      <c r="E323" s="19">
        <v>25</v>
      </c>
      <c r="F323" s="20">
        <v>250</v>
      </c>
    </row>
    <row r="324" spans="1:6" x14ac:dyDescent="0.3">
      <c r="A324" s="19" t="s">
        <v>47</v>
      </c>
      <c r="B324" s="19" t="s">
        <v>124</v>
      </c>
      <c r="C324" s="19" t="s">
        <v>125</v>
      </c>
      <c r="D324" s="19" t="s">
        <v>28</v>
      </c>
      <c r="E324" s="19">
        <v>18</v>
      </c>
      <c r="F324" s="20">
        <v>250</v>
      </c>
    </row>
    <row r="325" spans="1:6" x14ac:dyDescent="0.3">
      <c r="A325" s="19" t="s">
        <v>49</v>
      </c>
      <c r="B325" s="19" t="s">
        <v>124</v>
      </c>
      <c r="C325" s="19" t="s">
        <v>125</v>
      </c>
      <c r="D325" s="19" t="s">
        <v>28</v>
      </c>
      <c r="E325" s="19">
        <v>18</v>
      </c>
      <c r="F325" s="20">
        <v>250</v>
      </c>
    </row>
    <row r="326" spans="1:6" x14ac:dyDescent="0.3">
      <c r="A326" s="19" t="s">
        <v>27</v>
      </c>
      <c r="B326" s="19" t="s">
        <v>126</v>
      </c>
      <c r="C326" s="19" t="s">
        <v>127</v>
      </c>
      <c r="D326" s="19" t="s">
        <v>28</v>
      </c>
      <c r="E326" s="19">
        <v>36</v>
      </c>
      <c r="F326" s="20">
        <v>300</v>
      </c>
    </row>
    <row r="327" spans="1:6" x14ac:dyDescent="0.3">
      <c r="A327" s="19" t="s">
        <v>29</v>
      </c>
      <c r="B327" s="19" t="s">
        <v>126</v>
      </c>
      <c r="C327" s="19" t="s">
        <v>127</v>
      </c>
      <c r="D327" s="19" t="s">
        <v>28</v>
      </c>
      <c r="E327" s="19">
        <v>34</v>
      </c>
      <c r="F327" s="20">
        <v>300</v>
      </c>
    </row>
    <row r="328" spans="1:6" x14ac:dyDescent="0.3">
      <c r="A328" s="19" t="s">
        <v>31</v>
      </c>
      <c r="B328" s="19" t="s">
        <v>126</v>
      </c>
      <c r="C328" s="19" t="s">
        <v>127</v>
      </c>
      <c r="D328" s="19" t="s">
        <v>28</v>
      </c>
      <c r="E328" s="19">
        <v>37</v>
      </c>
      <c r="F328" s="20">
        <v>300</v>
      </c>
    </row>
    <row r="329" spans="1:6" x14ac:dyDescent="0.3">
      <c r="A329" s="19" t="s">
        <v>33</v>
      </c>
      <c r="B329" s="19" t="s">
        <v>126</v>
      </c>
      <c r="C329" s="19" t="s">
        <v>127</v>
      </c>
      <c r="D329" s="19" t="s">
        <v>28</v>
      </c>
      <c r="E329" s="19">
        <v>38</v>
      </c>
      <c r="F329" s="20">
        <v>300</v>
      </c>
    </row>
    <row r="330" spans="1:6" x14ac:dyDescent="0.3">
      <c r="A330" s="19" t="s">
        <v>35</v>
      </c>
      <c r="B330" s="19" t="s">
        <v>126</v>
      </c>
      <c r="C330" s="19" t="s">
        <v>127</v>
      </c>
      <c r="D330" s="19" t="s">
        <v>28</v>
      </c>
      <c r="E330" s="19">
        <v>33</v>
      </c>
      <c r="F330" s="20">
        <v>300</v>
      </c>
    </row>
    <row r="331" spans="1:6" x14ac:dyDescent="0.3">
      <c r="A331" s="19" t="s">
        <v>37</v>
      </c>
      <c r="B331" s="19" t="s">
        <v>126</v>
      </c>
      <c r="C331" s="19" t="s">
        <v>127</v>
      </c>
      <c r="D331" s="19" t="s">
        <v>28</v>
      </c>
      <c r="E331" s="19">
        <v>41</v>
      </c>
      <c r="F331" s="20">
        <v>300</v>
      </c>
    </row>
    <row r="332" spans="1:6" x14ac:dyDescent="0.3">
      <c r="A332" s="19" t="s">
        <v>39</v>
      </c>
      <c r="B332" s="19" t="s">
        <v>126</v>
      </c>
      <c r="C332" s="19" t="s">
        <v>127</v>
      </c>
      <c r="D332" s="19" t="s">
        <v>28</v>
      </c>
      <c r="E332" s="19">
        <v>40</v>
      </c>
      <c r="F332" s="20">
        <v>300</v>
      </c>
    </row>
    <row r="333" spans="1:6" x14ac:dyDescent="0.3">
      <c r="A333" s="19" t="s">
        <v>41</v>
      </c>
      <c r="B333" s="19" t="s">
        <v>126</v>
      </c>
      <c r="C333" s="19" t="s">
        <v>127</v>
      </c>
      <c r="D333" s="19" t="s">
        <v>28</v>
      </c>
      <c r="E333" s="19">
        <v>32</v>
      </c>
      <c r="F333" s="20">
        <v>300</v>
      </c>
    </row>
    <row r="334" spans="1:6" x14ac:dyDescent="0.3">
      <c r="A334" s="19" t="s">
        <v>43</v>
      </c>
      <c r="B334" s="19" t="s">
        <v>126</v>
      </c>
      <c r="C334" s="19" t="s">
        <v>127</v>
      </c>
      <c r="D334" s="19" t="s">
        <v>28</v>
      </c>
      <c r="E334" s="19">
        <v>39</v>
      </c>
      <c r="F334" s="20">
        <v>300</v>
      </c>
    </row>
    <row r="335" spans="1:6" x14ac:dyDescent="0.3">
      <c r="A335" s="19" t="s">
        <v>45</v>
      </c>
      <c r="B335" s="19" t="s">
        <v>126</v>
      </c>
      <c r="C335" s="19" t="s">
        <v>127</v>
      </c>
      <c r="D335" s="19" t="s">
        <v>28</v>
      </c>
      <c r="E335" s="19">
        <v>57</v>
      </c>
      <c r="F335" s="20">
        <v>300</v>
      </c>
    </row>
    <row r="336" spans="1:6" x14ac:dyDescent="0.3">
      <c r="A336" s="19" t="s">
        <v>47</v>
      </c>
      <c r="B336" s="19" t="s">
        <v>126</v>
      </c>
      <c r="C336" s="19" t="s">
        <v>127</v>
      </c>
      <c r="D336" s="19" t="s">
        <v>28</v>
      </c>
      <c r="E336" s="19">
        <v>48</v>
      </c>
      <c r="F336" s="20">
        <v>300</v>
      </c>
    </row>
    <row r="337" spans="1:6" x14ac:dyDescent="0.3">
      <c r="A337" s="19" t="s">
        <v>49</v>
      </c>
      <c r="B337" s="19" t="s">
        <v>126</v>
      </c>
      <c r="C337" s="19" t="s">
        <v>127</v>
      </c>
      <c r="D337" s="19" t="s">
        <v>28</v>
      </c>
      <c r="E337" s="19">
        <v>39</v>
      </c>
      <c r="F337" s="20">
        <v>300</v>
      </c>
    </row>
    <row r="338" spans="1:6" x14ac:dyDescent="0.3">
      <c r="A338" s="19" t="s">
        <v>27</v>
      </c>
      <c r="B338" s="19" t="s">
        <v>128</v>
      </c>
      <c r="C338" s="19" t="s">
        <v>129</v>
      </c>
      <c r="D338" s="19" t="s">
        <v>28</v>
      </c>
      <c r="E338" s="19">
        <v>20</v>
      </c>
      <c r="F338" s="20">
        <v>600</v>
      </c>
    </row>
    <row r="339" spans="1:6" x14ac:dyDescent="0.3">
      <c r="A339" s="19" t="s">
        <v>29</v>
      </c>
      <c r="B339" s="19" t="s">
        <v>128</v>
      </c>
      <c r="C339" s="19" t="s">
        <v>129</v>
      </c>
      <c r="D339" s="19" t="s">
        <v>28</v>
      </c>
      <c r="E339" s="19">
        <v>24</v>
      </c>
      <c r="F339" s="20">
        <v>600</v>
      </c>
    </row>
    <row r="340" spans="1:6" x14ac:dyDescent="0.3">
      <c r="A340" s="19" t="s">
        <v>31</v>
      </c>
      <c r="B340" s="19" t="s">
        <v>128</v>
      </c>
      <c r="C340" s="19" t="s">
        <v>129</v>
      </c>
      <c r="D340" s="19" t="s">
        <v>28</v>
      </c>
      <c r="E340" s="19">
        <v>23</v>
      </c>
      <c r="F340" s="20">
        <v>600</v>
      </c>
    </row>
    <row r="341" spans="1:6" x14ac:dyDescent="0.3">
      <c r="A341" s="19" t="s">
        <v>33</v>
      </c>
      <c r="B341" s="19" t="s">
        <v>128</v>
      </c>
      <c r="C341" s="19" t="s">
        <v>129</v>
      </c>
      <c r="D341" s="19" t="s">
        <v>28</v>
      </c>
      <c r="E341" s="19">
        <v>26</v>
      </c>
      <c r="F341" s="20">
        <v>600</v>
      </c>
    </row>
    <row r="342" spans="1:6" x14ac:dyDescent="0.3">
      <c r="A342" s="19" t="s">
        <v>35</v>
      </c>
      <c r="B342" s="19" t="s">
        <v>128</v>
      </c>
      <c r="C342" s="19" t="s">
        <v>129</v>
      </c>
      <c r="D342" s="19" t="s">
        <v>28</v>
      </c>
      <c r="E342" s="19">
        <v>25</v>
      </c>
      <c r="F342" s="20">
        <v>600</v>
      </c>
    </row>
    <row r="343" spans="1:6" x14ac:dyDescent="0.3">
      <c r="A343" s="19" t="s">
        <v>37</v>
      </c>
      <c r="B343" s="19" t="s">
        <v>128</v>
      </c>
      <c r="C343" s="19" t="s">
        <v>129</v>
      </c>
      <c r="D343" s="19" t="s">
        <v>28</v>
      </c>
      <c r="E343" s="19">
        <v>24</v>
      </c>
      <c r="F343" s="20">
        <v>600</v>
      </c>
    </row>
    <row r="344" spans="1:6" x14ac:dyDescent="0.3">
      <c r="A344" s="19" t="s">
        <v>39</v>
      </c>
      <c r="B344" s="19" t="s">
        <v>128</v>
      </c>
      <c r="C344" s="19" t="s">
        <v>129</v>
      </c>
      <c r="D344" s="19" t="s">
        <v>28</v>
      </c>
      <c r="E344" s="19">
        <v>20</v>
      </c>
      <c r="F344" s="20">
        <v>600</v>
      </c>
    </row>
    <row r="345" spans="1:6" x14ac:dyDescent="0.3">
      <c r="A345" s="19" t="s">
        <v>41</v>
      </c>
      <c r="B345" s="19" t="s">
        <v>128</v>
      </c>
      <c r="C345" s="19" t="s">
        <v>129</v>
      </c>
      <c r="D345" s="19" t="s">
        <v>28</v>
      </c>
      <c r="E345" s="19">
        <v>25</v>
      </c>
      <c r="F345" s="20">
        <v>600</v>
      </c>
    </row>
    <row r="346" spans="1:6" x14ac:dyDescent="0.3">
      <c r="A346" s="19" t="s">
        <v>43</v>
      </c>
      <c r="B346" s="19" t="s">
        <v>128</v>
      </c>
      <c r="C346" s="19" t="s">
        <v>129</v>
      </c>
      <c r="D346" s="19" t="s">
        <v>28</v>
      </c>
      <c r="E346" s="19">
        <v>21</v>
      </c>
      <c r="F346" s="20">
        <v>600</v>
      </c>
    </row>
    <row r="347" spans="1:6" x14ac:dyDescent="0.3">
      <c r="A347" s="19" t="s">
        <v>45</v>
      </c>
      <c r="B347" s="19" t="s">
        <v>128</v>
      </c>
      <c r="C347" s="19" t="s">
        <v>129</v>
      </c>
      <c r="D347" s="19" t="s">
        <v>28</v>
      </c>
      <c r="E347" s="19">
        <v>32</v>
      </c>
      <c r="F347" s="20">
        <v>600</v>
      </c>
    </row>
    <row r="348" spans="1:6" x14ac:dyDescent="0.3">
      <c r="A348" s="19" t="s">
        <v>47</v>
      </c>
      <c r="B348" s="19" t="s">
        <v>128</v>
      </c>
      <c r="C348" s="19" t="s">
        <v>129</v>
      </c>
      <c r="D348" s="19" t="s">
        <v>28</v>
      </c>
      <c r="E348" s="19">
        <v>25</v>
      </c>
      <c r="F348" s="20">
        <v>600</v>
      </c>
    </row>
    <row r="349" spans="1:6" x14ac:dyDescent="0.3">
      <c r="A349" s="19" t="s">
        <v>49</v>
      </c>
      <c r="B349" s="19" t="s">
        <v>128</v>
      </c>
      <c r="C349" s="19" t="s">
        <v>129</v>
      </c>
      <c r="D349" s="19" t="s">
        <v>28</v>
      </c>
      <c r="E349" s="19">
        <v>23</v>
      </c>
      <c r="F349" s="20">
        <v>600</v>
      </c>
    </row>
    <row r="350" spans="1:6" x14ac:dyDescent="0.3">
      <c r="A350" s="19" t="s">
        <v>27</v>
      </c>
      <c r="B350" s="19" t="s">
        <v>130</v>
      </c>
      <c r="C350" s="19" t="s">
        <v>131</v>
      </c>
      <c r="D350" s="19" t="s">
        <v>28</v>
      </c>
      <c r="E350" s="19">
        <v>23</v>
      </c>
      <c r="F350" s="20">
        <v>350</v>
      </c>
    </row>
    <row r="351" spans="1:6" x14ac:dyDescent="0.3">
      <c r="A351" s="19" t="s">
        <v>29</v>
      </c>
      <c r="B351" s="19" t="s">
        <v>130</v>
      </c>
      <c r="C351" s="19" t="s">
        <v>131</v>
      </c>
      <c r="D351" s="19" t="s">
        <v>28</v>
      </c>
      <c r="E351" s="19">
        <v>29</v>
      </c>
      <c r="F351" s="20">
        <v>350</v>
      </c>
    </row>
    <row r="352" spans="1:6" x14ac:dyDescent="0.3">
      <c r="A352" s="19" t="s">
        <v>31</v>
      </c>
      <c r="B352" s="19" t="s">
        <v>130</v>
      </c>
      <c r="C352" s="19" t="s">
        <v>131</v>
      </c>
      <c r="D352" s="19" t="s">
        <v>28</v>
      </c>
      <c r="E352" s="19">
        <v>26</v>
      </c>
      <c r="F352" s="20">
        <v>350</v>
      </c>
    </row>
    <row r="353" spans="1:6" x14ac:dyDescent="0.3">
      <c r="A353" s="19" t="s">
        <v>33</v>
      </c>
      <c r="B353" s="19" t="s">
        <v>130</v>
      </c>
      <c r="C353" s="19" t="s">
        <v>131</v>
      </c>
      <c r="D353" s="19" t="s">
        <v>28</v>
      </c>
      <c r="E353" s="19">
        <v>28</v>
      </c>
      <c r="F353" s="20">
        <v>350</v>
      </c>
    </row>
    <row r="354" spans="1:6" x14ac:dyDescent="0.3">
      <c r="A354" s="19" t="s">
        <v>35</v>
      </c>
      <c r="B354" s="19" t="s">
        <v>130</v>
      </c>
      <c r="C354" s="19" t="s">
        <v>131</v>
      </c>
      <c r="D354" s="19" t="s">
        <v>28</v>
      </c>
      <c r="E354" s="19">
        <v>26</v>
      </c>
      <c r="F354" s="20">
        <v>350</v>
      </c>
    </row>
    <row r="355" spans="1:6" x14ac:dyDescent="0.3">
      <c r="A355" s="19" t="s">
        <v>37</v>
      </c>
      <c r="B355" s="19" t="s">
        <v>130</v>
      </c>
      <c r="C355" s="19" t="s">
        <v>131</v>
      </c>
      <c r="D355" s="19" t="s">
        <v>28</v>
      </c>
      <c r="E355" s="19">
        <v>24</v>
      </c>
      <c r="F355" s="20">
        <v>350</v>
      </c>
    </row>
    <row r="356" spans="1:6" x14ac:dyDescent="0.3">
      <c r="A356" s="19" t="s">
        <v>39</v>
      </c>
      <c r="B356" s="19" t="s">
        <v>130</v>
      </c>
      <c r="C356" s="19" t="s">
        <v>131</v>
      </c>
      <c r="D356" s="19" t="s">
        <v>28</v>
      </c>
      <c r="E356" s="19">
        <v>25</v>
      </c>
      <c r="F356" s="20">
        <v>350</v>
      </c>
    </row>
    <row r="357" spans="1:6" x14ac:dyDescent="0.3">
      <c r="A357" s="19" t="s">
        <v>41</v>
      </c>
      <c r="B357" s="19" t="s">
        <v>130</v>
      </c>
      <c r="C357" s="19" t="s">
        <v>131</v>
      </c>
      <c r="D357" s="19" t="s">
        <v>28</v>
      </c>
      <c r="E357" s="19">
        <v>30</v>
      </c>
      <c r="F357" s="20">
        <v>350</v>
      </c>
    </row>
    <row r="358" spans="1:6" x14ac:dyDescent="0.3">
      <c r="A358" s="19" t="s">
        <v>43</v>
      </c>
      <c r="B358" s="19" t="s">
        <v>130</v>
      </c>
      <c r="C358" s="19" t="s">
        <v>131</v>
      </c>
      <c r="D358" s="19" t="s">
        <v>28</v>
      </c>
      <c r="E358" s="19">
        <v>23</v>
      </c>
      <c r="F358" s="20">
        <v>350</v>
      </c>
    </row>
    <row r="359" spans="1:6" x14ac:dyDescent="0.3">
      <c r="A359" s="19" t="s">
        <v>45</v>
      </c>
      <c r="B359" s="19" t="s">
        <v>130</v>
      </c>
      <c r="C359" s="19" t="s">
        <v>131</v>
      </c>
      <c r="D359" s="19" t="s">
        <v>28</v>
      </c>
      <c r="E359" s="19">
        <v>44</v>
      </c>
      <c r="F359" s="20">
        <v>350</v>
      </c>
    </row>
    <row r="360" spans="1:6" x14ac:dyDescent="0.3">
      <c r="A360" s="19" t="s">
        <v>47</v>
      </c>
      <c r="B360" s="19" t="s">
        <v>130</v>
      </c>
      <c r="C360" s="19" t="s">
        <v>131</v>
      </c>
      <c r="D360" s="19" t="s">
        <v>28</v>
      </c>
      <c r="E360" s="19">
        <v>32</v>
      </c>
      <c r="F360" s="20">
        <v>350</v>
      </c>
    </row>
    <row r="361" spans="1:6" x14ac:dyDescent="0.3">
      <c r="A361" s="19" t="s">
        <v>49</v>
      </c>
      <c r="B361" s="19" t="s">
        <v>130</v>
      </c>
      <c r="C361" s="19" t="s">
        <v>131</v>
      </c>
      <c r="D361" s="19" t="s">
        <v>28</v>
      </c>
      <c r="E361" s="19">
        <v>25</v>
      </c>
      <c r="F361" s="20">
        <v>350</v>
      </c>
    </row>
    <row r="362" spans="1:6" x14ac:dyDescent="0.3">
      <c r="A362" s="19" t="s">
        <v>27</v>
      </c>
      <c r="B362" s="19" t="s">
        <v>132</v>
      </c>
      <c r="C362" s="19" t="s">
        <v>133</v>
      </c>
      <c r="D362" s="19" t="s">
        <v>40</v>
      </c>
      <c r="E362" s="19">
        <v>28</v>
      </c>
      <c r="F362" s="20">
        <v>900</v>
      </c>
    </row>
    <row r="363" spans="1:6" x14ac:dyDescent="0.3">
      <c r="A363" s="19" t="s">
        <v>29</v>
      </c>
      <c r="B363" s="19" t="s">
        <v>132</v>
      </c>
      <c r="C363" s="19" t="s">
        <v>133</v>
      </c>
      <c r="D363" s="19" t="s">
        <v>40</v>
      </c>
      <c r="E363" s="19">
        <v>26</v>
      </c>
      <c r="F363" s="20">
        <v>900</v>
      </c>
    </row>
    <row r="364" spans="1:6" x14ac:dyDescent="0.3">
      <c r="A364" s="19" t="s">
        <v>31</v>
      </c>
      <c r="B364" s="19" t="s">
        <v>132</v>
      </c>
      <c r="C364" s="19" t="s">
        <v>133</v>
      </c>
      <c r="D364" s="19" t="s">
        <v>40</v>
      </c>
      <c r="E364" s="19">
        <v>25</v>
      </c>
      <c r="F364" s="20">
        <v>900</v>
      </c>
    </row>
    <row r="365" spans="1:6" x14ac:dyDescent="0.3">
      <c r="A365" s="19" t="s">
        <v>33</v>
      </c>
      <c r="B365" s="19" t="s">
        <v>132</v>
      </c>
      <c r="C365" s="19" t="s">
        <v>133</v>
      </c>
      <c r="D365" s="19" t="s">
        <v>40</v>
      </c>
      <c r="E365" s="19">
        <v>30</v>
      </c>
      <c r="F365" s="20">
        <v>900</v>
      </c>
    </row>
    <row r="366" spans="1:6" x14ac:dyDescent="0.3">
      <c r="A366" s="19" t="s">
        <v>35</v>
      </c>
      <c r="B366" s="19" t="s">
        <v>132</v>
      </c>
      <c r="C366" s="19" t="s">
        <v>133</v>
      </c>
      <c r="D366" s="19" t="s">
        <v>40</v>
      </c>
      <c r="E366" s="19">
        <v>30</v>
      </c>
      <c r="F366" s="20">
        <v>900</v>
      </c>
    </row>
    <row r="367" spans="1:6" x14ac:dyDescent="0.3">
      <c r="A367" s="19" t="s">
        <v>37</v>
      </c>
      <c r="B367" s="19" t="s">
        <v>132</v>
      </c>
      <c r="C367" s="19" t="s">
        <v>133</v>
      </c>
      <c r="D367" s="19" t="s">
        <v>40</v>
      </c>
      <c r="E367" s="19">
        <v>24</v>
      </c>
      <c r="F367" s="20">
        <v>900</v>
      </c>
    </row>
    <row r="368" spans="1:6" x14ac:dyDescent="0.3">
      <c r="A368" s="19" t="s">
        <v>39</v>
      </c>
      <c r="B368" s="19" t="s">
        <v>132</v>
      </c>
      <c r="C368" s="19" t="s">
        <v>133</v>
      </c>
      <c r="D368" s="19" t="s">
        <v>40</v>
      </c>
      <c r="E368" s="19">
        <v>31</v>
      </c>
      <c r="F368" s="20">
        <v>900</v>
      </c>
    </row>
    <row r="369" spans="1:6" x14ac:dyDescent="0.3">
      <c r="A369" s="19" t="s">
        <v>41</v>
      </c>
      <c r="B369" s="19" t="s">
        <v>132</v>
      </c>
      <c r="C369" s="19" t="s">
        <v>133</v>
      </c>
      <c r="D369" s="19" t="s">
        <v>40</v>
      </c>
      <c r="E369" s="19">
        <v>30</v>
      </c>
      <c r="F369" s="20">
        <v>900</v>
      </c>
    </row>
    <row r="370" spans="1:6" x14ac:dyDescent="0.3">
      <c r="A370" s="19" t="s">
        <v>43</v>
      </c>
      <c r="B370" s="19" t="s">
        <v>132</v>
      </c>
      <c r="C370" s="19" t="s">
        <v>133</v>
      </c>
      <c r="D370" s="19" t="s">
        <v>40</v>
      </c>
      <c r="E370" s="19">
        <v>25</v>
      </c>
      <c r="F370" s="20">
        <v>900</v>
      </c>
    </row>
    <row r="371" spans="1:6" x14ac:dyDescent="0.3">
      <c r="A371" s="19" t="s">
        <v>45</v>
      </c>
      <c r="B371" s="19" t="s">
        <v>132</v>
      </c>
      <c r="C371" s="19" t="s">
        <v>133</v>
      </c>
      <c r="D371" s="19" t="s">
        <v>40</v>
      </c>
      <c r="E371" s="19">
        <v>43</v>
      </c>
      <c r="F371" s="20">
        <v>900</v>
      </c>
    </row>
    <row r="372" spans="1:6" x14ac:dyDescent="0.3">
      <c r="A372" s="19" t="s">
        <v>47</v>
      </c>
      <c r="B372" s="19" t="s">
        <v>132</v>
      </c>
      <c r="C372" s="19" t="s">
        <v>133</v>
      </c>
      <c r="D372" s="19" t="s">
        <v>40</v>
      </c>
      <c r="E372" s="19">
        <v>30</v>
      </c>
      <c r="F372" s="20">
        <v>900</v>
      </c>
    </row>
    <row r="373" spans="1:6" x14ac:dyDescent="0.3">
      <c r="A373" s="19" t="s">
        <v>49</v>
      </c>
      <c r="B373" s="19" t="s">
        <v>132</v>
      </c>
      <c r="C373" s="19" t="s">
        <v>133</v>
      </c>
      <c r="D373" s="19" t="s">
        <v>40</v>
      </c>
      <c r="E373" s="19">
        <v>28</v>
      </c>
      <c r="F373" s="20">
        <v>900</v>
      </c>
    </row>
    <row r="374" spans="1:6" x14ac:dyDescent="0.3">
      <c r="A374" s="19" t="s">
        <v>27</v>
      </c>
      <c r="B374" s="19" t="s">
        <v>134</v>
      </c>
      <c r="C374" s="19" t="s">
        <v>135</v>
      </c>
      <c r="D374" s="19" t="s">
        <v>40</v>
      </c>
      <c r="E374" s="19">
        <v>28</v>
      </c>
      <c r="F374" s="20">
        <v>500</v>
      </c>
    </row>
    <row r="375" spans="1:6" x14ac:dyDescent="0.3">
      <c r="A375" s="19" t="s">
        <v>29</v>
      </c>
      <c r="B375" s="19" t="s">
        <v>134</v>
      </c>
      <c r="C375" s="19" t="s">
        <v>135</v>
      </c>
      <c r="D375" s="19" t="s">
        <v>40</v>
      </c>
      <c r="E375" s="19">
        <v>26</v>
      </c>
      <c r="F375" s="20">
        <v>500</v>
      </c>
    </row>
    <row r="376" spans="1:6" x14ac:dyDescent="0.3">
      <c r="A376" s="19" t="s">
        <v>31</v>
      </c>
      <c r="B376" s="19" t="s">
        <v>134</v>
      </c>
      <c r="C376" s="19" t="s">
        <v>135</v>
      </c>
      <c r="D376" s="19" t="s">
        <v>40</v>
      </c>
      <c r="E376" s="19">
        <v>24</v>
      </c>
      <c r="F376" s="20">
        <v>500</v>
      </c>
    </row>
    <row r="377" spans="1:6" x14ac:dyDescent="0.3">
      <c r="A377" s="19" t="s">
        <v>33</v>
      </c>
      <c r="B377" s="19" t="s">
        <v>134</v>
      </c>
      <c r="C377" s="19" t="s">
        <v>135</v>
      </c>
      <c r="D377" s="19" t="s">
        <v>40</v>
      </c>
      <c r="E377" s="19">
        <v>26</v>
      </c>
      <c r="F377" s="20">
        <v>500</v>
      </c>
    </row>
    <row r="378" spans="1:6" x14ac:dyDescent="0.3">
      <c r="A378" s="19" t="s">
        <v>35</v>
      </c>
      <c r="B378" s="19" t="s">
        <v>134</v>
      </c>
      <c r="C378" s="19" t="s">
        <v>135</v>
      </c>
      <c r="D378" s="19" t="s">
        <v>40</v>
      </c>
      <c r="E378" s="19">
        <v>24</v>
      </c>
      <c r="F378" s="20">
        <v>500</v>
      </c>
    </row>
    <row r="379" spans="1:6" x14ac:dyDescent="0.3">
      <c r="A379" s="19" t="s">
        <v>37</v>
      </c>
      <c r="B379" s="19" t="s">
        <v>134</v>
      </c>
      <c r="C379" s="19" t="s">
        <v>135</v>
      </c>
      <c r="D379" s="19" t="s">
        <v>40</v>
      </c>
      <c r="E379" s="19">
        <v>22</v>
      </c>
      <c r="F379" s="20">
        <v>500</v>
      </c>
    </row>
    <row r="380" spans="1:6" x14ac:dyDescent="0.3">
      <c r="A380" s="19" t="s">
        <v>39</v>
      </c>
      <c r="B380" s="19" t="s">
        <v>134</v>
      </c>
      <c r="C380" s="19" t="s">
        <v>135</v>
      </c>
      <c r="D380" s="19" t="s">
        <v>40</v>
      </c>
      <c r="E380" s="19">
        <v>23</v>
      </c>
      <c r="F380" s="20">
        <v>500</v>
      </c>
    </row>
    <row r="381" spans="1:6" x14ac:dyDescent="0.3">
      <c r="A381" s="19" t="s">
        <v>41</v>
      </c>
      <c r="B381" s="19" t="s">
        <v>134</v>
      </c>
      <c r="C381" s="19" t="s">
        <v>135</v>
      </c>
      <c r="D381" s="19" t="s">
        <v>40</v>
      </c>
      <c r="E381" s="19">
        <v>22</v>
      </c>
      <c r="F381" s="20">
        <v>500</v>
      </c>
    </row>
    <row r="382" spans="1:6" x14ac:dyDescent="0.3">
      <c r="A382" s="19" t="s">
        <v>43</v>
      </c>
      <c r="B382" s="19" t="s">
        <v>134</v>
      </c>
      <c r="C382" s="19" t="s">
        <v>135</v>
      </c>
      <c r="D382" s="19" t="s">
        <v>40</v>
      </c>
      <c r="E382" s="19">
        <v>23</v>
      </c>
      <c r="F382" s="20">
        <v>500</v>
      </c>
    </row>
    <row r="383" spans="1:6" x14ac:dyDescent="0.3">
      <c r="A383" s="19" t="s">
        <v>45</v>
      </c>
      <c r="B383" s="19" t="s">
        <v>134</v>
      </c>
      <c r="C383" s="19" t="s">
        <v>135</v>
      </c>
      <c r="D383" s="19" t="s">
        <v>40</v>
      </c>
      <c r="E383" s="19">
        <v>43</v>
      </c>
      <c r="F383" s="20">
        <v>500</v>
      </c>
    </row>
    <row r="384" spans="1:6" x14ac:dyDescent="0.3">
      <c r="A384" s="19" t="s">
        <v>47</v>
      </c>
      <c r="B384" s="19" t="s">
        <v>134</v>
      </c>
      <c r="C384" s="19" t="s">
        <v>135</v>
      </c>
      <c r="D384" s="19" t="s">
        <v>40</v>
      </c>
      <c r="E384" s="19">
        <v>28</v>
      </c>
      <c r="F384" s="20">
        <v>500</v>
      </c>
    </row>
    <row r="385" spans="1:6" x14ac:dyDescent="0.3">
      <c r="A385" s="19" t="s">
        <v>49</v>
      </c>
      <c r="B385" s="19" t="s">
        <v>134</v>
      </c>
      <c r="C385" s="19" t="s">
        <v>135</v>
      </c>
      <c r="D385" s="19" t="s">
        <v>40</v>
      </c>
      <c r="E385" s="19">
        <v>21</v>
      </c>
      <c r="F385" s="20">
        <v>500</v>
      </c>
    </row>
    <row r="386" spans="1:6" x14ac:dyDescent="0.3">
      <c r="A386" s="19" t="s">
        <v>27</v>
      </c>
      <c r="B386" s="19" t="s">
        <v>136</v>
      </c>
      <c r="C386" s="19" t="s">
        <v>137</v>
      </c>
      <c r="D386" s="19" t="s">
        <v>40</v>
      </c>
      <c r="E386" s="19">
        <v>32</v>
      </c>
      <c r="F386" s="20">
        <v>400</v>
      </c>
    </row>
    <row r="387" spans="1:6" x14ac:dyDescent="0.3">
      <c r="A387" s="19" t="s">
        <v>29</v>
      </c>
      <c r="B387" s="19" t="s">
        <v>136</v>
      </c>
      <c r="C387" s="19" t="s">
        <v>137</v>
      </c>
      <c r="D387" s="19" t="s">
        <v>40</v>
      </c>
      <c r="E387" s="19">
        <v>35</v>
      </c>
      <c r="F387" s="20">
        <v>400</v>
      </c>
    </row>
    <row r="388" spans="1:6" x14ac:dyDescent="0.3">
      <c r="A388" s="19" t="s">
        <v>31</v>
      </c>
      <c r="B388" s="19" t="s">
        <v>136</v>
      </c>
      <c r="C388" s="19" t="s">
        <v>137</v>
      </c>
      <c r="D388" s="19" t="s">
        <v>40</v>
      </c>
      <c r="E388" s="19">
        <v>29</v>
      </c>
      <c r="F388" s="20">
        <v>400</v>
      </c>
    </row>
    <row r="389" spans="1:6" x14ac:dyDescent="0.3">
      <c r="A389" s="19" t="s">
        <v>33</v>
      </c>
      <c r="B389" s="19" t="s">
        <v>136</v>
      </c>
      <c r="C389" s="19" t="s">
        <v>137</v>
      </c>
      <c r="D389" s="19" t="s">
        <v>40</v>
      </c>
      <c r="E389" s="19">
        <v>31</v>
      </c>
      <c r="F389" s="20">
        <v>400</v>
      </c>
    </row>
    <row r="390" spans="1:6" x14ac:dyDescent="0.3">
      <c r="A390" s="19" t="s">
        <v>35</v>
      </c>
      <c r="B390" s="19" t="s">
        <v>136</v>
      </c>
      <c r="C390" s="19" t="s">
        <v>137</v>
      </c>
      <c r="D390" s="19" t="s">
        <v>40</v>
      </c>
      <c r="E390" s="19">
        <v>33</v>
      </c>
      <c r="F390" s="20">
        <v>400</v>
      </c>
    </row>
    <row r="391" spans="1:6" x14ac:dyDescent="0.3">
      <c r="A391" s="19" t="s">
        <v>37</v>
      </c>
      <c r="B391" s="19" t="s">
        <v>136</v>
      </c>
      <c r="C391" s="19" t="s">
        <v>137</v>
      </c>
      <c r="D391" s="19" t="s">
        <v>40</v>
      </c>
      <c r="E391" s="19">
        <v>28</v>
      </c>
      <c r="F391" s="20">
        <v>400</v>
      </c>
    </row>
    <row r="392" spans="1:6" x14ac:dyDescent="0.3">
      <c r="A392" s="19" t="s">
        <v>39</v>
      </c>
      <c r="B392" s="19" t="s">
        <v>136</v>
      </c>
      <c r="C392" s="19" t="s">
        <v>137</v>
      </c>
      <c r="D392" s="19" t="s">
        <v>40</v>
      </c>
      <c r="E392" s="19">
        <v>31</v>
      </c>
      <c r="F392" s="20">
        <v>400</v>
      </c>
    </row>
    <row r="393" spans="1:6" x14ac:dyDescent="0.3">
      <c r="A393" s="19" t="s">
        <v>41</v>
      </c>
      <c r="B393" s="19" t="s">
        <v>136</v>
      </c>
      <c r="C393" s="19" t="s">
        <v>137</v>
      </c>
      <c r="D393" s="19" t="s">
        <v>40</v>
      </c>
      <c r="E393" s="19">
        <v>29</v>
      </c>
      <c r="F393" s="20">
        <v>400</v>
      </c>
    </row>
    <row r="394" spans="1:6" x14ac:dyDescent="0.3">
      <c r="A394" s="19" t="s">
        <v>43</v>
      </c>
      <c r="B394" s="19" t="s">
        <v>136</v>
      </c>
      <c r="C394" s="19" t="s">
        <v>137</v>
      </c>
      <c r="D394" s="19" t="s">
        <v>40</v>
      </c>
      <c r="E394" s="19">
        <v>34</v>
      </c>
      <c r="F394" s="20">
        <v>400</v>
      </c>
    </row>
    <row r="395" spans="1:6" x14ac:dyDescent="0.3">
      <c r="A395" s="19" t="s">
        <v>45</v>
      </c>
      <c r="B395" s="19" t="s">
        <v>136</v>
      </c>
      <c r="C395" s="19" t="s">
        <v>137</v>
      </c>
      <c r="D395" s="19" t="s">
        <v>40</v>
      </c>
      <c r="E395" s="19">
        <v>47</v>
      </c>
      <c r="F395" s="20">
        <v>400</v>
      </c>
    </row>
    <row r="396" spans="1:6" x14ac:dyDescent="0.3">
      <c r="A396" s="19" t="s">
        <v>47</v>
      </c>
      <c r="B396" s="19" t="s">
        <v>136</v>
      </c>
      <c r="C396" s="19" t="s">
        <v>137</v>
      </c>
      <c r="D396" s="19" t="s">
        <v>40</v>
      </c>
      <c r="E396" s="19">
        <v>36</v>
      </c>
      <c r="F396" s="20">
        <v>400</v>
      </c>
    </row>
    <row r="397" spans="1:6" x14ac:dyDescent="0.3">
      <c r="A397" s="19" t="s">
        <v>49</v>
      </c>
      <c r="B397" s="19" t="s">
        <v>136</v>
      </c>
      <c r="C397" s="19" t="s">
        <v>137</v>
      </c>
      <c r="D397" s="19" t="s">
        <v>40</v>
      </c>
      <c r="E397" s="19">
        <v>31</v>
      </c>
      <c r="F397" s="20">
        <v>400</v>
      </c>
    </row>
    <row r="398" spans="1:6" x14ac:dyDescent="0.3">
      <c r="A398" s="19" t="s">
        <v>27</v>
      </c>
      <c r="B398" s="19" t="s">
        <v>138</v>
      </c>
      <c r="C398" s="19" t="s">
        <v>139</v>
      </c>
      <c r="D398" s="19" t="s">
        <v>40</v>
      </c>
      <c r="E398" s="19">
        <v>24</v>
      </c>
      <c r="F398" s="20">
        <v>800</v>
      </c>
    </row>
    <row r="399" spans="1:6" x14ac:dyDescent="0.3">
      <c r="A399" s="19" t="s">
        <v>29</v>
      </c>
      <c r="B399" s="19" t="s">
        <v>138</v>
      </c>
      <c r="C399" s="19" t="s">
        <v>139</v>
      </c>
      <c r="D399" s="19" t="s">
        <v>40</v>
      </c>
      <c r="E399" s="19">
        <v>20</v>
      </c>
      <c r="F399" s="20">
        <v>800</v>
      </c>
    </row>
    <row r="400" spans="1:6" x14ac:dyDescent="0.3">
      <c r="A400" s="19" t="s">
        <v>31</v>
      </c>
      <c r="B400" s="19" t="s">
        <v>138</v>
      </c>
      <c r="C400" s="19" t="s">
        <v>139</v>
      </c>
      <c r="D400" s="19" t="s">
        <v>40</v>
      </c>
      <c r="E400" s="19">
        <v>22</v>
      </c>
      <c r="F400" s="20">
        <v>800</v>
      </c>
    </row>
    <row r="401" spans="1:6" x14ac:dyDescent="0.3">
      <c r="A401" s="19" t="s">
        <v>33</v>
      </c>
      <c r="B401" s="19" t="s">
        <v>138</v>
      </c>
      <c r="C401" s="19" t="s">
        <v>139</v>
      </c>
      <c r="D401" s="19" t="s">
        <v>40</v>
      </c>
      <c r="E401" s="19">
        <v>23</v>
      </c>
      <c r="F401" s="20">
        <v>800</v>
      </c>
    </row>
    <row r="402" spans="1:6" x14ac:dyDescent="0.3">
      <c r="A402" s="19" t="s">
        <v>35</v>
      </c>
      <c r="B402" s="19" t="s">
        <v>138</v>
      </c>
      <c r="C402" s="19" t="s">
        <v>139</v>
      </c>
      <c r="D402" s="19" t="s">
        <v>40</v>
      </c>
      <c r="E402" s="19">
        <v>23</v>
      </c>
      <c r="F402" s="20">
        <v>800</v>
      </c>
    </row>
    <row r="403" spans="1:6" x14ac:dyDescent="0.3">
      <c r="A403" s="19" t="s">
        <v>37</v>
      </c>
      <c r="B403" s="19" t="s">
        <v>138</v>
      </c>
      <c r="C403" s="19" t="s">
        <v>139</v>
      </c>
      <c r="D403" s="19" t="s">
        <v>40</v>
      </c>
      <c r="E403" s="19">
        <v>24</v>
      </c>
      <c r="F403" s="20">
        <v>800</v>
      </c>
    </row>
    <row r="404" spans="1:6" x14ac:dyDescent="0.3">
      <c r="A404" s="19" t="s">
        <v>39</v>
      </c>
      <c r="B404" s="19" t="s">
        <v>138</v>
      </c>
      <c r="C404" s="19" t="s">
        <v>139</v>
      </c>
      <c r="D404" s="19" t="s">
        <v>40</v>
      </c>
      <c r="E404" s="19">
        <v>26</v>
      </c>
      <c r="F404" s="20">
        <v>800</v>
      </c>
    </row>
    <row r="405" spans="1:6" x14ac:dyDescent="0.3">
      <c r="A405" s="19" t="s">
        <v>41</v>
      </c>
      <c r="B405" s="19" t="s">
        <v>138</v>
      </c>
      <c r="C405" s="19" t="s">
        <v>139</v>
      </c>
      <c r="D405" s="19" t="s">
        <v>40</v>
      </c>
      <c r="E405" s="19">
        <v>24</v>
      </c>
      <c r="F405" s="20">
        <v>800</v>
      </c>
    </row>
    <row r="406" spans="1:6" x14ac:dyDescent="0.3">
      <c r="A406" s="19" t="s">
        <v>43</v>
      </c>
      <c r="B406" s="19" t="s">
        <v>138</v>
      </c>
      <c r="C406" s="19" t="s">
        <v>139</v>
      </c>
      <c r="D406" s="19" t="s">
        <v>40</v>
      </c>
      <c r="E406" s="19">
        <v>24</v>
      </c>
      <c r="F406" s="20">
        <v>800</v>
      </c>
    </row>
    <row r="407" spans="1:6" x14ac:dyDescent="0.3">
      <c r="A407" s="19" t="s">
        <v>45</v>
      </c>
      <c r="B407" s="19" t="s">
        <v>138</v>
      </c>
      <c r="C407" s="19" t="s">
        <v>139</v>
      </c>
      <c r="D407" s="19" t="s">
        <v>40</v>
      </c>
      <c r="E407" s="19">
        <v>41</v>
      </c>
      <c r="F407" s="20">
        <v>800</v>
      </c>
    </row>
    <row r="408" spans="1:6" x14ac:dyDescent="0.3">
      <c r="A408" s="19" t="s">
        <v>47</v>
      </c>
      <c r="B408" s="19" t="s">
        <v>138</v>
      </c>
      <c r="C408" s="19" t="s">
        <v>139</v>
      </c>
      <c r="D408" s="19" t="s">
        <v>40</v>
      </c>
      <c r="E408" s="19">
        <v>26</v>
      </c>
      <c r="F408" s="20">
        <v>800</v>
      </c>
    </row>
    <row r="409" spans="1:6" x14ac:dyDescent="0.3">
      <c r="A409" s="19" t="s">
        <v>49</v>
      </c>
      <c r="B409" s="19" t="s">
        <v>138</v>
      </c>
      <c r="C409" s="19" t="s">
        <v>139</v>
      </c>
      <c r="D409" s="19" t="s">
        <v>40</v>
      </c>
      <c r="E409" s="19">
        <v>23</v>
      </c>
      <c r="F409" s="20">
        <v>800</v>
      </c>
    </row>
    <row r="410" spans="1:6" x14ac:dyDescent="0.3">
      <c r="A410" s="19" t="s">
        <v>27</v>
      </c>
      <c r="B410" s="19" t="s">
        <v>140</v>
      </c>
      <c r="C410" s="19" t="s">
        <v>141</v>
      </c>
      <c r="D410" s="19" t="s">
        <v>40</v>
      </c>
      <c r="E410" s="19">
        <v>6</v>
      </c>
      <c r="F410" s="20">
        <v>1400</v>
      </c>
    </row>
    <row r="411" spans="1:6" x14ac:dyDescent="0.3">
      <c r="A411" s="19" t="s">
        <v>29</v>
      </c>
      <c r="B411" s="19" t="s">
        <v>140</v>
      </c>
      <c r="C411" s="19" t="s">
        <v>141</v>
      </c>
      <c r="D411" s="19" t="s">
        <v>40</v>
      </c>
      <c r="E411" s="19">
        <v>7</v>
      </c>
      <c r="F411" s="20">
        <v>1400</v>
      </c>
    </row>
    <row r="412" spans="1:6" x14ac:dyDescent="0.3">
      <c r="A412" s="19" t="s">
        <v>31</v>
      </c>
      <c r="B412" s="19" t="s">
        <v>140</v>
      </c>
      <c r="C412" s="19" t="s">
        <v>141</v>
      </c>
      <c r="D412" s="19" t="s">
        <v>40</v>
      </c>
      <c r="E412" s="19">
        <v>6</v>
      </c>
      <c r="F412" s="20">
        <v>1400</v>
      </c>
    </row>
    <row r="413" spans="1:6" x14ac:dyDescent="0.3">
      <c r="A413" s="19" t="s">
        <v>33</v>
      </c>
      <c r="B413" s="19" t="s">
        <v>140</v>
      </c>
      <c r="C413" s="19" t="s">
        <v>141</v>
      </c>
      <c r="D413" s="19" t="s">
        <v>40</v>
      </c>
      <c r="E413" s="19">
        <v>6</v>
      </c>
      <c r="F413" s="20">
        <v>1400</v>
      </c>
    </row>
    <row r="414" spans="1:6" x14ac:dyDescent="0.3">
      <c r="A414" s="19" t="s">
        <v>35</v>
      </c>
      <c r="B414" s="19" t="s">
        <v>140</v>
      </c>
      <c r="C414" s="19" t="s">
        <v>141</v>
      </c>
      <c r="D414" s="19" t="s">
        <v>40</v>
      </c>
      <c r="E414" s="19">
        <v>6</v>
      </c>
      <c r="F414" s="20">
        <v>1400</v>
      </c>
    </row>
    <row r="415" spans="1:6" x14ac:dyDescent="0.3">
      <c r="A415" s="19" t="s">
        <v>37</v>
      </c>
      <c r="B415" s="19" t="s">
        <v>140</v>
      </c>
      <c r="C415" s="19" t="s">
        <v>141</v>
      </c>
      <c r="D415" s="19" t="s">
        <v>40</v>
      </c>
      <c r="E415" s="19">
        <v>6</v>
      </c>
      <c r="F415" s="20">
        <v>1400</v>
      </c>
    </row>
    <row r="416" spans="1:6" x14ac:dyDescent="0.3">
      <c r="A416" s="19" t="s">
        <v>39</v>
      </c>
      <c r="B416" s="19" t="s">
        <v>140</v>
      </c>
      <c r="C416" s="19" t="s">
        <v>141</v>
      </c>
      <c r="D416" s="19" t="s">
        <v>40</v>
      </c>
      <c r="E416" s="19">
        <v>6</v>
      </c>
      <c r="F416" s="20">
        <v>1400</v>
      </c>
    </row>
    <row r="417" spans="1:6" x14ac:dyDescent="0.3">
      <c r="A417" s="19" t="s">
        <v>41</v>
      </c>
      <c r="B417" s="19" t="s">
        <v>140</v>
      </c>
      <c r="C417" s="19" t="s">
        <v>141</v>
      </c>
      <c r="D417" s="19" t="s">
        <v>40</v>
      </c>
      <c r="E417" s="19">
        <v>6</v>
      </c>
      <c r="F417" s="20">
        <v>1400</v>
      </c>
    </row>
    <row r="418" spans="1:6" x14ac:dyDescent="0.3">
      <c r="A418" s="19" t="s">
        <v>43</v>
      </c>
      <c r="B418" s="19" t="s">
        <v>140</v>
      </c>
      <c r="C418" s="19" t="s">
        <v>141</v>
      </c>
      <c r="D418" s="19" t="s">
        <v>40</v>
      </c>
      <c r="E418" s="19">
        <v>6</v>
      </c>
      <c r="F418" s="20">
        <v>1400</v>
      </c>
    </row>
    <row r="419" spans="1:6" x14ac:dyDescent="0.3">
      <c r="A419" s="19" t="s">
        <v>45</v>
      </c>
      <c r="B419" s="19" t="s">
        <v>140</v>
      </c>
      <c r="C419" s="19" t="s">
        <v>141</v>
      </c>
      <c r="D419" s="19" t="s">
        <v>40</v>
      </c>
      <c r="E419" s="19">
        <v>11</v>
      </c>
      <c r="F419" s="20">
        <v>1400</v>
      </c>
    </row>
    <row r="420" spans="1:6" x14ac:dyDescent="0.3">
      <c r="A420" s="19" t="s">
        <v>47</v>
      </c>
      <c r="B420" s="19" t="s">
        <v>140</v>
      </c>
      <c r="C420" s="19" t="s">
        <v>141</v>
      </c>
      <c r="D420" s="19" t="s">
        <v>40</v>
      </c>
      <c r="E420" s="19">
        <v>7</v>
      </c>
      <c r="F420" s="20">
        <v>1400</v>
      </c>
    </row>
    <row r="421" spans="1:6" x14ac:dyDescent="0.3">
      <c r="A421" s="19" t="s">
        <v>49</v>
      </c>
      <c r="B421" s="19" t="s">
        <v>140</v>
      </c>
      <c r="C421" s="19" t="s">
        <v>141</v>
      </c>
      <c r="D421" s="19" t="s">
        <v>40</v>
      </c>
      <c r="E421" s="19">
        <v>7</v>
      </c>
      <c r="F421" s="20">
        <v>1400</v>
      </c>
    </row>
    <row r="422" spans="1:6" x14ac:dyDescent="0.3">
      <c r="A422" s="19" t="s">
        <v>27</v>
      </c>
      <c r="B422" s="19" t="s">
        <v>142</v>
      </c>
      <c r="C422" s="19" t="s">
        <v>143</v>
      </c>
      <c r="D422" s="19" t="s">
        <v>48</v>
      </c>
      <c r="E422" s="19">
        <v>16</v>
      </c>
      <c r="F422" s="20">
        <v>200</v>
      </c>
    </row>
    <row r="423" spans="1:6" x14ac:dyDescent="0.3">
      <c r="A423" s="19" t="s">
        <v>29</v>
      </c>
      <c r="B423" s="19" t="s">
        <v>142</v>
      </c>
      <c r="C423" s="19" t="s">
        <v>143</v>
      </c>
      <c r="D423" s="19" t="s">
        <v>48</v>
      </c>
      <c r="E423" s="19">
        <v>18</v>
      </c>
      <c r="F423" s="20">
        <v>200</v>
      </c>
    </row>
    <row r="424" spans="1:6" x14ac:dyDescent="0.3">
      <c r="A424" s="19" t="s">
        <v>31</v>
      </c>
      <c r="B424" s="19" t="s">
        <v>142</v>
      </c>
      <c r="C424" s="19" t="s">
        <v>143</v>
      </c>
      <c r="D424" s="19" t="s">
        <v>48</v>
      </c>
      <c r="E424" s="19">
        <v>17</v>
      </c>
      <c r="F424" s="20">
        <v>200</v>
      </c>
    </row>
    <row r="425" spans="1:6" x14ac:dyDescent="0.3">
      <c r="A425" s="19" t="s">
        <v>33</v>
      </c>
      <c r="B425" s="19" t="s">
        <v>142</v>
      </c>
      <c r="C425" s="19" t="s">
        <v>143</v>
      </c>
      <c r="D425" s="19" t="s">
        <v>48</v>
      </c>
      <c r="E425" s="19">
        <v>16</v>
      </c>
      <c r="F425" s="20">
        <v>200</v>
      </c>
    </row>
    <row r="426" spans="1:6" x14ac:dyDescent="0.3">
      <c r="A426" s="19" t="s">
        <v>35</v>
      </c>
      <c r="B426" s="19" t="s">
        <v>142</v>
      </c>
      <c r="C426" s="19" t="s">
        <v>143</v>
      </c>
      <c r="D426" s="19" t="s">
        <v>48</v>
      </c>
      <c r="E426" s="19">
        <v>16</v>
      </c>
      <c r="F426" s="20">
        <v>200</v>
      </c>
    </row>
    <row r="427" spans="1:6" x14ac:dyDescent="0.3">
      <c r="A427" s="19" t="s">
        <v>37</v>
      </c>
      <c r="B427" s="19" t="s">
        <v>142</v>
      </c>
      <c r="C427" s="19" t="s">
        <v>143</v>
      </c>
      <c r="D427" s="19" t="s">
        <v>48</v>
      </c>
      <c r="E427" s="19">
        <v>15</v>
      </c>
      <c r="F427" s="20">
        <v>200</v>
      </c>
    </row>
    <row r="428" spans="1:6" x14ac:dyDescent="0.3">
      <c r="A428" s="19" t="s">
        <v>39</v>
      </c>
      <c r="B428" s="19" t="s">
        <v>142</v>
      </c>
      <c r="C428" s="19" t="s">
        <v>143</v>
      </c>
      <c r="D428" s="19" t="s">
        <v>48</v>
      </c>
      <c r="E428" s="19">
        <v>18</v>
      </c>
      <c r="F428" s="20">
        <v>200</v>
      </c>
    </row>
    <row r="429" spans="1:6" x14ac:dyDescent="0.3">
      <c r="A429" s="19" t="s">
        <v>41</v>
      </c>
      <c r="B429" s="19" t="s">
        <v>142</v>
      </c>
      <c r="C429" s="19" t="s">
        <v>143</v>
      </c>
      <c r="D429" s="19" t="s">
        <v>48</v>
      </c>
      <c r="E429" s="19">
        <v>16</v>
      </c>
      <c r="F429" s="20">
        <v>200</v>
      </c>
    </row>
    <row r="430" spans="1:6" x14ac:dyDescent="0.3">
      <c r="A430" s="19" t="s">
        <v>43</v>
      </c>
      <c r="B430" s="19" t="s">
        <v>142</v>
      </c>
      <c r="C430" s="19" t="s">
        <v>143</v>
      </c>
      <c r="D430" s="19" t="s">
        <v>48</v>
      </c>
      <c r="E430" s="19">
        <v>18</v>
      </c>
      <c r="F430" s="20">
        <v>200</v>
      </c>
    </row>
    <row r="431" spans="1:6" x14ac:dyDescent="0.3">
      <c r="A431" s="19" t="s">
        <v>45</v>
      </c>
      <c r="B431" s="19" t="s">
        <v>142</v>
      </c>
      <c r="C431" s="19" t="s">
        <v>143</v>
      </c>
      <c r="D431" s="19" t="s">
        <v>48</v>
      </c>
      <c r="E431" s="19">
        <v>25</v>
      </c>
      <c r="F431" s="20">
        <v>200</v>
      </c>
    </row>
    <row r="432" spans="1:6" x14ac:dyDescent="0.3">
      <c r="A432" s="19" t="s">
        <v>47</v>
      </c>
      <c r="B432" s="19" t="s">
        <v>142</v>
      </c>
      <c r="C432" s="19" t="s">
        <v>143</v>
      </c>
      <c r="D432" s="19" t="s">
        <v>48</v>
      </c>
      <c r="E432" s="19">
        <v>19</v>
      </c>
      <c r="F432" s="20">
        <v>200</v>
      </c>
    </row>
    <row r="433" spans="1:6" x14ac:dyDescent="0.3">
      <c r="A433" s="19" t="s">
        <v>49</v>
      </c>
      <c r="B433" s="19" t="s">
        <v>142</v>
      </c>
      <c r="C433" s="19" t="s">
        <v>143</v>
      </c>
      <c r="D433" s="19" t="s">
        <v>48</v>
      </c>
      <c r="E433" s="19">
        <v>19</v>
      </c>
      <c r="F433" s="20">
        <v>200</v>
      </c>
    </row>
    <row r="434" spans="1:6" x14ac:dyDescent="0.3">
      <c r="A434" s="19" t="s">
        <v>27</v>
      </c>
      <c r="B434" s="19" t="s">
        <v>144</v>
      </c>
      <c r="C434" s="19" t="s">
        <v>145</v>
      </c>
      <c r="D434" s="19" t="s">
        <v>48</v>
      </c>
      <c r="E434" s="19">
        <v>38</v>
      </c>
      <c r="F434" s="20">
        <v>500</v>
      </c>
    </row>
    <row r="435" spans="1:6" x14ac:dyDescent="0.3">
      <c r="A435" s="19" t="s">
        <v>29</v>
      </c>
      <c r="B435" s="19" t="s">
        <v>144</v>
      </c>
      <c r="C435" s="19" t="s">
        <v>145</v>
      </c>
      <c r="D435" s="19" t="s">
        <v>48</v>
      </c>
      <c r="E435" s="19">
        <v>38</v>
      </c>
      <c r="F435" s="20">
        <v>500</v>
      </c>
    </row>
    <row r="436" spans="1:6" x14ac:dyDescent="0.3">
      <c r="A436" s="19" t="s">
        <v>31</v>
      </c>
      <c r="B436" s="19" t="s">
        <v>144</v>
      </c>
      <c r="C436" s="19" t="s">
        <v>145</v>
      </c>
      <c r="D436" s="19" t="s">
        <v>48</v>
      </c>
      <c r="E436" s="19">
        <v>39</v>
      </c>
      <c r="F436" s="20">
        <v>500</v>
      </c>
    </row>
    <row r="437" spans="1:6" x14ac:dyDescent="0.3">
      <c r="A437" s="19" t="s">
        <v>33</v>
      </c>
      <c r="B437" s="19" t="s">
        <v>144</v>
      </c>
      <c r="C437" s="19" t="s">
        <v>145</v>
      </c>
      <c r="D437" s="19" t="s">
        <v>48</v>
      </c>
      <c r="E437" s="19">
        <v>39</v>
      </c>
      <c r="F437" s="20">
        <v>500</v>
      </c>
    </row>
    <row r="438" spans="1:6" x14ac:dyDescent="0.3">
      <c r="A438" s="19" t="s">
        <v>35</v>
      </c>
      <c r="B438" s="19" t="s">
        <v>144</v>
      </c>
      <c r="C438" s="19" t="s">
        <v>145</v>
      </c>
      <c r="D438" s="19" t="s">
        <v>48</v>
      </c>
      <c r="E438" s="19">
        <v>38</v>
      </c>
      <c r="F438" s="20">
        <v>500</v>
      </c>
    </row>
    <row r="439" spans="1:6" x14ac:dyDescent="0.3">
      <c r="A439" s="19" t="s">
        <v>37</v>
      </c>
      <c r="B439" s="19" t="s">
        <v>144</v>
      </c>
      <c r="C439" s="19" t="s">
        <v>145</v>
      </c>
      <c r="D439" s="19" t="s">
        <v>48</v>
      </c>
      <c r="E439" s="19">
        <v>33</v>
      </c>
      <c r="F439" s="20">
        <v>500</v>
      </c>
    </row>
    <row r="440" spans="1:6" x14ac:dyDescent="0.3">
      <c r="A440" s="19" t="s">
        <v>39</v>
      </c>
      <c r="B440" s="19" t="s">
        <v>144</v>
      </c>
      <c r="C440" s="19" t="s">
        <v>145</v>
      </c>
      <c r="D440" s="19" t="s">
        <v>48</v>
      </c>
      <c r="E440" s="19">
        <v>39</v>
      </c>
      <c r="F440" s="20">
        <v>500</v>
      </c>
    </row>
    <row r="441" spans="1:6" x14ac:dyDescent="0.3">
      <c r="A441" s="19" t="s">
        <v>41</v>
      </c>
      <c r="B441" s="19" t="s">
        <v>144</v>
      </c>
      <c r="C441" s="19" t="s">
        <v>145</v>
      </c>
      <c r="D441" s="19" t="s">
        <v>48</v>
      </c>
      <c r="E441" s="19">
        <v>35</v>
      </c>
      <c r="F441" s="20">
        <v>500</v>
      </c>
    </row>
    <row r="442" spans="1:6" x14ac:dyDescent="0.3">
      <c r="A442" s="19" t="s">
        <v>43</v>
      </c>
      <c r="B442" s="19" t="s">
        <v>144</v>
      </c>
      <c r="C442" s="19" t="s">
        <v>145</v>
      </c>
      <c r="D442" s="19" t="s">
        <v>48</v>
      </c>
      <c r="E442" s="19">
        <v>33</v>
      </c>
      <c r="F442" s="20">
        <v>500</v>
      </c>
    </row>
    <row r="443" spans="1:6" x14ac:dyDescent="0.3">
      <c r="A443" s="19" t="s">
        <v>45</v>
      </c>
      <c r="B443" s="19" t="s">
        <v>144</v>
      </c>
      <c r="C443" s="19" t="s">
        <v>145</v>
      </c>
      <c r="D443" s="19" t="s">
        <v>48</v>
      </c>
      <c r="E443" s="19">
        <v>58</v>
      </c>
      <c r="F443" s="20">
        <v>500</v>
      </c>
    </row>
    <row r="444" spans="1:6" x14ac:dyDescent="0.3">
      <c r="A444" s="19" t="s">
        <v>47</v>
      </c>
      <c r="B444" s="19" t="s">
        <v>144</v>
      </c>
      <c r="C444" s="19" t="s">
        <v>145</v>
      </c>
      <c r="D444" s="19" t="s">
        <v>48</v>
      </c>
      <c r="E444" s="19">
        <v>38</v>
      </c>
      <c r="F444" s="20">
        <v>500</v>
      </c>
    </row>
    <row r="445" spans="1:6" x14ac:dyDescent="0.3">
      <c r="A445" s="19" t="s">
        <v>49</v>
      </c>
      <c r="B445" s="19" t="s">
        <v>144</v>
      </c>
      <c r="C445" s="19" t="s">
        <v>145</v>
      </c>
      <c r="D445" s="19" t="s">
        <v>48</v>
      </c>
      <c r="E445" s="19">
        <v>36</v>
      </c>
      <c r="F445" s="20">
        <v>500</v>
      </c>
    </row>
    <row r="446" spans="1:6" x14ac:dyDescent="0.3">
      <c r="A446" s="19" t="s">
        <v>27</v>
      </c>
      <c r="B446" s="19" t="s">
        <v>146</v>
      </c>
      <c r="C446" s="19" t="s">
        <v>147</v>
      </c>
      <c r="D446" s="19" t="s">
        <v>48</v>
      </c>
      <c r="E446" s="19">
        <v>13</v>
      </c>
      <c r="F446" s="20">
        <v>90</v>
      </c>
    </row>
    <row r="447" spans="1:6" x14ac:dyDescent="0.3">
      <c r="A447" s="19" t="s">
        <v>29</v>
      </c>
      <c r="B447" s="19" t="s">
        <v>146</v>
      </c>
      <c r="C447" s="19" t="s">
        <v>147</v>
      </c>
      <c r="D447" s="19" t="s">
        <v>48</v>
      </c>
      <c r="E447" s="19">
        <v>11</v>
      </c>
      <c r="F447" s="20">
        <v>90</v>
      </c>
    </row>
    <row r="448" spans="1:6" x14ac:dyDescent="0.3">
      <c r="A448" s="19" t="s">
        <v>31</v>
      </c>
      <c r="B448" s="19" t="s">
        <v>146</v>
      </c>
      <c r="C448" s="19" t="s">
        <v>147</v>
      </c>
      <c r="D448" s="19" t="s">
        <v>48</v>
      </c>
      <c r="E448" s="19">
        <v>11</v>
      </c>
      <c r="F448" s="20">
        <v>90</v>
      </c>
    </row>
    <row r="449" spans="1:6" x14ac:dyDescent="0.3">
      <c r="A449" s="19" t="s">
        <v>33</v>
      </c>
      <c r="B449" s="19" t="s">
        <v>146</v>
      </c>
      <c r="C449" s="19" t="s">
        <v>147</v>
      </c>
      <c r="D449" s="19" t="s">
        <v>48</v>
      </c>
      <c r="E449" s="19">
        <v>10</v>
      </c>
      <c r="F449" s="20">
        <v>90</v>
      </c>
    </row>
    <row r="450" spans="1:6" x14ac:dyDescent="0.3">
      <c r="A450" s="19" t="s">
        <v>35</v>
      </c>
      <c r="B450" s="19" t="s">
        <v>146</v>
      </c>
      <c r="C450" s="19" t="s">
        <v>147</v>
      </c>
      <c r="D450" s="19" t="s">
        <v>48</v>
      </c>
      <c r="E450" s="19">
        <v>12</v>
      </c>
      <c r="F450" s="20">
        <v>90</v>
      </c>
    </row>
    <row r="451" spans="1:6" x14ac:dyDescent="0.3">
      <c r="A451" s="19" t="s">
        <v>37</v>
      </c>
      <c r="B451" s="19" t="s">
        <v>146</v>
      </c>
      <c r="C451" s="19" t="s">
        <v>147</v>
      </c>
      <c r="D451" s="19" t="s">
        <v>48</v>
      </c>
      <c r="E451" s="19">
        <v>12</v>
      </c>
      <c r="F451" s="20">
        <v>90</v>
      </c>
    </row>
    <row r="452" spans="1:6" x14ac:dyDescent="0.3">
      <c r="A452" s="19" t="s">
        <v>39</v>
      </c>
      <c r="B452" s="19" t="s">
        <v>146</v>
      </c>
      <c r="C452" s="19" t="s">
        <v>147</v>
      </c>
      <c r="D452" s="19" t="s">
        <v>48</v>
      </c>
      <c r="E452" s="19">
        <v>10</v>
      </c>
      <c r="F452" s="20">
        <v>90</v>
      </c>
    </row>
    <row r="453" spans="1:6" x14ac:dyDescent="0.3">
      <c r="A453" s="19" t="s">
        <v>41</v>
      </c>
      <c r="B453" s="19" t="s">
        <v>146</v>
      </c>
      <c r="C453" s="19" t="s">
        <v>147</v>
      </c>
      <c r="D453" s="19" t="s">
        <v>48</v>
      </c>
      <c r="E453" s="19">
        <v>13</v>
      </c>
      <c r="F453" s="20">
        <v>90</v>
      </c>
    </row>
    <row r="454" spans="1:6" x14ac:dyDescent="0.3">
      <c r="A454" s="19" t="s">
        <v>43</v>
      </c>
      <c r="B454" s="19" t="s">
        <v>146</v>
      </c>
      <c r="C454" s="19" t="s">
        <v>147</v>
      </c>
      <c r="D454" s="19" t="s">
        <v>48</v>
      </c>
      <c r="E454" s="19">
        <v>12</v>
      </c>
      <c r="F454" s="20">
        <v>90</v>
      </c>
    </row>
    <row r="455" spans="1:6" x14ac:dyDescent="0.3">
      <c r="A455" s="19" t="s">
        <v>45</v>
      </c>
      <c r="B455" s="19" t="s">
        <v>146</v>
      </c>
      <c r="C455" s="19" t="s">
        <v>147</v>
      </c>
      <c r="D455" s="19" t="s">
        <v>48</v>
      </c>
      <c r="E455" s="19">
        <v>19</v>
      </c>
      <c r="F455" s="20">
        <v>90</v>
      </c>
    </row>
    <row r="456" spans="1:6" x14ac:dyDescent="0.3">
      <c r="A456" s="19" t="s">
        <v>47</v>
      </c>
      <c r="B456" s="19" t="s">
        <v>146</v>
      </c>
      <c r="C456" s="19" t="s">
        <v>147</v>
      </c>
      <c r="D456" s="19" t="s">
        <v>48</v>
      </c>
      <c r="E456" s="19">
        <v>13</v>
      </c>
      <c r="F456" s="20">
        <v>90</v>
      </c>
    </row>
    <row r="457" spans="1:6" x14ac:dyDescent="0.3">
      <c r="A457" s="19" t="s">
        <v>49</v>
      </c>
      <c r="B457" s="19" t="s">
        <v>146</v>
      </c>
      <c r="C457" s="19" t="s">
        <v>147</v>
      </c>
      <c r="D457" s="19" t="s">
        <v>48</v>
      </c>
      <c r="E457" s="19">
        <v>12</v>
      </c>
      <c r="F457" s="20">
        <v>90</v>
      </c>
    </row>
    <row r="458" spans="1:6" x14ac:dyDescent="0.3">
      <c r="A458" s="19" t="s">
        <v>27</v>
      </c>
      <c r="B458" s="19" t="s">
        <v>148</v>
      </c>
      <c r="C458" s="19" t="s">
        <v>149</v>
      </c>
      <c r="D458" s="19" t="s">
        <v>50</v>
      </c>
      <c r="E458" s="19">
        <v>25</v>
      </c>
      <c r="F458" s="20">
        <v>1200</v>
      </c>
    </row>
    <row r="459" spans="1:6" x14ac:dyDescent="0.3">
      <c r="A459" s="19" t="s">
        <v>29</v>
      </c>
      <c r="B459" s="19" t="s">
        <v>148</v>
      </c>
      <c r="C459" s="19" t="s">
        <v>149</v>
      </c>
      <c r="D459" s="19" t="s">
        <v>50</v>
      </c>
      <c r="E459" s="19">
        <v>28</v>
      </c>
      <c r="F459" s="20">
        <v>1200</v>
      </c>
    </row>
    <row r="460" spans="1:6" x14ac:dyDescent="0.3">
      <c r="A460" s="19" t="s">
        <v>31</v>
      </c>
      <c r="B460" s="19" t="s">
        <v>148</v>
      </c>
      <c r="C460" s="19" t="s">
        <v>149</v>
      </c>
      <c r="D460" s="19" t="s">
        <v>50</v>
      </c>
      <c r="E460" s="19">
        <v>24</v>
      </c>
      <c r="F460" s="20">
        <v>1200</v>
      </c>
    </row>
    <row r="461" spans="1:6" x14ac:dyDescent="0.3">
      <c r="A461" s="19" t="s">
        <v>33</v>
      </c>
      <c r="B461" s="19" t="s">
        <v>148</v>
      </c>
      <c r="C461" s="19" t="s">
        <v>149</v>
      </c>
      <c r="D461" s="19" t="s">
        <v>50</v>
      </c>
      <c r="E461" s="19">
        <v>24</v>
      </c>
      <c r="F461" s="20">
        <v>1200</v>
      </c>
    </row>
    <row r="462" spans="1:6" x14ac:dyDescent="0.3">
      <c r="A462" s="19" t="s">
        <v>35</v>
      </c>
      <c r="B462" s="19" t="s">
        <v>148</v>
      </c>
      <c r="C462" s="19" t="s">
        <v>149</v>
      </c>
      <c r="D462" s="19" t="s">
        <v>50</v>
      </c>
      <c r="E462" s="19">
        <v>23</v>
      </c>
      <c r="F462" s="20">
        <v>1200</v>
      </c>
    </row>
    <row r="463" spans="1:6" x14ac:dyDescent="0.3">
      <c r="A463" s="19" t="s">
        <v>37</v>
      </c>
      <c r="B463" s="19" t="s">
        <v>148</v>
      </c>
      <c r="C463" s="19" t="s">
        <v>149</v>
      </c>
      <c r="D463" s="19" t="s">
        <v>50</v>
      </c>
      <c r="E463" s="19">
        <v>25</v>
      </c>
      <c r="F463" s="20">
        <v>1200</v>
      </c>
    </row>
    <row r="464" spans="1:6" x14ac:dyDescent="0.3">
      <c r="A464" s="19" t="s">
        <v>39</v>
      </c>
      <c r="B464" s="19" t="s">
        <v>148</v>
      </c>
      <c r="C464" s="19" t="s">
        <v>149</v>
      </c>
      <c r="D464" s="19" t="s">
        <v>50</v>
      </c>
      <c r="E464" s="19">
        <v>25</v>
      </c>
      <c r="F464" s="20">
        <v>1200</v>
      </c>
    </row>
    <row r="465" spans="1:6" x14ac:dyDescent="0.3">
      <c r="A465" s="19" t="s">
        <v>41</v>
      </c>
      <c r="B465" s="19" t="s">
        <v>148</v>
      </c>
      <c r="C465" s="19" t="s">
        <v>149</v>
      </c>
      <c r="D465" s="19" t="s">
        <v>50</v>
      </c>
      <c r="E465" s="19">
        <v>26</v>
      </c>
      <c r="F465" s="20">
        <v>1200</v>
      </c>
    </row>
    <row r="466" spans="1:6" x14ac:dyDescent="0.3">
      <c r="A466" s="19" t="s">
        <v>43</v>
      </c>
      <c r="B466" s="19" t="s">
        <v>148</v>
      </c>
      <c r="C466" s="19" t="s">
        <v>149</v>
      </c>
      <c r="D466" s="19" t="s">
        <v>50</v>
      </c>
      <c r="E466" s="19">
        <v>28</v>
      </c>
      <c r="F466" s="20">
        <v>1200</v>
      </c>
    </row>
    <row r="467" spans="1:6" x14ac:dyDescent="0.3">
      <c r="A467" s="19" t="s">
        <v>45</v>
      </c>
      <c r="B467" s="19" t="s">
        <v>148</v>
      </c>
      <c r="C467" s="19" t="s">
        <v>149</v>
      </c>
      <c r="D467" s="19" t="s">
        <v>50</v>
      </c>
      <c r="E467" s="19">
        <v>35</v>
      </c>
      <c r="F467" s="20">
        <v>1200</v>
      </c>
    </row>
    <row r="468" spans="1:6" x14ac:dyDescent="0.3">
      <c r="A468" s="19" t="s">
        <v>47</v>
      </c>
      <c r="B468" s="19" t="s">
        <v>148</v>
      </c>
      <c r="C468" s="19" t="s">
        <v>149</v>
      </c>
      <c r="D468" s="19" t="s">
        <v>50</v>
      </c>
      <c r="E468" s="19">
        <v>32</v>
      </c>
      <c r="F468" s="20">
        <v>1200</v>
      </c>
    </row>
    <row r="469" spans="1:6" x14ac:dyDescent="0.3">
      <c r="A469" s="19" t="s">
        <v>49</v>
      </c>
      <c r="B469" s="19" t="s">
        <v>148</v>
      </c>
      <c r="C469" s="19" t="s">
        <v>149</v>
      </c>
      <c r="D469" s="19" t="s">
        <v>50</v>
      </c>
      <c r="E469" s="19">
        <v>22</v>
      </c>
      <c r="F469" s="20">
        <v>1200</v>
      </c>
    </row>
    <row r="470" spans="1:6" x14ac:dyDescent="0.3">
      <c r="A470" s="19" t="s">
        <v>27</v>
      </c>
      <c r="B470" s="19" t="s">
        <v>150</v>
      </c>
      <c r="C470" s="19" t="s">
        <v>151</v>
      </c>
      <c r="D470" s="19" t="s">
        <v>50</v>
      </c>
      <c r="E470" s="19">
        <v>33</v>
      </c>
      <c r="F470" s="20">
        <v>2800</v>
      </c>
    </row>
    <row r="471" spans="1:6" x14ac:dyDescent="0.3">
      <c r="A471" s="19" t="s">
        <v>29</v>
      </c>
      <c r="B471" s="19" t="s">
        <v>150</v>
      </c>
      <c r="C471" s="19" t="s">
        <v>151</v>
      </c>
      <c r="D471" s="19" t="s">
        <v>50</v>
      </c>
      <c r="E471" s="19">
        <v>30</v>
      </c>
      <c r="F471" s="20">
        <v>2800</v>
      </c>
    </row>
    <row r="472" spans="1:6" x14ac:dyDescent="0.3">
      <c r="A472" s="19" t="s">
        <v>31</v>
      </c>
      <c r="B472" s="19" t="s">
        <v>150</v>
      </c>
      <c r="C472" s="19" t="s">
        <v>151</v>
      </c>
      <c r="D472" s="19" t="s">
        <v>50</v>
      </c>
      <c r="E472" s="19">
        <v>29</v>
      </c>
      <c r="F472" s="20">
        <v>2800</v>
      </c>
    </row>
    <row r="473" spans="1:6" x14ac:dyDescent="0.3">
      <c r="A473" s="19" t="s">
        <v>33</v>
      </c>
      <c r="B473" s="19" t="s">
        <v>150</v>
      </c>
      <c r="C473" s="19" t="s">
        <v>151</v>
      </c>
      <c r="D473" s="19" t="s">
        <v>50</v>
      </c>
      <c r="E473" s="19">
        <v>38</v>
      </c>
      <c r="F473" s="20">
        <v>2800</v>
      </c>
    </row>
    <row r="474" spans="1:6" x14ac:dyDescent="0.3">
      <c r="A474" s="19" t="s">
        <v>35</v>
      </c>
      <c r="B474" s="19" t="s">
        <v>150</v>
      </c>
      <c r="C474" s="19" t="s">
        <v>151</v>
      </c>
      <c r="D474" s="19" t="s">
        <v>50</v>
      </c>
      <c r="E474" s="19">
        <v>33</v>
      </c>
      <c r="F474" s="20">
        <v>2800</v>
      </c>
    </row>
    <row r="475" spans="1:6" x14ac:dyDescent="0.3">
      <c r="A475" s="19" t="s">
        <v>37</v>
      </c>
      <c r="B475" s="19" t="s">
        <v>150</v>
      </c>
      <c r="C475" s="19" t="s">
        <v>151</v>
      </c>
      <c r="D475" s="19" t="s">
        <v>50</v>
      </c>
      <c r="E475" s="19">
        <v>29</v>
      </c>
      <c r="F475" s="20">
        <v>2800</v>
      </c>
    </row>
    <row r="476" spans="1:6" x14ac:dyDescent="0.3">
      <c r="A476" s="19" t="s">
        <v>39</v>
      </c>
      <c r="B476" s="19" t="s">
        <v>150</v>
      </c>
      <c r="C476" s="19" t="s">
        <v>151</v>
      </c>
      <c r="D476" s="19" t="s">
        <v>50</v>
      </c>
      <c r="E476" s="19">
        <v>37</v>
      </c>
      <c r="F476" s="20">
        <v>2800</v>
      </c>
    </row>
    <row r="477" spans="1:6" x14ac:dyDescent="0.3">
      <c r="A477" s="19" t="s">
        <v>41</v>
      </c>
      <c r="B477" s="19" t="s">
        <v>150</v>
      </c>
      <c r="C477" s="19" t="s">
        <v>151</v>
      </c>
      <c r="D477" s="19" t="s">
        <v>50</v>
      </c>
      <c r="E477" s="19">
        <v>38</v>
      </c>
      <c r="F477" s="20">
        <v>2800</v>
      </c>
    </row>
    <row r="478" spans="1:6" x14ac:dyDescent="0.3">
      <c r="A478" s="19" t="s">
        <v>43</v>
      </c>
      <c r="B478" s="19" t="s">
        <v>150</v>
      </c>
      <c r="C478" s="19" t="s">
        <v>151</v>
      </c>
      <c r="D478" s="19" t="s">
        <v>50</v>
      </c>
      <c r="E478" s="19">
        <v>37</v>
      </c>
      <c r="F478" s="20">
        <v>2800</v>
      </c>
    </row>
    <row r="479" spans="1:6" x14ac:dyDescent="0.3">
      <c r="A479" s="19" t="s">
        <v>45</v>
      </c>
      <c r="B479" s="19" t="s">
        <v>150</v>
      </c>
      <c r="C479" s="19" t="s">
        <v>151</v>
      </c>
      <c r="D479" s="19" t="s">
        <v>50</v>
      </c>
      <c r="E479" s="19">
        <v>55</v>
      </c>
      <c r="F479" s="20">
        <v>2800</v>
      </c>
    </row>
    <row r="480" spans="1:6" x14ac:dyDescent="0.3">
      <c r="A480" s="19" t="s">
        <v>47</v>
      </c>
      <c r="B480" s="19" t="s">
        <v>150</v>
      </c>
      <c r="C480" s="19" t="s">
        <v>151</v>
      </c>
      <c r="D480" s="19" t="s">
        <v>50</v>
      </c>
      <c r="E480" s="19">
        <v>40</v>
      </c>
      <c r="F480" s="20">
        <v>2800</v>
      </c>
    </row>
    <row r="481" spans="1:6" x14ac:dyDescent="0.3">
      <c r="A481" s="19" t="s">
        <v>49</v>
      </c>
      <c r="B481" s="19" t="s">
        <v>150</v>
      </c>
      <c r="C481" s="19" t="s">
        <v>151</v>
      </c>
      <c r="D481" s="19" t="s">
        <v>50</v>
      </c>
      <c r="E481" s="19">
        <v>35</v>
      </c>
      <c r="F481" s="20">
        <v>2800</v>
      </c>
    </row>
    <row r="482" spans="1:6" x14ac:dyDescent="0.3">
      <c r="A482" s="19" t="s">
        <v>27</v>
      </c>
      <c r="B482" s="19" t="s">
        <v>152</v>
      </c>
      <c r="C482" s="19" t="s">
        <v>153</v>
      </c>
      <c r="D482" s="19" t="s">
        <v>46</v>
      </c>
      <c r="E482" s="19">
        <v>40</v>
      </c>
      <c r="F482" s="20">
        <v>450</v>
      </c>
    </row>
    <row r="483" spans="1:6" x14ac:dyDescent="0.3">
      <c r="A483" s="19" t="s">
        <v>29</v>
      </c>
      <c r="B483" s="19" t="s">
        <v>152</v>
      </c>
      <c r="C483" s="19" t="s">
        <v>153</v>
      </c>
      <c r="D483" s="19" t="s">
        <v>46</v>
      </c>
      <c r="E483" s="19">
        <v>38</v>
      </c>
      <c r="F483" s="20">
        <v>450</v>
      </c>
    </row>
    <row r="484" spans="1:6" x14ac:dyDescent="0.3">
      <c r="A484" s="19" t="s">
        <v>31</v>
      </c>
      <c r="B484" s="19" t="s">
        <v>152</v>
      </c>
      <c r="C484" s="19" t="s">
        <v>153</v>
      </c>
      <c r="D484" s="19" t="s">
        <v>46</v>
      </c>
      <c r="E484" s="19">
        <v>34</v>
      </c>
      <c r="F484" s="20">
        <v>450</v>
      </c>
    </row>
    <row r="485" spans="1:6" x14ac:dyDescent="0.3">
      <c r="A485" s="19" t="s">
        <v>33</v>
      </c>
      <c r="B485" s="19" t="s">
        <v>152</v>
      </c>
      <c r="C485" s="19" t="s">
        <v>153</v>
      </c>
      <c r="D485" s="19" t="s">
        <v>46</v>
      </c>
      <c r="E485" s="19">
        <v>37</v>
      </c>
      <c r="F485" s="20">
        <v>450</v>
      </c>
    </row>
    <row r="486" spans="1:6" x14ac:dyDescent="0.3">
      <c r="A486" s="19" t="s">
        <v>35</v>
      </c>
      <c r="B486" s="19" t="s">
        <v>152</v>
      </c>
      <c r="C486" s="19" t="s">
        <v>153</v>
      </c>
      <c r="D486" s="19" t="s">
        <v>46</v>
      </c>
      <c r="E486" s="19">
        <v>36</v>
      </c>
      <c r="F486" s="20">
        <v>450</v>
      </c>
    </row>
    <row r="487" spans="1:6" x14ac:dyDescent="0.3">
      <c r="A487" s="19" t="s">
        <v>37</v>
      </c>
      <c r="B487" s="19" t="s">
        <v>152</v>
      </c>
      <c r="C487" s="19" t="s">
        <v>153</v>
      </c>
      <c r="D487" s="19" t="s">
        <v>46</v>
      </c>
      <c r="E487" s="19">
        <v>38</v>
      </c>
      <c r="F487" s="20">
        <v>450</v>
      </c>
    </row>
    <row r="488" spans="1:6" x14ac:dyDescent="0.3">
      <c r="A488" s="19" t="s">
        <v>39</v>
      </c>
      <c r="B488" s="19" t="s">
        <v>152</v>
      </c>
      <c r="C488" s="19" t="s">
        <v>153</v>
      </c>
      <c r="D488" s="19" t="s">
        <v>46</v>
      </c>
      <c r="E488" s="19">
        <v>39</v>
      </c>
      <c r="F488" s="20">
        <v>450</v>
      </c>
    </row>
    <row r="489" spans="1:6" x14ac:dyDescent="0.3">
      <c r="A489" s="19" t="s">
        <v>41</v>
      </c>
      <c r="B489" s="19" t="s">
        <v>152</v>
      </c>
      <c r="C489" s="19" t="s">
        <v>153</v>
      </c>
      <c r="D489" s="19" t="s">
        <v>46</v>
      </c>
      <c r="E489" s="19">
        <v>39</v>
      </c>
      <c r="F489" s="20">
        <v>450</v>
      </c>
    </row>
    <row r="490" spans="1:6" x14ac:dyDescent="0.3">
      <c r="A490" s="19" t="s">
        <v>43</v>
      </c>
      <c r="B490" s="19" t="s">
        <v>152</v>
      </c>
      <c r="C490" s="19" t="s">
        <v>153</v>
      </c>
      <c r="D490" s="19" t="s">
        <v>46</v>
      </c>
      <c r="E490" s="19">
        <v>43</v>
      </c>
      <c r="F490" s="20">
        <v>450</v>
      </c>
    </row>
    <row r="491" spans="1:6" x14ac:dyDescent="0.3">
      <c r="A491" s="19" t="s">
        <v>45</v>
      </c>
      <c r="B491" s="19" t="s">
        <v>152</v>
      </c>
      <c r="C491" s="19" t="s">
        <v>153</v>
      </c>
      <c r="D491" s="19" t="s">
        <v>46</v>
      </c>
      <c r="E491" s="19">
        <v>55</v>
      </c>
      <c r="F491" s="20">
        <v>450</v>
      </c>
    </row>
    <row r="492" spans="1:6" x14ac:dyDescent="0.3">
      <c r="A492" s="19" t="s">
        <v>47</v>
      </c>
      <c r="B492" s="19" t="s">
        <v>152</v>
      </c>
      <c r="C492" s="19" t="s">
        <v>153</v>
      </c>
      <c r="D492" s="19" t="s">
        <v>46</v>
      </c>
      <c r="E492" s="19">
        <v>49</v>
      </c>
      <c r="F492" s="20">
        <v>450</v>
      </c>
    </row>
    <row r="493" spans="1:6" x14ac:dyDescent="0.3">
      <c r="A493" s="19" t="s">
        <v>49</v>
      </c>
      <c r="B493" s="19" t="s">
        <v>152</v>
      </c>
      <c r="C493" s="19" t="s">
        <v>153</v>
      </c>
      <c r="D493" s="19" t="s">
        <v>46</v>
      </c>
      <c r="E493" s="19">
        <v>35</v>
      </c>
      <c r="F493" s="20">
        <v>450</v>
      </c>
    </row>
    <row r="494" spans="1:6" x14ac:dyDescent="0.3">
      <c r="A494" s="19" t="s">
        <v>27</v>
      </c>
      <c r="B494" s="19" t="s">
        <v>154</v>
      </c>
      <c r="C494" s="19" t="s">
        <v>155</v>
      </c>
      <c r="D494" s="19" t="s">
        <v>46</v>
      </c>
      <c r="E494" s="19">
        <v>23</v>
      </c>
      <c r="F494" s="20">
        <v>750</v>
      </c>
    </row>
    <row r="495" spans="1:6" x14ac:dyDescent="0.3">
      <c r="A495" s="19" t="s">
        <v>29</v>
      </c>
      <c r="B495" s="19" t="s">
        <v>154</v>
      </c>
      <c r="C495" s="19" t="s">
        <v>155</v>
      </c>
      <c r="D495" s="19" t="s">
        <v>46</v>
      </c>
      <c r="E495" s="19">
        <v>26</v>
      </c>
      <c r="F495" s="20">
        <v>750</v>
      </c>
    </row>
    <row r="496" spans="1:6" x14ac:dyDescent="0.3">
      <c r="A496" s="19" t="s">
        <v>31</v>
      </c>
      <c r="B496" s="19" t="s">
        <v>154</v>
      </c>
      <c r="C496" s="19" t="s">
        <v>155</v>
      </c>
      <c r="D496" s="19" t="s">
        <v>46</v>
      </c>
      <c r="E496" s="19">
        <v>23</v>
      </c>
      <c r="F496" s="20">
        <v>750</v>
      </c>
    </row>
    <row r="497" spans="1:6" x14ac:dyDescent="0.3">
      <c r="A497" s="19" t="s">
        <v>33</v>
      </c>
      <c r="B497" s="19" t="s">
        <v>154</v>
      </c>
      <c r="C497" s="19" t="s">
        <v>155</v>
      </c>
      <c r="D497" s="19" t="s">
        <v>46</v>
      </c>
      <c r="E497" s="19">
        <v>21</v>
      </c>
      <c r="F497" s="20">
        <v>750</v>
      </c>
    </row>
    <row r="498" spans="1:6" x14ac:dyDescent="0.3">
      <c r="A498" s="19" t="s">
        <v>35</v>
      </c>
      <c r="B498" s="19" t="s">
        <v>154</v>
      </c>
      <c r="C498" s="19" t="s">
        <v>155</v>
      </c>
      <c r="D498" s="19" t="s">
        <v>46</v>
      </c>
      <c r="E498" s="19">
        <v>23</v>
      </c>
      <c r="F498" s="20">
        <v>750</v>
      </c>
    </row>
    <row r="499" spans="1:6" x14ac:dyDescent="0.3">
      <c r="A499" s="19" t="s">
        <v>37</v>
      </c>
      <c r="B499" s="19" t="s">
        <v>154</v>
      </c>
      <c r="C499" s="19" t="s">
        <v>155</v>
      </c>
      <c r="D499" s="19" t="s">
        <v>46</v>
      </c>
      <c r="E499" s="19">
        <v>22</v>
      </c>
      <c r="F499" s="20">
        <v>750</v>
      </c>
    </row>
    <row r="500" spans="1:6" x14ac:dyDescent="0.3">
      <c r="A500" s="19" t="s">
        <v>39</v>
      </c>
      <c r="B500" s="19" t="s">
        <v>154</v>
      </c>
      <c r="C500" s="19" t="s">
        <v>155</v>
      </c>
      <c r="D500" s="19" t="s">
        <v>46</v>
      </c>
      <c r="E500" s="19">
        <v>26</v>
      </c>
      <c r="F500" s="20">
        <v>750</v>
      </c>
    </row>
    <row r="501" spans="1:6" x14ac:dyDescent="0.3">
      <c r="A501" s="19" t="s">
        <v>41</v>
      </c>
      <c r="B501" s="19" t="s">
        <v>154</v>
      </c>
      <c r="C501" s="19" t="s">
        <v>155</v>
      </c>
      <c r="D501" s="19" t="s">
        <v>46</v>
      </c>
      <c r="E501" s="19">
        <v>24</v>
      </c>
      <c r="F501" s="20">
        <v>750</v>
      </c>
    </row>
    <row r="502" spans="1:6" x14ac:dyDescent="0.3">
      <c r="A502" s="19" t="s">
        <v>43</v>
      </c>
      <c r="B502" s="19" t="s">
        <v>154</v>
      </c>
      <c r="C502" s="19" t="s">
        <v>155</v>
      </c>
      <c r="D502" s="19" t="s">
        <v>46</v>
      </c>
      <c r="E502" s="19">
        <v>24</v>
      </c>
      <c r="F502" s="20">
        <v>750</v>
      </c>
    </row>
    <row r="503" spans="1:6" x14ac:dyDescent="0.3">
      <c r="A503" s="19" t="s">
        <v>45</v>
      </c>
      <c r="B503" s="19" t="s">
        <v>154</v>
      </c>
      <c r="C503" s="19" t="s">
        <v>155</v>
      </c>
      <c r="D503" s="19" t="s">
        <v>46</v>
      </c>
      <c r="E503" s="19">
        <v>44</v>
      </c>
      <c r="F503" s="20">
        <v>750</v>
      </c>
    </row>
    <row r="504" spans="1:6" x14ac:dyDescent="0.3">
      <c r="A504" s="19" t="s">
        <v>47</v>
      </c>
      <c r="B504" s="19" t="s">
        <v>154</v>
      </c>
      <c r="C504" s="19" t="s">
        <v>155</v>
      </c>
      <c r="D504" s="19" t="s">
        <v>46</v>
      </c>
      <c r="E504" s="19">
        <v>30</v>
      </c>
      <c r="F504" s="20">
        <v>750</v>
      </c>
    </row>
    <row r="505" spans="1:6" x14ac:dyDescent="0.3">
      <c r="A505" s="19" t="s">
        <v>49</v>
      </c>
      <c r="B505" s="19" t="s">
        <v>154</v>
      </c>
      <c r="C505" s="19" t="s">
        <v>155</v>
      </c>
      <c r="D505" s="19" t="s">
        <v>46</v>
      </c>
      <c r="E505" s="19">
        <v>25</v>
      </c>
      <c r="F505" s="20">
        <v>750</v>
      </c>
    </row>
    <row r="506" spans="1:6" x14ac:dyDescent="0.3">
      <c r="A506" s="19" t="s">
        <v>27</v>
      </c>
      <c r="B506" s="19" t="s">
        <v>156</v>
      </c>
      <c r="C506" s="19" t="s">
        <v>157</v>
      </c>
      <c r="D506" s="19" t="s">
        <v>46</v>
      </c>
      <c r="E506" s="19">
        <v>29</v>
      </c>
      <c r="F506" s="20">
        <v>300</v>
      </c>
    </row>
    <row r="507" spans="1:6" x14ac:dyDescent="0.3">
      <c r="A507" s="19" t="s">
        <v>29</v>
      </c>
      <c r="B507" s="19" t="s">
        <v>156</v>
      </c>
      <c r="C507" s="19" t="s">
        <v>157</v>
      </c>
      <c r="D507" s="19" t="s">
        <v>46</v>
      </c>
      <c r="E507" s="19">
        <v>28</v>
      </c>
      <c r="F507" s="20">
        <v>300</v>
      </c>
    </row>
    <row r="508" spans="1:6" x14ac:dyDescent="0.3">
      <c r="A508" s="19" t="s">
        <v>31</v>
      </c>
      <c r="B508" s="19" t="s">
        <v>156</v>
      </c>
      <c r="C508" s="19" t="s">
        <v>157</v>
      </c>
      <c r="D508" s="19" t="s">
        <v>46</v>
      </c>
      <c r="E508" s="19">
        <v>28</v>
      </c>
      <c r="F508" s="20">
        <v>300</v>
      </c>
    </row>
    <row r="509" spans="1:6" x14ac:dyDescent="0.3">
      <c r="A509" s="19" t="s">
        <v>33</v>
      </c>
      <c r="B509" s="19" t="s">
        <v>156</v>
      </c>
      <c r="C509" s="19" t="s">
        <v>157</v>
      </c>
      <c r="D509" s="19" t="s">
        <v>46</v>
      </c>
      <c r="E509" s="19">
        <v>31</v>
      </c>
      <c r="F509" s="20">
        <v>300</v>
      </c>
    </row>
    <row r="510" spans="1:6" x14ac:dyDescent="0.3">
      <c r="A510" s="19" t="s">
        <v>35</v>
      </c>
      <c r="B510" s="19" t="s">
        <v>156</v>
      </c>
      <c r="C510" s="19" t="s">
        <v>157</v>
      </c>
      <c r="D510" s="19" t="s">
        <v>46</v>
      </c>
      <c r="E510" s="19">
        <v>25</v>
      </c>
      <c r="F510" s="20">
        <v>300</v>
      </c>
    </row>
    <row r="511" spans="1:6" x14ac:dyDescent="0.3">
      <c r="A511" s="19" t="s">
        <v>37</v>
      </c>
      <c r="B511" s="19" t="s">
        <v>156</v>
      </c>
      <c r="C511" s="19" t="s">
        <v>157</v>
      </c>
      <c r="D511" s="19" t="s">
        <v>46</v>
      </c>
      <c r="E511" s="19">
        <v>28</v>
      </c>
      <c r="F511" s="20">
        <v>300</v>
      </c>
    </row>
    <row r="512" spans="1:6" x14ac:dyDescent="0.3">
      <c r="A512" s="19" t="s">
        <v>39</v>
      </c>
      <c r="B512" s="19" t="s">
        <v>156</v>
      </c>
      <c r="C512" s="19" t="s">
        <v>157</v>
      </c>
      <c r="D512" s="19" t="s">
        <v>46</v>
      </c>
      <c r="E512" s="19">
        <v>27</v>
      </c>
      <c r="F512" s="20">
        <v>300</v>
      </c>
    </row>
    <row r="513" spans="1:6" x14ac:dyDescent="0.3">
      <c r="A513" s="19" t="s">
        <v>41</v>
      </c>
      <c r="B513" s="19" t="s">
        <v>156</v>
      </c>
      <c r="C513" s="19" t="s">
        <v>157</v>
      </c>
      <c r="D513" s="19" t="s">
        <v>46</v>
      </c>
      <c r="E513" s="19">
        <v>26</v>
      </c>
      <c r="F513" s="20">
        <v>300</v>
      </c>
    </row>
    <row r="514" spans="1:6" x14ac:dyDescent="0.3">
      <c r="A514" s="19" t="s">
        <v>43</v>
      </c>
      <c r="B514" s="19" t="s">
        <v>156</v>
      </c>
      <c r="C514" s="19" t="s">
        <v>157</v>
      </c>
      <c r="D514" s="19" t="s">
        <v>46</v>
      </c>
      <c r="E514" s="19">
        <v>31</v>
      </c>
      <c r="F514" s="20">
        <v>300</v>
      </c>
    </row>
    <row r="515" spans="1:6" x14ac:dyDescent="0.3">
      <c r="A515" s="19" t="s">
        <v>45</v>
      </c>
      <c r="B515" s="19" t="s">
        <v>156</v>
      </c>
      <c r="C515" s="19" t="s">
        <v>157</v>
      </c>
      <c r="D515" s="19" t="s">
        <v>46</v>
      </c>
      <c r="E515" s="19">
        <v>46</v>
      </c>
      <c r="F515" s="20">
        <v>300</v>
      </c>
    </row>
    <row r="516" spans="1:6" x14ac:dyDescent="0.3">
      <c r="A516" s="19" t="s">
        <v>47</v>
      </c>
      <c r="B516" s="19" t="s">
        <v>156</v>
      </c>
      <c r="C516" s="19" t="s">
        <v>157</v>
      </c>
      <c r="D516" s="19" t="s">
        <v>46</v>
      </c>
      <c r="E516" s="19">
        <v>32</v>
      </c>
      <c r="F516" s="20">
        <v>300</v>
      </c>
    </row>
    <row r="517" spans="1:6" x14ac:dyDescent="0.3">
      <c r="A517" s="19" t="s">
        <v>49</v>
      </c>
      <c r="B517" s="19" t="s">
        <v>156</v>
      </c>
      <c r="C517" s="19" t="s">
        <v>157</v>
      </c>
      <c r="D517" s="19" t="s">
        <v>46</v>
      </c>
      <c r="E517" s="19">
        <v>31</v>
      </c>
      <c r="F517" s="20">
        <v>300</v>
      </c>
    </row>
    <row r="518" spans="1:6" x14ac:dyDescent="0.3">
      <c r="A518" s="19" t="s">
        <v>27</v>
      </c>
      <c r="B518" s="19" t="s">
        <v>158</v>
      </c>
      <c r="C518" s="19" t="s">
        <v>159</v>
      </c>
      <c r="D518" s="19" t="s">
        <v>46</v>
      </c>
      <c r="E518" s="19">
        <v>30</v>
      </c>
      <c r="F518" s="20">
        <v>450</v>
      </c>
    </row>
    <row r="519" spans="1:6" x14ac:dyDescent="0.3">
      <c r="A519" s="19" t="s">
        <v>29</v>
      </c>
      <c r="B519" s="19" t="s">
        <v>158</v>
      </c>
      <c r="C519" s="19" t="s">
        <v>159</v>
      </c>
      <c r="D519" s="19" t="s">
        <v>46</v>
      </c>
      <c r="E519" s="19">
        <v>36</v>
      </c>
      <c r="F519" s="20">
        <v>450</v>
      </c>
    </row>
    <row r="520" spans="1:6" x14ac:dyDescent="0.3">
      <c r="A520" s="19" t="s">
        <v>31</v>
      </c>
      <c r="B520" s="19" t="s">
        <v>158</v>
      </c>
      <c r="C520" s="19" t="s">
        <v>159</v>
      </c>
      <c r="D520" s="19" t="s">
        <v>46</v>
      </c>
      <c r="E520" s="19">
        <v>40</v>
      </c>
      <c r="F520" s="20">
        <v>450</v>
      </c>
    </row>
    <row r="521" spans="1:6" x14ac:dyDescent="0.3">
      <c r="A521" s="19" t="s">
        <v>33</v>
      </c>
      <c r="B521" s="19" t="s">
        <v>158</v>
      </c>
      <c r="C521" s="19" t="s">
        <v>159</v>
      </c>
      <c r="D521" s="19" t="s">
        <v>46</v>
      </c>
      <c r="E521" s="19">
        <v>34</v>
      </c>
      <c r="F521" s="20">
        <v>450</v>
      </c>
    </row>
    <row r="522" spans="1:6" x14ac:dyDescent="0.3">
      <c r="A522" s="19" t="s">
        <v>35</v>
      </c>
      <c r="B522" s="19" t="s">
        <v>158</v>
      </c>
      <c r="C522" s="19" t="s">
        <v>159</v>
      </c>
      <c r="D522" s="19" t="s">
        <v>46</v>
      </c>
      <c r="E522" s="19">
        <v>39</v>
      </c>
      <c r="F522" s="20">
        <v>450</v>
      </c>
    </row>
    <row r="523" spans="1:6" x14ac:dyDescent="0.3">
      <c r="A523" s="19" t="s">
        <v>37</v>
      </c>
      <c r="B523" s="19" t="s">
        <v>158</v>
      </c>
      <c r="C523" s="19" t="s">
        <v>159</v>
      </c>
      <c r="D523" s="19" t="s">
        <v>46</v>
      </c>
      <c r="E523" s="19">
        <v>38</v>
      </c>
      <c r="F523" s="20">
        <v>450</v>
      </c>
    </row>
    <row r="524" spans="1:6" x14ac:dyDescent="0.3">
      <c r="A524" s="19" t="s">
        <v>39</v>
      </c>
      <c r="B524" s="19" t="s">
        <v>158</v>
      </c>
      <c r="C524" s="19" t="s">
        <v>159</v>
      </c>
      <c r="D524" s="19" t="s">
        <v>46</v>
      </c>
      <c r="E524" s="19">
        <v>35</v>
      </c>
      <c r="F524" s="20">
        <v>450</v>
      </c>
    </row>
    <row r="525" spans="1:6" x14ac:dyDescent="0.3">
      <c r="A525" s="19" t="s">
        <v>41</v>
      </c>
      <c r="B525" s="19" t="s">
        <v>158</v>
      </c>
      <c r="C525" s="19" t="s">
        <v>159</v>
      </c>
      <c r="D525" s="19" t="s">
        <v>46</v>
      </c>
      <c r="E525" s="19">
        <v>39</v>
      </c>
      <c r="F525" s="20">
        <v>450</v>
      </c>
    </row>
    <row r="526" spans="1:6" x14ac:dyDescent="0.3">
      <c r="A526" s="19" t="s">
        <v>43</v>
      </c>
      <c r="B526" s="19" t="s">
        <v>158</v>
      </c>
      <c r="C526" s="19" t="s">
        <v>159</v>
      </c>
      <c r="D526" s="19" t="s">
        <v>46</v>
      </c>
      <c r="E526" s="19">
        <v>34</v>
      </c>
      <c r="F526" s="20">
        <v>450</v>
      </c>
    </row>
    <row r="527" spans="1:6" x14ac:dyDescent="0.3">
      <c r="A527" s="19" t="s">
        <v>45</v>
      </c>
      <c r="B527" s="19" t="s">
        <v>158</v>
      </c>
      <c r="C527" s="19" t="s">
        <v>159</v>
      </c>
      <c r="D527" s="19" t="s">
        <v>46</v>
      </c>
      <c r="E527" s="19">
        <v>64</v>
      </c>
      <c r="F527" s="20">
        <v>450</v>
      </c>
    </row>
    <row r="528" spans="1:6" x14ac:dyDescent="0.3">
      <c r="A528" s="19" t="s">
        <v>47</v>
      </c>
      <c r="B528" s="19" t="s">
        <v>158</v>
      </c>
      <c r="C528" s="19" t="s">
        <v>159</v>
      </c>
      <c r="D528" s="19" t="s">
        <v>46</v>
      </c>
      <c r="E528" s="19">
        <v>39</v>
      </c>
      <c r="F528" s="20">
        <v>450</v>
      </c>
    </row>
    <row r="529" spans="1:6" x14ac:dyDescent="0.3">
      <c r="A529" s="19" t="s">
        <v>49</v>
      </c>
      <c r="B529" s="19" t="s">
        <v>158</v>
      </c>
      <c r="C529" s="19" t="s">
        <v>159</v>
      </c>
      <c r="D529" s="19" t="s">
        <v>46</v>
      </c>
      <c r="E529" s="19">
        <v>36</v>
      </c>
      <c r="F529" s="20">
        <v>450</v>
      </c>
    </row>
    <row r="530" spans="1:6" x14ac:dyDescent="0.3">
      <c r="A530" s="19" t="s">
        <v>27</v>
      </c>
      <c r="B530" s="19" t="s">
        <v>160</v>
      </c>
      <c r="C530" s="19" t="s">
        <v>161</v>
      </c>
      <c r="D530" s="19" t="s">
        <v>46</v>
      </c>
      <c r="E530" s="19">
        <v>31</v>
      </c>
      <c r="F530" s="20">
        <v>3200</v>
      </c>
    </row>
    <row r="531" spans="1:6" x14ac:dyDescent="0.3">
      <c r="A531" s="19" t="s">
        <v>29</v>
      </c>
      <c r="B531" s="19" t="s">
        <v>160</v>
      </c>
      <c r="C531" s="19" t="s">
        <v>161</v>
      </c>
      <c r="D531" s="19" t="s">
        <v>46</v>
      </c>
      <c r="E531" s="19">
        <v>27</v>
      </c>
      <c r="F531" s="20">
        <v>3200</v>
      </c>
    </row>
    <row r="532" spans="1:6" x14ac:dyDescent="0.3">
      <c r="A532" s="19" t="s">
        <v>31</v>
      </c>
      <c r="B532" s="19" t="s">
        <v>160</v>
      </c>
      <c r="C532" s="19" t="s">
        <v>161</v>
      </c>
      <c r="D532" s="19" t="s">
        <v>46</v>
      </c>
      <c r="E532" s="19">
        <v>26</v>
      </c>
      <c r="F532" s="20">
        <v>3200</v>
      </c>
    </row>
    <row r="533" spans="1:6" x14ac:dyDescent="0.3">
      <c r="A533" s="19" t="s">
        <v>33</v>
      </c>
      <c r="B533" s="19" t="s">
        <v>160</v>
      </c>
      <c r="C533" s="19" t="s">
        <v>161</v>
      </c>
      <c r="D533" s="19" t="s">
        <v>46</v>
      </c>
      <c r="E533" s="19">
        <v>25</v>
      </c>
      <c r="F533" s="20">
        <v>3200</v>
      </c>
    </row>
    <row r="534" spans="1:6" x14ac:dyDescent="0.3">
      <c r="A534" s="19" t="s">
        <v>35</v>
      </c>
      <c r="B534" s="19" t="s">
        <v>160</v>
      </c>
      <c r="C534" s="19" t="s">
        <v>161</v>
      </c>
      <c r="D534" s="19" t="s">
        <v>46</v>
      </c>
      <c r="E534" s="19">
        <v>27</v>
      </c>
      <c r="F534" s="20">
        <v>3200</v>
      </c>
    </row>
    <row r="535" spans="1:6" x14ac:dyDescent="0.3">
      <c r="A535" s="19" t="s">
        <v>37</v>
      </c>
      <c r="B535" s="19" t="s">
        <v>160</v>
      </c>
      <c r="C535" s="19" t="s">
        <v>161</v>
      </c>
      <c r="D535" s="19" t="s">
        <v>46</v>
      </c>
      <c r="E535" s="19">
        <v>25</v>
      </c>
      <c r="F535" s="20">
        <v>3200</v>
      </c>
    </row>
    <row r="536" spans="1:6" x14ac:dyDescent="0.3">
      <c r="A536" s="19" t="s">
        <v>39</v>
      </c>
      <c r="B536" s="19" t="s">
        <v>160</v>
      </c>
      <c r="C536" s="19" t="s">
        <v>161</v>
      </c>
      <c r="D536" s="19" t="s">
        <v>46</v>
      </c>
      <c r="E536" s="19">
        <v>30</v>
      </c>
      <c r="F536" s="20">
        <v>3200</v>
      </c>
    </row>
    <row r="537" spans="1:6" x14ac:dyDescent="0.3">
      <c r="A537" s="19" t="s">
        <v>41</v>
      </c>
      <c r="B537" s="19" t="s">
        <v>160</v>
      </c>
      <c r="C537" s="19" t="s">
        <v>161</v>
      </c>
      <c r="D537" s="19" t="s">
        <v>46</v>
      </c>
      <c r="E537" s="19">
        <v>27</v>
      </c>
      <c r="F537" s="20">
        <v>3200</v>
      </c>
    </row>
    <row r="538" spans="1:6" x14ac:dyDescent="0.3">
      <c r="A538" s="19" t="s">
        <v>43</v>
      </c>
      <c r="B538" s="19" t="s">
        <v>160</v>
      </c>
      <c r="C538" s="19" t="s">
        <v>161</v>
      </c>
      <c r="D538" s="19" t="s">
        <v>46</v>
      </c>
      <c r="E538" s="19">
        <v>28</v>
      </c>
      <c r="F538" s="20">
        <v>3200</v>
      </c>
    </row>
    <row r="539" spans="1:6" x14ac:dyDescent="0.3">
      <c r="A539" s="19" t="s">
        <v>45</v>
      </c>
      <c r="B539" s="19" t="s">
        <v>160</v>
      </c>
      <c r="C539" s="19" t="s">
        <v>161</v>
      </c>
      <c r="D539" s="19" t="s">
        <v>46</v>
      </c>
      <c r="E539" s="19">
        <v>43</v>
      </c>
      <c r="F539" s="20">
        <v>3200</v>
      </c>
    </row>
    <row r="540" spans="1:6" x14ac:dyDescent="0.3">
      <c r="A540" s="19" t="s">
        <v>47</v>
      </c>
      <c r="B540" s="19" t="s">
        <v>160</v>
      </c>
      <c r="C540" s="19" t="s">
        <v>161</v>
      </c>
      <c r="D540" s="19" t="s">
        <v>46</v>
      </c>
      <c r="E540" s="19">
        <v>29</v>
      </c>
      <c r="F540" s="20">
        <v>3200</v>
      </c>
    </row>
    <row r="541" spans="1:6" x14ac:dyDescent="0.3">
      <c r="A541" s="19" t="s">
        <v>49</v>
      </c>
      <c r="B541" s="19" t="s">
        <v>160</v>
      </c>
      <c r="C541" s="19" t="s">
        <v>161</v>
      </c>
      <c r="D541" s="19" t="s">
        <v>46</v>
      </c>
      <c r="E541" s="19">
        <v>30</v>
      </c>
      <c r="F541" s="20">
        <v>3200</v>
      </c>
    </row>
    <row r="542" spans="1:6" x14ac:dyDescent="0.3">
      <c r="A542" s="19" t="s">
        <v>27</v>
      </c>
      <c r="B542" s="19" t="s">
        <v>162</v>
      </c>
      <c r="C542" s="19" t="s">
        <v>163</v>
      </c>
      <c r="D542" s="19" t="s">
        <v>38</v>
      </c>
      <c r="E542" s="19">
        <v>12</v>
      </c>
      <c r="F542" s="20">
        <v>900</v>
      </c>
    </row>
    <row r="543" spans="1:6" x14ac:dyDescent="0.3">
      <c r="A543" s="19" t="s">
        <v>29</v>
      </c>
      <c r="B543" s="19" t="s">
        <v>162</v>
      </c>
      <c r="C543" s="19" t="s">
        <v>163</v>
      </c>
      <c r="D543" s="19" t="s">
        <v>38</v>
      </c>
      <c r="E543" s="19">
        <v>15</v>
      </c>
      <c r="F543" s="20">
        <v>900</v>
      </c>
    </row>
    <row r="544" spans="1:6" x14ac:dyDescent="0.3">
      <c r="A544" s="19" t="s">
        <v>31</v>
      </c>
      <c r="B544" s="19" t="s">
        <v>162</v>
      </c>
      <c r="C544" s="19" t="s">
        <v>163</v>
      </c>
      <c r="D544" s="19" t="s">
        <v>38</v>
      </c>
      <c r="E544" s="19">
        <v>13</v>
      </c>
      <c r="F544" s="20">
        <v>900</v>
      </c>
    </row>
    <row r="545" spans="1:6" x14ac:dyDescent="0.3">
      <c r="A545" s="19" t="s">
        <v>33</v>
      </c>
      <c r="B545" s="19" t="s">
        <v>162</v>
      </c>
      <c r="C545" s="19" t="s">
        <v>163</v>
      </c>
      <c r="D545" s="19" t="s">
        <v>38</v>
      </c>
      <c r="E545" s="19">
        <v>14</v>
      </c>
      <c r="F545" s="20">
        <v>900</v>
      </c>
    </row>
    <row r="546" spans="1:6" x14ac:dyDescent="0.3">
      <c r="A546" s="19" t="s">
        <v>35</v>
      </c>
      <c r="B546" s="19" t="s">
        <v>162</v>
      </c>
      <c r="C546" s="19" t="s">
        <v>163</v>
      </c>
      <c r="D546" s="19" t="s">
        <v>38</v>
      </c>
      <c r="E546" s="19">
        <v>13</v>
      </c>
      <c r="F546" s="20">
        <v>900</v>
      </c>
    </row>
    <row r="547" spans="1:6" x14ac:dyDescent="0.3">
      <c r="A547" s="19" t="s">
        <v>37</v>
      </c>
      <c r="B547" s="19" t="s">
        <v>162</v>
      </c>
      <c r="C547" s="19" t="s">
        <v>163</v>
      </c>
      <c r="D547" s="19" t="s">
        <v>38</v>
      </c>
      <c r="E547" s="19">
        <v>15</v>
      </c>
      <c r="F547" s="20">
        <v>900</v>
      </c>
    </row>
    <row r="548" spans="1:6" x14ac:dyDescent="0.3">
      <c r="A548" s="19" t="s">
        <v>39</v>
      </c>
      <c r="B548" s="19" t="s">
        <v>162</v>
      </c>
      <c r="C548" s="19" t="s">
        <v>163</v>
      </c>
      <c r="D548" s="19" t="s">
        <v>38</v>
      </c>
      <c r="E548" s="19">
        <v>12</v>
      </c>
      <c r="F548" s="20">
        <v>900</v>
      </c>
    </row>
    <row r="549" spans="1:6" x14ac:dyDescent="0.3">
      <c r="A549" s="19" t="s">
        <v>41</v>
      </c>
      <c r="B549" s="19" t="s">
        <v>162</v>
      </c>
      <c r="C549" s="19" t="s">
        <v>163</v>
      </c>
      <c r="D549" s="19" t="s">
        <v>38</v>
      </c>
      <c r="E549" s="19">
        <v>13</v>
      </c>
      <c r="F549" s="20">
        <v>900</v>
      </c>
    </row>
    <row r="550" spans="1:6" x14ac:dyDescent="0.3">
      <c r="A550" s="19" t="s">
        <v>43</v>
      </c>
      <c r="B550" s="19" t="s">
        <v>162</v>
      </c>
      <c r="C550" s="19" t="s">
        <v>163</v>
      </c>
      <c r="D550" s="19" t="s">
        <v>38</v>
      </c>
      <c r="E550" s="19">
        <v>14</v>
      </c>
      <c r="F550" s="20">
        <v>900</v>
      </c>
    </row>
    <row r="551" spans="1:6" x14ac:dyDescent="0.3">
      <c r="A551" s="19" t="s">
        <v>45</v>
      </c>
      <c r="B551" s="19" t="s">
        <v>162</v>
      </c>
      <c r="C551" s="19" t="s">
        <v>163</v>
      </c>
      <c r="D551" s="19" t="s">
        <v>38</v>
      </c>
      <c r="E551" s="19">
        <v>24</v>
      </c>
      <c r="F551" s="20">
        <v>900</v>
      </c>
    </row>
    <row r="552" spans="1:6" x14ac:dyDescent="0.3">
      <c r="A552" s="19" t="s">
        <v>47</v>
      </c>
      <c r="B552" s="19" t="s">
        <v>162</v>
      </c>
      <c r="C552" s="19" t="s">
        <v>163</v>
      </c>
      <c r="D552" s="19" t="s">
        <v>38</v>
      </c>
      <c r="E552" s="19">
        <v>17</v>
      </c>
      <c r="F552" s="20">
        <v>900</v>
      </c>
    </row>
    <row r="553" spans="1:6" x14ac:dyDescent="0.3">
      <c r="A553" s="19" t="s">
        <v>49</v>
      </c>
      <c r="B553" s="19" t="s">
        <v>162</v>
      </c>
      <c r="C553" s="19" t="s">
        <v>163</v>
      </c>
      <c r="D553" s="19" t="s">
        <v>38</v>
      </c>
      <c r="E553" s="19">
        <v>12</v>
      </c>
      <c r="F553" s="20">
        <v>900</v>
      </c>
    </row>
    <row r="554" spans="1:6" x14ac:dyDescent="0.3">
      <c r="A554" s="19" t="s">
        <v>27</v>
      </c>
      <c r="B554" s="19" t="s">
        <v>164</v>
      </c>
      <c r="C554" s="19" t="s">
        <v>165</v>
      </c>
      <c r="D554" s="19" t="s">
        <v>38</v>
      </c>
      <c r="E554" s="19">
        <v>12</v>
      </c>
      <c r="F554" s="20">
        <v>1800</v>
      </c>
    </row>
    <row r="555" spans="1:6" x14ac:dyDescent="0.3">
      <c r="A555" s="19" t="s">
        <v>29</v>
      </c>
      <c r="B555" s="19" t="s">
        <v>164</v>
      </c>
      <c r="C555" s="19" t="s">
        <v>165</v>
      </c>
      <c r="D555" s="19" t="s">
        <v>38</v>
      </c>
      <c r="E555" s="19">
        <v>13</v>
      </c>
      <c r="F555" s="20">
        <v>1800</v>
      </c>
    </row>
    <row r="556" spans="1:6" x14ac:dyDescent="0.3">
      <c r="A556" s="19" t="s">
        <v>31</v>
      </c>
      <c r="B556" s="19" t="s">
        <v>164</v>
      </c>
      <c r="C556" s="19" t="s">
        <v>165</v>
      </c>
      <c r="D556" s="19" t="s">
        <v>38</v>
      </c>
      <c r="E556" s="19">
        <v>13</v>
      </c>
      <c r="F556" s="20">
        <v>1800</v>
      </c>
    </row>
    <row r="557" spans="1:6" x14ac:dyDescent="0.3">
      <c r="A557" s="19" t="s">
        <v>33</v>
      </c>
      <c r="B557" s="19" t="s">
        <v>164</v>
      </c>
      <c r="C557" s="19" t="s">
        <v>165</v>
      </c>
      <c r="D557" s="19" t="s">
        <v>38</v>
      </c>
      <c r="E557" s="19">
        <v>11</v>
      </c>
      <c r="F557" s="20">
        <v>1800</v>
      </c>
    </row>
    <row r="558" spans="1:6" x14ac:dyDescent="0.3">
      <c r="A558" s="19" t="s">
        <v>35</v>
      </c>
      <c r="B558" s="19" t="s">
        <v>164</v>
      </c>
      <c r="C558" s="19" t="s">
        <v>165</v>
      </c>
      <c r="D558" s="19" t="s">
        <v>38</v>
      </c>
      <c r="E558" s="19">
        <v>11</v>
      </c>
      <c r="F558" s="20">
        <v>1800</v>
      </c>
    </row>
    <row r="559" spans="1:6" x14ac:dyDescent="0.3">
      <c r="A559" s="19" t="s">
        <v>37</v>
      </c>
      <c r="B559" s="19" t="s">
        <v>164</v>
      </c>
      <c r="C559" s="19" t="s">
        <v>165</v>
      </c>
      <c r="D559" s="19" t="s">
        <v>38</v>
      </c>
      <c r="E559" s="19">
        <v>11</v>
      </c>
      <c r="F559" s="20">
        <v>1800</v>
      </c>
    </row>
    <row r="560" spans="1:6" x14ac:dyDescent="0.3">
      <c r="A560" s="19" t="s">
        <v>39</v>
      </c>
      <c r="B560" s="19" t="s">
        <v>164</v>
      </c>
      <c r="C560" s="19" t="s">
        <v>165</v>
      </c>
      <c r="D560" s="19" t="s">
        <v>38</v>
      </c>
      <c r="E560" s="19">
        <v>11</v>
      </c>
      <c r="F560" s="20">
        <v>1800</v>
      </c>
    </row>
    <row r="561" spans="1:6" x14ac:dyDescent="0.3">
      <c r="A561" s="19" t="s">
        <v>41</v>
      </c>
      <c r="B561" s="19" t="s">
        <v>164</v>
      </c>
      <c r="C561" s="19" t="s">
        <v>165</v>
      </c>
      <c r="D561" s="19" t="s">
        <v>38</v>
      </c>
      <c r="E561" s="19">
        <v>10</v>
      </c>
      <c r="F561" s="20">
        <v>1800</v>
      </c>
    </row>
    <row r="562" spans="1:6" x14ac:dyDescent="0.3">
      <c r="A562" s="19" t="s">
        <v>43</v>
      </c>
      <c r="B562" s="19" t="s">
        <v>164</v>
      </c>
      <c r="C562" s="19" t="s">
        <v>165</v>
      </c>
      <c r="D562" s="19" t="s">
        <v>38</v>
      </c>
      <c r="E562" s="19">
        <v>11</v>
      </c>
      <c r="F562" s="20">
        <v>1800</v>
      </c>
    </row>
    <row r="563" spans="1:6" x14ac:dyDescent="0.3">
      <c r="A563" s="19" t="s">
        <v>45</v>
      </c>
      <c r="B563" s="19" t="s">
        <v>164</v>
      </c>
      <c r="C563" s="19" t="s">
        <v>165</v>
      </c>
      <c r="D563" s="19" t="s">
        <v>38</v>
      </c>
      <c r="E563" s="19">
        <v>17</v>
      </c>
      <c r="F563" s="20">
        <v>1800</v>
      </c>
    </row>
    <row r="564" spans="1:6" x14ac:dyDescent="0.3">
      <c r="A564" s="19" t="s">
        <v>47</v>
      </c>
      <c r="B564" s="19" t="s">
        <v>164</v>
      </c>
      <c r="C564" s="19" t="s">
        <v>165</v>
      </c>
      <c r="D564" s="19" t="s">
        <v>38</v>
      </c>
      <c r="E564" s="19">
        <v>14</v>
      </c>
      <c r="F564" s="20">
        <v>1800</v>
      </c>
    </row>
    <row r="565" spans="1:6" x14ac:dyDescent="0.3">
      <c r="A565" s="19" t="s">
        <v>49</v>
      </c>
      <c r="B565" s="19" t="s">
        <v>164</v>
      </c>
      <c r="C565" s="19" t="s">
        <v>165</v>
      </c>
      <c r="D565" s="19" t="s">
        <v>38</v>
      </c>
      <c r="E565" s="19">
        <v>13</v>
      </c>
      <c r="F565" s="20">
        <v>1800</v>
      </c>
    </row>
    <row r="566" spans="1:6" x14ac:dyDescent="0.3">
      <c r="A566" s="19" t="s">
        <v>27</v>
      </c>
      <c r="B566" s="19" t="s">
        <v>166</v>
      </c>
      <c r="C566" s="19" t="s">
        <v>167</v>
      </c>
      <c r="D566" s="19" t="s">
        <v>38</v>
      </c>
      <c r="E566" s="19">
        <v>29</v>
      </c>
      <c r="F566" s="20">
        <v>400</v>
      </c>
    </row>
    <row r="567" spans="1:6" x14ac:dyDescent="0.3">
      <c r="A567" s="19" t="s">
        <v>29</v>
      </c>
      <c r="B567" s="19" t="s">
        <v>166</v>
      </c>
      <c r="C567" s="19" t="s">
        <v>167</v>
      </c>
      <c r="D567" s="19" t="s">
        <v>38</v>
      </c>
      <c r="E567" s="19">
        <v>31</v>
      </c>
      <c r="F567" s="20">
        <v>400</v>
      </c>
    </row>
    <row r="568" spans="1:6" x14ac:dyDescent="0.3">
      <c r="A568" s="19" t="s">
        <v>31</v>
      </c>
      <c r="B568" s="19" t="s">
        <v>166</v>
      </c>
      <c r="C568" s="19" t="s">
        <v>167</v>
      </c>
      <c r="D568" s="19" t="s">
        <v>38</v>
      </c>
      <c r="E568" s="19">
        <v>33</v>
      </c>
      <c r="F568" s="20">
        <v>400</v>
      </c>
    </row>
    <row r="569" spans="1:6" x14ac:dyDescent="0.3">
      <c r="A569" s="19" t="s">
        <v>33</v>
      </c>
      <c r="B569" s="19" t="s">
        <v>166</v>
      </c>
      <c r="C569" s="19" t="s">
        <v>167</v>
      </c>
      <c r="D569" s="19" t="s">
        <v>38</v>
      </c>
      <c r="E569" s="19">
        <v>34</v>
      </c>
      <c r="F569" s="20">
        <v>400</v>
      </c>
    </row>
    <row r="570" spans="1:6" x14ac:dyDescent="0.3">
      <c r="A570" s="19" t="s">
        <v>35</v>
      </c>
      <c r="B570" s="19" t="s">
        <v>166</v>
      </c>
      <c r="C570" s="19" t="s">
        <v>167</v>
      </c>
      <c r="D570" s="19" t="s">
        <v>38</v>
      </c>
      <c r="E570" s="19">
        <v>36</v>
      </c>
      <c r="F570" s="20">
        <v>400</v>
      </c>
    </row>
    <row r="571" spans="1:6" x14ac:dyDescent="0.3">
      <c r="A571" s="19" t="s">
        <v>37</v>
      </c>
      <c r="B571" s="19" t="s">
        <v>166</v>
      </c>
      <c r="C571" s="19" t="s">
        <v>167</v>
      </c>
      <c r="D571" s="19" t="s">
        <v>38</v>
      </c>
      <c r="E571" s="19">
        <v>30</v>
      </c>
      <c r="F571" s="20">
        <v>400</v>
      </c>
    </row>
    <row r="572" spans="1:6" x14ac:dyDescent="0.3">
      <c r="A572" s="19" t="s">
        <v>39</v>
      </c>
      <c r="B572" s="19" t="s">
        <v>166</v>
      </c>
      <c r="C572" s="19" t="s">
        <v>167</v>
      </c>
      <c r="D572" s="19" t="s">
        <v>38</v>
      </c>
      <c r="E572" s="19">
        <v>33</v>
      </c>
      <c r="F572" s="20">
        <v>400</v>
      </c>
    </row>
    <row r="573" spans="1:6" x14ac:dyDescent="0.3">
      <c r="A573" s="19" t="s">
        <v>41</v>
      </c>
      <c r="B573" s="19" t="s">
        <v>166</v>
      </c>
      <c r="C573" s="19" t="s">
        <v>167</v>
      </c>
      <c r="D573" s="19" t="s">
        <v>38</v>
      </c>
      <c r="E573" s="19">
        <v>35</v>
      </c>
      <c r="F573" s="20">
        <v>400</v>
      </c>
    </row>
    <row r="574" spans="1:6" x14ac:dyDescent="0.3">
      <c r="A574" s="19" t="s">
        <v>43</v>
      </c>
      <c r="B574" s="19" t="s">
        <v>166</v>
      </c>
      <c r="C574" s="19" t="s">
        <v>167</v>
      </c>
      <c r="D574" s="19" t="s">
        <v>38</v>
      </c>
      <c r="E574" s="19">
        <v>30</v>
      </c>
      <c r="F574" s="20">
        <v>400</v>
      </c>
    </row>
    <row r="575" spans="1:6" x14ac:dyDescent="0.3">
      <c r="A575" s="19" t="s">
        <v>45</v>
      </c>
      <c r="B575" s="19" t="s">
        <v>166</v>
      </c>
      <c r="C575" s="19" t="s">
        <v>167</v>
      </c>
      <c r="D575" s="19" t="s">
        <v>38</v>
      </c>
      <c r="E575" s="19">
        <v>45</v>
      </c>
      <c r="F575" s="20">
        <v>400</v>
      </c>
    </row>
    <row r="576" spans="1:6" x14ac:dyDescent="0.3">
      <c r="A576" s="19" t="s">
        <v>47</v>
      </c>
      <c r="B576" s="19" t="s">
        <v>166</v>
      </c>
      <c r="C576" s="19" t="s">
        <v>167</v>
      </c>
      <c r="D576" s="19" t="s">
        <v>38</v>
      </c>
      <c r="E576" s="19">
        <v>37</v>
      </c>
      <c r="F576" s="20">
        <v>400</v>
      </c>
    </row>
    <row r="577" spans="1:6" x14ac:dyDescent="0.3">
      <c r="A577" s="19" t="s">
        <v>49</v>
      </c>
      <c r="B577" s="19" t="s">
        <v>166</v>
      </c>
      <c r="C577" s="19" t="s">
        <v>167</v>
      </c>
      <c r="D577" s="19" t="s">
        <v>38</v>
      </c>
      <c r="E577" s="19">
        <v>29</v>
      </c>
      <c r="F577" s="20">
        <v>400</v>
      </c>
    </row>
    <row r="578" spans="1:6" x14ac:dyDescent="0.3">
      <c r="A578" s="19" t="s">
        <v>27</v>
      </c>
      <c r="B578" s="19" t="s">
        <v>168</v>
      </c>
      <c r="C578" s="19" t="s">
        <v>169</v>
      </c>
      <c r="D578" s="19" t="s">
        <v>28</v>
      </c>
      <c r="E578" s="19">
        <v>40</v>
      </c>
      <c r="F578" s="20">
        <v>60</v>
      </c>
    </row>
    <row r="579" spans="1:6" x14ac:dyDescent="0.3">
      <c r="A579" s="19" t="s">
        <v>29</v>
      </c>
      <c r="B579" s="19" t="s">
        <v>168</v>
      </c>
      <c r="C579" s="19" t="s">
        <v>169</v>
      </c>
      <c r="D579" s="19" t="s">
        <v>28</v>
      </c>
      <c r="E579" s="19">
        <v>35</v>
      </c>
      <c r="F579" s="20">
        <v>60</v>
      </c>
    </row>
    <row r="580" spans="1:6" x14ac:dyDescent="0.3">
      <c r="A580" s="19" t="s">
        <v>31</v>
      </c>
      <c r="B580" s="19" t="s">
        <v>168</v>
      </c>
      <c r="C580" s="19" t="s">
        <v>169</v>
      </c>
      <c r="D580" s="19" t="s">
        <v>28</v>
      </c>
      <c r="E580" s="19">
        <v>44</v>
      </c>
      <c r="F580" s="20">
        <v>60</v>
      </c>
    </row>
    <row r="581" spans="1:6" x14ac:dyDescent="0.3">
      <c r="A581" s="19" t="s">
        <v>33</v>
      </c>
      <c r="B581" s="19" t="s">
        <v>168</v>
      </c>
      <c r="C581" s="19" t="s">
        <v>169</v>
      </c>
      <c r="D581" s="19" t="s">
        <v>28</v>
      </c>
      <c r="E581" s="19">
        <v>42</v>
      </c>
      <c r="F581" s="20">
        <v>60</v>
      </c>
    </row>
    <row r="582" spans="1:6" x14ac:dyDescent="0.3">
      <c r="A582" s="19" t="s">
        <v>35</v>
      </c>
      <c r="B582" s="19" t="s">
        <v>168</v>
      </c>
      <c r="C582" s="19" t="s">
        <v>169</v>
      </c>
      <c r="D582" s="19" t="s">
        <v>28</v>
      </c>
      <c r="E582" s="19">
        <v>35</v>
      </c>
      <c r="F582" s="20">
        <v>60</v>
      </c>
    </row>
    <row r="583" spans="1:6" x14ac:dyDescent="0.3">
      <c r="A583" s="19" t="s">
        <v>37</v>
      </c>
      <c r="B583" s="19" t="s">
        <v>168</v>
      </c>
      <c r="C583" s="19" t="s">
        <v>169</v>
      </c>
      <c r="D583" s="19" t="s">
        <v>28</v>
      </c>
      <c r="E583" s="19">
        <v>37</v>
      </c>
      <c r="F583" s="20">
        <v>60</v>
      </c>
    </row>
    <row r="584" spans="1:6" x14ac:dyDescent="0.3">
      <c r="A584" s="19" t="s">
        <v>39</v>
      </c>
      <c r="B584" s="19" t="s">
        <v>168</v>
      </c>
      <c r="C584" s="19" t="s">
        <v>169</v>
      </c>
      <c r="D584" s="19" t="s">
        <v>28</v>
      </c>
      <c r="E584" s="19">
        <v>43</v>
      </c>
      <c r="F584" s="20">
        <v>60</v>
      </c>
    </row>
    <row r="585" spans="1:6" x14ac:dyDescent="0.3">
      <c r="A585" s="19" t="s">
        <v>41</v>
      </c>
      <c r="B585" s="19" t="s">
        <v>168</v>
      </c>
      <c r="C585" s="19" t="s">
        <v>169</v>
      </c>
      <c r="D585" s="19" t="s">
        <v>28</v>
      </c>
      <c r="E585" s="19">
        <v>35</v>
      </c>
      <c r="F585" s="20">
        <v>60</v>
      </c>
    </row>
    <row r="586" spans="1:6" x14ac:dyDescent="0.3">
      <c r="A586" s="19" t="s">
        <v>43</v>
      </c>
      <c r="B586" s="19" t="s">
        <v>168</v>
      </c>
      <c r="C586" s="19" t="s">
        <v>169</v>
      </c>
      <c r="D586" s="19" t="s">
        <v>28</v>
      </c>
      <c r="E586" s="19">
        <v>44</v>
      </c>
      <c r="F586" s="20">
        <v>60</v>
      </c>
    </row>
    <row r="587" spans="1:6" x14ac:dyDescent="0.3">
      <c r="A587" s="19" t="s">
        <v>45</v>
      </c>
      <c r="B587" s="19" t="s">
        <v>168</v>
      </c>
      <c r="C587" s="19" t="s">
        <v>169</v>
      </c>
      <c r="D587" s="19" t="s">
        <v>28</v>
      </c>
      <c r="E587" s="19">
        <v>73</v>
      </c>
      <c r="F587" s="20">
        <v>60</v>
      </c>
    </row>
    <row r="588" spans="1:6" x14ac:dyDescent="0.3">
      <c r="A588" s="19" t="s">
        <v>47</v>
      </c>
      <c r="B588" s="19" t="s">
        <v>168</v>
      </c>
      <c r="C588" s="19" t="s">
        <v>169</v>
      </c>
      <c r="D588" s="19" t="s">
        <v>28</v>
      </c>
      <c r="E588" s="19">
        <v>43</v>
      </c>
      <c r="F588" s="20">
        <v>60</v>
      </c>
    </row>
    <row r="589" spans="1:6" x14ac:dyDescent="0.3">
      <c r="A589" s="19" t="s">
        <v>49</v>
      </c>
      <c r="B589" s="19" t="s">
        <v>168</v>
      </c>
      <c r="C589" s="19" t="s">
        <v>169</v>
      </c>
      <c r="D589" s="19" t="s">
        <v>28</v>
      </c>
      <c r="E589" s="19">
        <v>44</v>
      </c>
      <c r="F589" s="20">
        <v>60</v>
      </c>
    </row>
    <row r="590" spans="1:6" x14ac:dyDescent="0.3">
      <c r="A590" s="19" t="s">
        <v>27</v>
      </c>
      <c r="B590" s="19" t="s">
        <v>170</v>
      </c>
      <c r="C590" s="19" t="s">
        <v>171</v>
      </c>
      <c r="D590" s="19" t="s">
        <v>28</v>
      </c>
      <c r="E590" s="19">
        <v>19</v>
      </c>
      <c r="F590" s="20">
        <v>180</v>
      </c>
    </row>
    <row r="591" spans="1:6" x14ac:dyDescent="0.3">
      <c r="A591" s="19" t="s">
        <v>29</v>
      </c>
      <c r="B591" s="19" t="s">
        <v>170</v>
      </c>
      <c r="C591" s="19" t="s">
        <v>171</v>
      </c>
      <c r="D591" s="19" t="s">
        <v>28</v>
      </c>
      <c r="E591" s="19">
        <v>19</v>
      </c>
      <c r="F591" s="20">
        <v>180</v>
      </c>
    </row>
    <row r="592" spans="1:6" x14ac:dyDescent="0.3">
      <c r="A592" s="19" t="s">
        <v>31</v>
      </c>
      <c r="B592" s="19" t="s">
        <v>170</v>
      </c>
      <c r="C592" s="19" t="s">
        <v>171</v>
      </c>
      <c r="D592" s="19" t="s">
        <v>28</v>
      </c>
      <c r="E592" s="19">
        <v>18</v>
      </c>
      <c r="F592" s="20">
        <v>180</v>
      </c>
    </row>
    <row r="593" spans="1:6" x14ac:dyDescent="0.3">
      <c r="A593" s="19" t="s">
        <v>33</v>
      </c>
      <c r="B593" s="19" t="s">
        <v>170</v>
      </c>
      <c r="C593" s="19" t="s">
        <v>171</v>
      </c>
      <c r="D593" s="19" t="s">
        <v>28</v>
      </c>
      <c r="E593" s="19">
        <v>21</v>
      </c>
      <c r="F593" s="20">
        <v>180</v>
      </c>
    </row>
    <row r="594" spans="1:6" x14ac:dyDescent="0.3">
      <c r="A594" s="19" t="s">
        <v>35</v>
      </c>
      <c r="B594" s="19" t="s">
        <v>170</v>
      </c>
      <c r="C594" s="19" t="s">
        <v>171</v>
      </c>
      <c r="D594" s="19" t="s">
        <v>28</v>
      </c>
      <c r="E594" s="19">
        <v>18</v>
      </c>
      <c r="F594" s="20">
        <v>180</v>
      </c>
    </row>
    <row r="595" spans="1:6" x14ac:dyDescent="0.3">
      <c r="A595" s="19" t="s">
        <v>37</v>
      </c>
      <c r="B595" s="19" t="s">
        <v>170</v>
      </c>
      <c r="C595" s="19" t="s">
        <v>171</v>
      </c>
      <c r="D595" s="19" t="s">
        <v>28</v>
      </c>
      <c r="E595" s="19">
        <v>19</v>
      </c>
      <c r="F595" s="20">
        <v>180</v>
      </c>
    </row>
    <row r="596" spans="1:6" x14ac:dyDescent="0.3">
      <c r="A596" s="19" t="s">
        <v>39</v>
      </c>
      <c r="B596" s="19" t="s">
        <v>170</v>
      </c>
      <c r="C596" s="19" t="s">
        <v>171</v>
      </c>
      <c r="D596" s="19" t="s">
        <v>28</v>
      </c>
      <c r="E596" s="19">
        <v>19</v>
      </c>
      <c r="F596" s="20">
        <v>180</v>
      </c>
    </row>
    <row r="597" spans="1:6" x14ac:dyDescent="0.3">
      <c r="A597" s="19" t="s">
        <v>41</v>
      </c>
      <c r="B597" s="19" t="s">
        <v>170</v>
      </c>
      <c r="C597" s="19" t="s">
        <v>171</v>
      </c>
      <c r="D597" s="19" t="s">
        <v>28</v>
      </c>
      <c r="E597" s="19">
        <v>17</v>
      </c>
      <c r="F597" s="20">
        <v>180</v>
      </c>
    </row>
    <row r="598" spans="1:6" x14ac:dyDescent="0.3">
      <c r="A598" s="19" t="s">
        <v>43</v>
      </c>
      <c r="B598" s="19" t="s">
        <v>170</v>
      </c>
      <c r="C598" s="19" t="s">
        <v>171</v>
      </c>
      <c r="D598" s="19" t="s">
        <v>28</v>
      </c>
      <c r="E598" s="19">
        <v>16</v>
      </c>
      <c r="F598" s="20">
        <v>180</v>
      </c>
    </row>
    <row r="599" spans="1:6" x14ac:dyDescent="0.3">
      <c r="A599" s="19" t="s">
        <v>45</v>
      </c>
      <c r="B599" s="19" t="s">
        <v>170</v>
      </c>
      <c r="C599" s="19" t="s">
        <v>171</v>
      </c>
      <c r="D599" s="19" t="s">
        <v>28</v>
      </c>
      <c r="E599" s="19">
        <v>25</v>
      </c>
      <c r="F599" s="20">
        <v>180</v>
      </c>
    </row>
    <row r="600" spans="1:6" x14ac:dyDescent="0.3">
      <c r="A600" s="19" t="s">
        <v>47</v>
      </c>
      <c r="B600" s="19" t="s">
        <v>170</v>
      </c>
      <c r="C600" s="19" t="s">
        <v>171</v>
      </c>
      <c r="D600" s="19" t="s">
        <v>28</v>
      </c>
      <c r="E600" s="19">
        <v>22</v>
      </c>
      <c r="F600" s="20">
        <v>180</v>
      </c>
    </row>
    <row r="601" spans="1:6" x14ac:dyDescent="0.3">
      <c r="A601" s="19" t="s">
        <v>49</v>
      </c>
      <c r="B601" s="19" t="s">
        <v>170</v>
      </c>
      <c r="C601" s="19" t="s">
        <v>171</v>
      </c>
      <c r="D601" s="19" t="s">
        <v>28</v>
      </c>
      <c r="E601" s="19">
        <v>18</v>
      </c>
      <c r="F601" s="20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79" zoomScaleNormal="100" workbookViewId="0">
      <pane ySplit="1" topLeftCell="A2" activePane="bottomLeft" state="frozen"/>
      <selection pane="bottomLeft" activeCell="L2" sqref="L2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8" customWidth="1"/>
    <col min="4" max="4" width="8" customWidth="1"/>
    <col min="5" max="5" width="12" customWidth="1"/>
    <col min="6" max="6" width="10" customWidth="1"/>
    <col min="7" max="7" width="12" customWidth="1"/>
    <col min="8" max="8" width="8" customWidth="1"/>
    <col min="9" max="12" width="12" customWidth="1"/>
    <col min="13" max="13" width="14" customWidth="1"/>
    <col min="14" max="16" width="12" customWidth="1"/>
    <col min="17" max="19" width="14" customWidth="1"/>
  </cols>
  <sheetData>
    <row r="1" spans="1:19" ht="30" customHeight="1" x14ac:dyDescent="0.3">
      <c r="A1" s="18" t="s">
        <v>60</v>
      </c>
      <c r="B1" s="18" t="s">
        <v>61</v>
      </c>
      <c r="C1" s="18" t="s">
        <v>25</v>
      </c>
      <c r="D1" s="18" t="s">
        <v>22</v>
      </c>
      <c r="E1" s="18" t="s">
        <v>175</v>
      </c>
      <c r="F1" s="18" t="s">
        <v>174</v>
      </c>
      <c r="G1" s="18" t="s">
        <v>178</v>
      </c>
      <c r="H1" s="18" t="s">
        <v>177</v>
      </c>
      <c r="I1" s="18" t="s">
        <v>176</v>
      </c>
      <c r="J1" s="18" t="s">
        <v>179</v>
      </c>
      <c r="K1" s="18" t="s">
        <v>64</v>
      </c>
      <c r="L1" s="18" t="s">
        <v>180</v>
      </c>
      <c r="M1" s="18" t="s">
        <v>181</v>
      </c>
      <c r="N1" s="18" t="s">
        <v>63</v>
      </c>
      <c r="O1" s="18" t="s">
        <v>182</v>
      </c>
      <c r="P1" s="18" t="s">
        <v>183</v>
      </c>
      <c r="Q1" s="18" t="s">
        <v>184</v>
      </c>
      <c r="R1" s="18" t="s">
        <v>185</v>
      </c>
      <c r="S1" s="18" t="s">
        <v>186</v>
      </c>
    </row>
    <row r="2" spans="1:19" x14ac:dyDescent="0.3">
      <c r="A2" s="19" t="s">
        <v>67</v>
      </c>
      <c r="B2" s="19" t="s">
        <v>68</v>
      </c>
      <c r="C2" s="19" t="s">
        <v>30</v>
      </c>
      <c r="D2" s="19" t="s">
        <v>27</v>
      </c>
      <c r="E2" s="19">
        <f>SUMIFS('Stock Inflow'!$G$2:$G$601,'Stock Inflow'!$A$2:$A$601,$A2,'Stock Inflow'!$D$2:$D$601,$D2)</f>
        <v>220</v>
      </c>
      <c r="F2" s="19">
        <f>SUMIFS('Stock Inflow'!$F$2:$F$601,'Stock Inflow'!$A$2:$A$601,$A2,'Stock Inflow'!$D$2:$D$601,$D2)</f>
        <v>126</v>
      </c>
      <c r="G2" s="19">
        <f>SUMIFS('Stock Inflow'!$E$2:$E$601,'Stock Inflow'!$A$2:$A$601,$A2,'Stock Inflow'!$D$2:$D$601,$D2)</f>
        <v>2</v>
      </c>
      <c r="H2" s="19">
        <f>SUMIFS('Stock Outflow'!$F$2:$F$601,'Stock Outflow'!$A$2:$A$601,$A2,'Stock Outflow'!$D$2:$D$601,$D2)</f>
        <v>132</v>
      </c>
      <c r="I2" s="19">
        <f>SUMIFS('Stock Outflow'!$E$2:$E$601,'Stock Outflow'!$A$2:$A$601,$A2,'Stock Outflow'!$D$2:$D$601,$D2)</f>
        <v>3</v>
      </c>
      <c r="J2" s="19">
        <f t="shared" ref="J2:J65" si="0">E2+F2+G2-H2-I2</f>
        <v>213</v>
      </c>
      <c r="K2" s="20">
        <f>INDEX('Item Master'!$F$2:$F$51,MATCH($A2,'Item Master'!$A$2:$A$51,0))</f>
        <v>1800</v>
      </c>
      <c r="L2" s="20">
        <f t="shared" ref="L2:L65" si="1">H2*K2</f>
        <v>237600</v>
      </c>
      <c r="M2" s="21">
        <f t="shared" ref="M2:M65" si="2">H2/30</f>
        <v>4.4000000000000004</v>
      </c>
      <c r="N2" s="19">
        <f>INDEX('Item Master'!$E$2:$E$51,MATCH($A2,'Item Master'!$A$2:$A$51,0))</f>
        <v>5</v>
      </c>
      <c r="O2" s="22">
        <f>INDEX('Product Summary'!$L$2:$L$51,MATCH($A2,'Product Summary'!$A$2:$A$51,0))</f>
        <v>11.861111111111109</v>
      </c>
      <c r="P2" s="22">
        <f>INDEX('Product Summary'!$M$2:$M$51,MATCH($A2,'Product Summary'!$A$2:$A$51,0))</f>
        <v>36.162480974124811</v>
      </c>
      <c r="Q2" s="22">
        <f t="shared" ref="Q2:Q65" si="3">IF(M2=0,"",J2/M2)</f>
        <v>48.409090909090907</v>
      </c>
      <c r="R2" s="22">
        <f t="shared" ref="R2:R65" si="4">IF(M2=0,"",IF(J2&lt;=P2,0,(J2-P2)/M2))</f>
        <v>40.190345233153451</v>
      </c>
      <c r="S2" s="19" t="str">
        <f t="shared" ref="S2:S65" si="5">IF(J2&lt;=P2,"REORDER NOW",IF(IFERROR(Q2,0)&gt;150,"OVERSTOCK","HEALTHY"))</f>
        <v>HEALTHY</v>
      </c>
    </row>
    <row r="3" spans="1:19" x14ac:dyDescent="0.3">
      <c r="A3" s="19" t="s">
        <v>67</v>
      </c>
      <c r="B3" s="19" t="s">
        <v>68</v>
      </c>
      <c r="C3" s="19" t="s">
        <v>30</v>
      </c>
      <c r="D3" s="19" t="s">
        <v>29</v>
      </c>
      <c r="E3" s="19">
        <f>SUMIFS('Stock Inflow'!$G$2:$G$601,'Stock Inflow'!$A$2:$A$601,$A3,'Stock Inflow'!$D$2:$D$601,$D3)</f>
        <v>213</v>
      </c>
      <c r="F3" s="19">
        <f>SUMIFS('Stock Inflow'!$F$2:$F$601,'Stock Inflow'!$A$2:$A$601,$A3,'Stock Inflow'!$D$2:$D$601,$D3)</f>
        <v>165</v>
      </c>
      <c r="G3" s="19">
        <f>SUMIFS('Stock Inflow'!$E$2:$E$601,'Stock Inflow'!$A$2:$A$601,$A3,'Stock Inflow'!$D$2:$D$601,$D3)</f>
        <v>2</v>
      </c>
      <c r="H3" s="19">
        <f>SUMIFS('Stock Outflow'!$F$2:$F$601,'Stock Outflow'!$A$2:$A$601,$A3,'Stock Outflow'!$D$2:$D$601,$D3)</f>
        <v>145</v>
      </c>
      <c r="I3" s="19">
        <f>SUMIFS('Stock Outflow'!$E$2:$E$601,'Stock Outflow'!$A$2:$A$601,$A3,'Stock Outflow'!$D$2:$D$601,$D3)</f>
        <v>0</v>
      </c>
      <c r="J3" s="19">
        <f t="shared" si="0"/>
        <v>235</v>
      </c>
      <c r="K3" s="20">
        <f>INDEX('Item Master'!$F$2:$F$51,MATCH($A3,'Item Master'!$A$2:$A$51,0))</f>
        <v>1800</v>
      </c>
      <c r="L3" s="20">
        <f t="shared" si="1"/>
        <v>261000</v>
      </c>
      <c r="M3" s="21">
        <f t="shared" si="2"/>
        <v>4.833333333333333</v>
      </c>
      <c r="N3" s="19">
        <f>INDEX('Item Master'!$E$2:$E$51,MATCH($A3,'Item Master'!$A$2:$A$51,0))</f>
        <v>5</v>
      </c>
      <c r="O3" s="22">
        <f>INDEX('Product Summary'!$L$2:$L$51,MATCH($A3,'Product Summary'!$A$2:$A$51,0))</f>
        <v>11.861111111111109</v>
      </c>
      <c r="P3" s="22">
        <f>INDEX('Product Summary'!$M$2:$M$51,MATCH($A3,'Product Summary'!$A$2:$A$51,0))</f>
        <v>36.162480974124811</v>
      </c>
      <c r="Q3" s="22">
        <f t="shared" si="3"/>
        <v>48.62068965517242</v>
      </c>
      <c r="R3" s="22">
        <f t="shared" si="4"/>
        <v>41.138797039836248</v>
      </c>
      <c r="S3" s="19" t="str">
        <f t="shared" si="5"/>
        <v>HEALTHY</v>
      </c>
    </row>
    <row r="4" spans="1:19" x14ac:dyDescent="0.3">
      <c r="A4" s="19" t="s">
        <v>67</v>
      </c>
      <c r="B4" s="19" t="s">
        <v>68</v>
      </c>
      <c r="C4" s="19" t="s">
        <v>30</v>
      </c>
      <c r="D4" s="19" t="s">
        <v>31</v>
      </c>
      <c r="E4" s="19">
        <f>SUMIFS('Stock Inflow'!$G$2:$G$601,'Stock Inflow'!$A$2:$A$601,$A4,'Stock Inflow'!$D$2:$D$601,$D4)</f>
        <v>235</v>
      </c>
      <c r="F4" s="19">
        <f>SUMIFS('Stock Inflow'!$F$2:$F$601,'Stock Inflow'!$A$2:$A$601,$A4,'Stock Inflow'!$D$2:$D$601,$D4)</f>
        <v>151</v>
      </c>
      <c r="G4" s="19">
        <f>SUMIFS('Stock Inflow'!$E$2:$E$601,'Stock Inflow'!$A$2:$A$601,$A4,'Stock Inflow'!$D$2:$D$601,$D4)</f>
        <v>4</v>
      </c>
      <c r="H4" s="19">
        <f>SUMIFS('Stock Outflow'!$F$2:$F$601,'Stock Outflow'!$A$2:$A$601,$A4,'Stock Outflow'!$D$2:$D$601,$D4)</f>
        <v>132</v>
      </c>
      <c r="I4" s="19">
        <f>SUMIFS('Stock Outflow'!$E$2:$E$601,'Stock Outflow'!$A$2:$A$601,$A4,'Stock Outflow'!$D$2:$D$601,$D4)</f>
        <v>3</v>
      </c>
      <c r="J4" s="19">
        <f t="shared" si="0"/>
        <v>255</v>
      </c>
      <c r="K4" s="20">
        <f>INDEX('Item Master'!$F$2:$F$51,MATCH($A4,'Item Master'!$A$2:$A$51,0))</f>
        <v>1800</v>
      </c>
      <c r="L4" s="20">
        <f t="shared" si="1"/>
        <v>237600</v>
      </c>
      <c r="M4" s="21">
        <f t="shared" si="2"/>
        <v>4.4000000000000004</v>
      </c>
      <c r="N4" s="19">
        <f>INDEX('Item Master'!$E$2:$E$51,MATCH($A4,'Item Master'!$A$2:$A$51,0))</f>
        <v>5</v>
      </c>
      <c r="O4" s="22">
        <f>INDEX('Product Summary'!$L$2:$L$51,MATCH($A4,'Product Summary'!$A$2:$A$51,0))</f>
        <v>11.861111111111109</v>
      </c>
      <c r="P4" s="22">
        <f>INDEX('Product Summary'!$M$2:$M$51,MATCH($A4,'Product Summary'!$A$2:$A$51,0))</f>
        <v>36.162480974124811</v>
      </c>
      <c r="Q4" s="22">
        <f t="shared" si="3"/>
        <v>57.954545454545453</v>
      </c>
      <c r="R4" s="22">
        <f t="shared" si="4"/>
        <v>49.735799778607998</v>
      </c>
      <c r="S4" s="19" t="str">
        <f t="shared" si="5"/>
        <v>HEALTHY</v>
      </c>
    </row>
    <row r="5" spans="1:19" x14ac:dyDescent="0.3">
      <c r="A5" s="19" t="s">
        <v>67</v>
      </c>
      <c r="B5" s="19" t="s">
        <v>68</v>
      </c>
      <c r="C5" s="19" t="s">
        <v>30</v>
      </c>
      <c r="D5" s="19" t="s">
        <v>33</v>
      </c>
      <c r="E5" s="19">
        <f>SUMIFS('Stock Inflow'!$G$2:$G$601,'Stock Inflow'!$A$2:$A$601,$A5,'Stock Inflow'!$D$2:$D$601,$D5)</f>
        <v>255</v>
      </c>
      <c r="F5" s="19">
        <f>SUMIFS('Stock Inflow'!$F$2:$F$601,'Stock Inflow'!$A$2:$A$601,$A5,'Stock Inflow'!$D$2:$D$601,$D5)</f>
        <v>162</v>
      </c>
      <c r="G5" s="19">
        <f>SUMIFS('Stock Inflow'!$E$2:$E$601,'Stock Inflow'!$A$2:$A$601,$A5,'Stock Inflow'!$D$2:$D$601,$D5)</f>
        <v>4</v>
      </c>
      <c r="H5" s="19">
        <f>SUMIFS('Stock Outflow'!$F$2:$F$601,'Stock Outflow'!$A$2:$A$601,$A5,'Stock Outflow'!$D$2:$D$601,$D5)</f>
        <v>152</v>
      </c>
      <c r="I5" s="19">
        <f>SUMIFS('Stock Outflow'!$E$2:$E$601,'Stock Outflow'!$A$2:$A$601,$A5,'Stock Outflow'!$D$2:$D$601,$D5)</f>
        <v>1</v>
      </c>
      <c r="J5" s="19">
        <f t="shared" si="0"/>
        <v>268</v>
      </c>
      <c r="K5" s="20">
        <f>INDEX('Item Master'!$F$2:$F$51,MATCH($A5,'Item Master'!$A$2:$A$51,0))</f>
        <v>1800</v>
      </c>
      <c r="L5" s="20">
        <f t="shared" si="1"/>
        <v>273600</v>
      </c>
      <c r="M5" s="21">
        <f t="shared" si="2"/>
        <v>5.0666666666666664</v>
      </c>
      <c r="N5" s="19">
        <f>INDEX('Item Master'!$E$2:$E$51,MATCH($A5,'Item Master'!$A$2:$A$51,0))</f>
        <v>5</v>
      </c>
      <c r="O5" s="22">
        <f>INDEX('Product Summary'!$L$2:$L$51,MATCH($A5,'Product Summary'!$A$2:$A$51,0))</f>
        <v>11.861111111111109</v>
      </c>
      <c r="P5" s="22">
        <f>INDEX('Product Summary'!$M$2:$M$51,MATCH($A5,'Product Summary'!$A$2:$A$51,0))</f>
        <v>36.162480974124811</v>
      </c>
      <c r="Q5" s="22">
        <f t="shared" si="3"/>
        <v>52.894736842105267</v>
      </c>
      <c r="R5" s="22">
        <f t="shared" si="4"/>
        <v>45.757405070896425</v>
      </c>
      <c r="S5" s="19" t="str">
        <f t="shared" si="5"/>
        <v>HEALTHY</v>
      </c>
    </row>
    <row r="6" spans="1:19" x14ac:dyDescent="0.3">
      <c r="A6" s="19" t="s">
        <v>67</v>
      </c>
      <c r="B6" s="19" t="s">
        <v>68</v>
      </c>
      <c r="C6" s="19" t="s">
        <v>30</v>
      </c>
      <c r="D6" s="19" t="s">
        <v>35</v>
      </c>
      <c r="E6" s="19">
        <f>SUMIFS('Stock Inflow'!$G$2:$G$601,'Stock Inflow'!$A$2:$A$601,$A6,'Stock Inflow'!$D$2:$D$601,$D6)</f>
        <v>268</v>
      </c>
      <c r="F6" s="19">
        <f>SUMIFS('Stock Inflow'!$F$2:$F$601,'Stock Inflow'!$A$2:$A$601,$A6,'Stock Inflow'!$D$2:$D$601,$D6)</f>
        <v>191</v>
      </c>
      <c r="G6" s="19">
        <f>SUMIFS('Stock Inflow'!$E$2:$E$601,'Stock Inflow'!$A$2:$A$601,$A6,'Stock Inflow'!$D$2:$D$601,$D6)</f>
        <v>2</v>
      </c>
      <c r="H6" s="19">
        <f>SUMIFS('Stock Outflow'!$F$2:$F$601,'Stock Outflow'!$A$2:$A$601,$A6,'Stock Outflow'!$D$2:$D$601,$D6)</f>
        <v>159</v>
      </c>
      <c r="I6" s="19">
        <f>SUMIFS('Stock Outflow'!$E$2:$E$601,'Stock Outflow'!$A$2:$A$601,$A6,'Stock Outflow'!$D$2:$D$601,$D6)</f>
        <v>2</v>
      </c>
      <c r="J6" s="19">
        <f t="shared" si="0"/>
        <v>300</v>
      </c>
      <c r="K6" s="20">
        <f>INDEX('Item Master'!$F$2:$F$51,MATCH($A6,'Item Master'!$A$2:$A$51,0))</f>
        <v>1800</v>
      </c>
      <c r="L6" s="20">
        <f t="shared" si="1"/>
        <v>286200</v>
      </c>
      <c r="M6" s="21">
        <f t="shared" si="2"/>
        <v>5.3</v>
      </c>
      <c r="N6" s="19">
        <f>INDEX('Item Master'!$E$2:$E$51,MATCH($A6,'Item Master'!$A$2:$A$51,0))</f>
        <v>5</v>
      </c>
      <c r="O6" s="22">
        <f>INDEX('Product Summary'!$L$2:$L$51,MATCH($A6,'Product Summary'!$A$2:$A$51,0))</f>
        <v>11.861111111111109</v>
      </c>
      <c r="P6" s="22">
        <f>INDEX('Product Summary'!$M$2:$M$51,MATCH($A6,'Product Summary'!$A$2:$A$51,0))</f>
        <v>36.162480974124811</v>
      </c>
      <c r="Q6" s="22">
        <f t="shared" si="3"/>
        <v>56.60377358490566</v>
      </c>
      <c r="R6" s="22">
        <f t="shared" si="4"/>
        <v>49.780663967146261</v>
      </c>
      <c r="S6" s="19" t="str">
        <f t="shared" si="5"/>
        <v>HEALTHY</v>
      </c>
    </row>
    <row r="7" spans="1:19" x14ac:dyDescent="0.3">
      <c r="A7" s="19" t="s">
        <v>67</v>
      </c>
      <c r="B7" s="19" t="s">
        <v>68</v>
      </c>
      <c r="C7" s="19" t="s">
        <v>30</v>
      </c>
      <c r="D7" s="19" t="s">
        <v>37</v>
      </c>
      <c r="E7" s="19">
        <f>SUMIFS('Stock Inflow'!$G$2:$G$601,'Stock Inflow'!$A$2:$A$601,$A7,'Stock Inflow'!$D$2:$D$601,$D7)</f>
        <v>300</v>
      </c>
      <c r="F7" s="19">
        <f>SUMIFS('Stock Inflow'!$F$2:$F$601,'Stock Inflow'!$A$2:$A$601,$A7,'Stock Inflow'!$D$2:$D$601,$D7)</f>
        <v>131</v>
      </c>
      <c r="G7" s="19">
        <f>SUMIFS('Stock Inflow'!$E$2:$E$601,'Stock Inflow'!$A$2:$A$601,$A7,'Stock Inflow'!$D$2:$D$601,$D7)</f>
        <v>4</v>
      </c>
      <c r="H7" s="19">
        <f>SUMIFS('Stock Outflow'!$F$2:$F$601,'Stock Outflow'!$A$2:$A$601,$A7,'Stock Outflow'!$D$2:$D$601,$D7)</f>
        <v>133</v>
      </c>
      <c r="I7" s="19">
        <f>SUMIFS('Stock Outflow'!$E$2:$E$601,'Stock Outflow'!$A$2:$A$601,$A7,'Stock Outflow'!$D$2:$D$601,$D7)</f>
        <v>0</v>
      </c>
      <c r="J7" s="19">
        <f t="shared" si="0"/>
        <v>302</v>
      </c>
      <c r="K7" s="20">
        <f>INDEX('Item Master'!$F$2:$F$51,MATCH($A7,'Item Master'!$A$2:$A$51,0))</f>
        <v>1800</v>
      </c>
      <c r="L7" s="20">
        <f t="shared" si="1"/>
        <v>239400</v>
      </c>
      <c r="M7" s="21">
        <f t="shared" si="2"/>
        <v>4.4333333333333336</v>
      </c>
      <c r="N7" s="19">
        <f>INDEX('Item Master'!$E$2:$E$51,MATCH($A7,'Item Master'!$A$2:$A$51,0))</f>
        <v>5</v>
      </c>
      <c r="O7" s="22">
        <f>INDEX('Product Summary'!$L$2:$L$51,MATCH($A7,'Product Summary'!$A$2:$A$51,0))</f>
        <v>11.861111111111109</v>
      </c>
      <c r="P7" s="22">
        <f>INDEX('Product Summary'!$M$2:$M$51,MATCH($A7,'Product Summary'!$A$2:$A$51,0))</f>
        <v>36.162480974124811</v>
      </c>
      <c r="Q7" s="22">
        <f t="shared" si="3"/>
        <v>68.120300751879697</v>
      </c>
      <c r="R7" s="22">
        <f t="shared" si="4"/>
        <v>59.963350156212442</v>
      </c>
      <c r="S7" s="19" t="str">
        <f t="shared" si="5"/>
        <v>HEALTHY</v>
      </c>
    </row>
    <row r="8" spans="1:19" x14ac:dyDescent="0.3">
      <c r="A8" s="19" t="s">
        <v>67</v>
      </c>
      <c r="B8" s="19" t="s">
        <v>68</v>
      </c>
      <c r="C8" s="19" t="s">
        <v>30</v>
      </c>
      <c r="D8" s="19" t="s">
        <v>39</v>
      </c>
      <c r="E8" s="19">
        <f>SUMIFS('Stock Inflow'!$G$2:$G$601,'Stock Inflow'!$A$2:$A$601,$A8,'Stock Inflow'!$D$2:$D$601,$D8)</f>
        <v>302</v>
      </c>
      <c r="F8" s="19">
        <f>SUMIFS('Stock Inflow'!$F$2:$F$601,'Stock Inflow'!$A$2:$A$601,$A8,'Stock Inflow'!$D$2:$D$601,$D8)</f>
        <v>144</v>
      </c>
      <c r="G8" s="19">
        <f>SUMIFS('Stock Inflow'!$E$2:$E$601,'Stock Inflow'!$A$2:$A$601,$A8,'Stock Inflow'!$D$2:$D$601,$D8)</f>
        <v>3</v>
      </c>
      <c r="H8" s="19">
        <f>SUMIFS('Stock Outflow'!$F$2:$F$601,'Stock Outflow'!$A$2:$A$601,$A8,'Stock Outflow'!$D$2:$D$601,$D8)</f>
        <v>138</v>
      </c>
      <c r="I8" s="19">
        <f>SUMIFS('Stock Outflow'!$E$2:$E$601,'Stock Outflow'!$A$2:$A$601,$A8,'Stock Outflow'!$D$2:$D$601,$D8)</f>
        <v>1</v>
      </c>
      <c r="J8" s="19">
        <f t="shared" si="0"/>
        <v>310</v>
      </c>
      <c r="K8" s="20">
        <f>INDEX('Item Master'!$F$2:$F$51,MATCH($A8,'Item Master'!$A$2:$A$51,0))</f>
        <v>1800</v>
      </c>
      <c r="L8" s="20">
        <f t="shared" si="1"/>
        <v>248400</v>
      </c>
      <c r="M8" s="21">
        <f t="shared" si="2"/>
        <v>4.5999999999999996</v>
      </c>
      <c r="N8" s="19">
        <f>INDEX('Item Master'!$E$2:$E$51,MATCH($A8,'Item Master'!$A$2:$A$51,0))</f>
        <v>5</v>
      </c>
      <c r="O8" s="22">
        <f>INDEX('Product Summary'!$L$2:$L$51,MATCH($A8,'Product Summary'!$A$2:$A$51,0))</f>
        <v>11.861111111111109</v>
      </c>
      <c r="P8" s="22">
        <f>INDEX('Product Summary'!$M$2:$M$51,MATCH($A8,'Product Summary'!$A$2:$A$51,0))</f>
        <v>36.162480974124811</v>
      </c>
      <c r="Q8" s="22">
        <f t="shared" si="3"/>
        <v>67.391304347826093</v>
      </c>
      <c r="R8" s="22">
        <f t="shared" si="4"/>
        <v>59.52989544040765</v>
      </c>
      <c r="S8" s="19" t="str">
        <f t="shared" si="5"/>
        <v>HEALTHY</v>
      </c>
    </row>
    <row r="9" spans="1:19" x14ac:dyDescent="0.3">
      <c r="A9" s="19" t="s">
        <v>67</v>
      </c>
      <c r="B9" s="19" t="s">
        <v>68</v>
      </c>
      <c r="C9" s="19" t="s">
        <v>30</v>
      </c>
      <c r="D9" s="19" t="s">
        <v>41</v>
      </c>
      <c r="E9" s="19">
        <f>SUMIFS('Stock Inflow'!$G$2:$G$601,'Stock Inflow'!$A$2:$A$601,$A9,'Stock Inflow'!$D$2:$D$601,$D9)</f>
        <v>310</v>
      </c>
      <c r="F9" s="19">
        <f>SUMIFS('Stock Inflow'!$F$2:$F$601,'Stock Inflow'!$A$2:$A$601,$A9,'Stock Inflow'!$D$2:$D$601,$D9)</f>
        <v>133</v>
      </c>
      <c r="G9" s="19">
        <f>SUMIFS('Stock Inflow'!$E$2:$E$601,'Stock Inflow'!$A$2:$A$601,$A9,'Stock Inflow'!$D$2:$D$601,$D9)</f>
        <v>2</v>
      </c>
      <c r="H9" s="19">
        <f>SUMIFS('Stock Outflow'!$F$2:$F$601,'Stock Outflow'!$A$2:$A$601,$A9,'Stock Outflow'!$D$2:$D$601,$D9)</f>
        <v>123</v>
      </c>
      <c r="I9" s="19">
        <f>SUMIFS('Stock Outflow'!$E$2:$E$601,'Stock Outflow'!$A$2:$A$601,$A9,'Stock Outflow'!$D$2:$D$601,$D9)</f>
        <v>4</v>
      </c>
      <c r="J9" s="19">
        <f t="shared" si="0"/>
        <v>318</v>
      </c>
      <c r="K9" s="20">
        <f>INDEX('Item Master'!$F$2:$F$51,MATCH($A9,'Item Master'!$A$2:$A$51,0))</f>
        <v>1800</v>
      </c>
      <c r="L9" s="20">
        <f t="shared" si="1"/>
        <v>221400</v>
      </c>
      <c r="M9" s="21">
        <f t="shared" si="2"/>
        <v>4.0999999999999996</v>
      </c>
      <c r="N9" s="19">
        <f>INDEX('Item Master'!$E$2:$E$51,MATCH($A9,'Item Master'!$A$2:$A$51,0))</f>
        <v>5</v>
      </c>
      <c r="O9" s="22">
        <f>INDEX('Product Summary'!$L$2:$L$51,MATCH($A9,'Product Summary'!$A$2:$A$51,0))</f>
        <v>11.861111111111109</v>
      </c>
      <c r="P9" s="22">
        <f>INDEX('Product Summary'!$M$2:$M$51,MATCH($A9,'Product Summary'!$A$2:$A$51,0))</f>
        <v>36.162480974124811</v>
      </c>
      <c r="Q9" s="22">
        <f t="shared" si="3"/>
        <v>77.560975609756099</v>
      </c>
      <c r="R9" s="22">
        <f t="shared" si="4"/>
        <v>68.740858298993956</v>
      </c>
      <c r="S9" s="19" t="str">
        <f t="shared" si="5"/>
        <v>HEALTHY</v>
      </c>
    </row>
    <row r="10" spans="1:19" x14ac:dyDescent="0.3">
      <c r="A10" s="19" t="s">
        <v>67</v>
      </c>
      <c r="B10" s="19" t="s">
        <v>68</v>
      </c>
      <c r="C10" s="19" t="s">
        <v>30</v>
      </c>
      <c r="D10" s="19" t="s">
        <v>43</v>
      </c>
      <c r="E10" s="19">
        <f>SUMIFS('Stock Inflow'!$G$2:$G$601,'Stock Inflow'!$A$2:$A$601,$A10,'Stock Inflow'!$D$2:$D$601,$D10)</f>
        <v>318</v>
      </c>
      <c r="F10" s="19">
        <f>SUMIFS('Stock Inflow'!$F$2:$F$601,'Stock Inflow'!$A$2:$A$601,$A10,'Stock Inflow'!$D$2:$D$601,$D10)</f>
        <v>127</v>
      </c>
      <c r="G10" s="19">
        <f>SUMIFS('Stock Inflow'!$E$2:$E$601,'Stock Inflow'!$A$2:$A$601,$A10,'Stock Inflow'!$D$2:$D$601,$D10)</f>
        <v>4</v>
      </c>
      <c r="H10" s="19">
        <f>SUMIFS('Stock Outflow'!$F$2:$F$601,'Stock Outflow'!$A$2:$A$601,$A10,'Stock Outflow'!$D$2:$D$601,$D10)</f>
        <v>125</v>
      </c>
      <c r="I10" s="19">
        <f>SUMIFS('Stock Outflow'!$E$2:$E$601,'Stock Outflow'!$A$2:$A$601,$A10,'Stock Outflow'!$D$2:$D$601,$D10)</f>
        <v>3</v>
      </c>
      <c r="J10" s="19">
        <f t="shared" si="0"/>
        <v>321</v>
      </c>
      <c r="K10" s="20">
        <f>INDEX('Item Master'!$F$2:$F$51,MATCH($A10,'Item Master'!$A$2:$A$51,0))</f>
        <v>1800</v>
      </c>
      <c r="L10" s="20">
        <f t="shared" si="1"/>
        <v>225000</v>
      </c>
      <c r="M10" s="21">
        <f t="shared" si="2"/>
        <v>4.166666666666667</v>
      </c>
      <c r="N10" s="19">
        <f>INDEX('Item Master'!$E$2:$E$51,MATCH($A10,'Item Master'!$A$2:$A$51,0))</f>
        <v>5</v>
      </c>
      <c r="O10" s="22">
        <f>INDEX('Product Summary'!$L$2:$L$51,MATCH($A10,'Product Summary'!$A$2:$A$51,0))</f>
        <v>11.861111111111109</v>
      </c>
      <c r="P10" s="22">
        <f>INDEX('Product Summary'!$M$2:$M$51,MATCH($A10,'Product Summary'!$A$2:$A$51,0))</f>
        <v>36.162480974124811</v>
      </c>
      <c r="Q10" s="22">
        <f t="shared" si="3"/>
        <v>77.039999999999992</v>
      </c>
      <c r="R10" s="22">
        <f t="shared" si="4"/>
        <v>68.361004566210042</v>
      </c>
      <c r="S10" s="19" t="str">
        <f t="shared" si="5"/>
        <v>HEALTHY</v>
      </c>
    </row>
    <row r="11" spans="1:19" x14ac:dyDescent="0.3">
      <c r="A11" s="19" t="s">
        <v>67</v>
      </c>
      <c r="B11" s="19" t="s">
        <v>68</v>
      </c>
      <c r="C11" s="19" t="s">
        <v>30</v>
      </c>
      <c r="D11" s="19" t="s">
        <v>45</v>
      </c>
      <c r="E11" s="19">
        <f>SUMIFS('Stock Inflow'!$G$2:$G$601,'Stock Inflow'!$A$2:$A$601,$A11,'Stock Inflow'!$D$2:$D$601,$D11)</f>
        <v>321</v>
      </c>
      <c r="F11" s="19">
        <f>SUMIFS('Stock Inflow'!$F$2:$F$601,'Stock Inflow'!$A$2:$A$601,$A11,'Stock Inflow'!$D$2:$D$601,$D11)</f>
        <v>214</v>
      </c>
      <c r="G11" s="19">
        <f>SUMIFS('Stock Inflow'!$E$2:$E$601,'Stock Inflow'!$A$2:$A$601,$A11,'Stock Inflow'!$D$2:$D$601,$D11)</f>
        <v>3</v>
      </c>
      <c r="H11" s="19">
        <f>SUMIFS('Stock Outflow'!$F$2:$F$601,'Stock Outflow'!$A$2:$A$601,$A11,'Stock Outflow'!$D$2:$D$601,$D11)</f>
        <v>219</v>
      </c>
      <c r="I11" s="19">
        <f>SUMIFS('Stock Outflow'!$E$2:$E$601,'Stock Outflow'!$A$2:$A$601,$A11,'Stock Outflow'!$D$2:$D$601,$D11)</f>
        <v>4</v>
      </c>
      <c r="J11" s="19">
        <f t="shared" si="0"/>
        <v>315</v>
      </c>
      <c r="K11" s="20">
        <f>INDEX('Item Master'!$F$2:$F$51,MATCH($A11,'Item Master'!$A$2:$A$51,0))</f>
        <v>1800</v>
      </c>
      <c r="L11" s="20">
        <f t="shared" si="1"/>
        <v>394200</v>
      </c>
      <c r="M11" s="21">
        <f t="shared" si="2"/>
        <v>7.3</v>
      </c>
      <c r="N11" s="19">
        <f>INDEX('Item Master'!$E$2:$E$51,MATCH($A11,'Item Master'!$A$2:$A$51,0))</f>
        <v>5</v>
      </c>
      <c r="O11" s="22">
        <f>INDEX('Product Summary'!$L$2:$L$51,MATCH($A11,'Product Summary'!$A$2:$A$51,0))</f>
        <v>11.861111111111109</v>
      </c>
      <c r="P11" s="22">
        <f>INDEX('Product Summary'!$M$2:$M$51,MATCH($A11,'Product Summary'!$A$2:$A$51,0))</f>
        <v>36.162480974124811</v>
      </c>
      <c r="Q11" s="22">
        <f t="shared" si="3"/>
        <v>43.150684931506852</v>
      </c>
      <c r="R11" s="22">
        <f t="shared" si="4"/>
        <v>38.196920414503445</v>
      </c>
      <c r="S11" s="19" t="str">
        <f t="shared" si="5"/>
        <v>HEALTHY</v>
      </c>
    </row>
    <row r="12" spans="1:19" x14ac:dyDescent="0.3">
      <c r="A12" s="19" t="s">
        <v>67</v>
      </c>
      <c r="B12" s="19" t="s">
        <v>68</v>
      </c>
      <c r="C12" s="19" t="s">
        <v>30</v>
      </c>
      <c r="D12" s="19" t="s">
        <v>47</v>
      </c>
      <c r="E12" s="19">
        <f>SUMIFS('Stock Inflow'!$G$2:$G$601,'Stock Inflow'!$A$2:$A$601,$A12,'Stock Inflow'!$D$2:$D$601,$D12)</f>
        <v>315</v>
      </c>
      <c r="F12" s="19">
        <f>SUMIFS('Stock Inflow'!$F$2:$F$601,'Stock Inflow'!$A$2:$A$601,$A12,'Stock Inflow'!$D$2:$D$601,$D12)</f>
        <v>230</v>
      </c>
      <c r="G12" s="19">
        <f>SUMIFS('Stock Inflow'!$E$2:$E$601,'Stock Inflow'!$A$2:$A$601,$A12,'Stock Inflow'!$D$2:$D$601,$D12)</f>
        <v>6</v>
      </c>
      <c r="H12" s="19">
        <f>SUMIFS('Stock Outflow'!$F$2:$F$601,'Stock Outflow'!$A$2:$A$601,$A12,'Stock Outflow'!$D$2:$D$601,$D12)</f>
        <v>178</v>
      </c>
      <c r="I12" s="19">
        <f>SUMIFS('Stock Outflow'!$E$2:$E$601,'Stock Outflow'!$A$2:$A$601,$A12,'Stock Outflow'!$D$2:$D$601,$D12)</f>
        <v>6</v>
      </c>
      <c r="J12" s="19">
        <f t="shared" si="0"/>
        <v>367</v>
      </c>
      <c r="K12" s="20">
        <f>INDEX('Item Master'!$F$2:$F$51,MATCH($A12,'Item Master'!$A$2:$A$51,0))</f>
        <v>1800</v>
      </c>
      <c r="L12" s="20">
        <f t="shared" si="1"/>
        <v>320400</v>
      </c>
      <c r="M12" s="21">
        <f t="shared" si="2"/>
        <v>5.9333333333333336</v>
      </c>
      <c r="N12" s="19">
        <f>INDEX('Item Master'!$E$2:$E$51,MATCH($A12,'Item Master'!$A$2:$A$51,0))</f>
        <v>5</v>
      </c>
      <c r="O12" s="22">
        <f>INDEX('Product Summary'!$L$2:$L$51,MATCH($A12,'Product Summary'!$A$2:$A$51,0))</f>
        <v>11.861111111111109</v>
      </c>
      <c r="P12" s="22">
        <f>INDEX('Product Summary'!$M$2:$M$51,MATCH($A12,'Product Summary'!$A$2:$A$51,0))</f>
        <v>36.162480974124811</v>
      </c>
      <c r="Q12" s="22">
        <f t="shared" si="3"/>
        <v>61.853932584269657</v>
      </c>
      <c r="R12" s="22">
        <f t="shared" si="4"/>
        <v>55.759132420091319</v>
      </c>
      <c r="S12" s="19" t="str">
        <f t="shared" si="5"/>
        <v>HEALTHY</v>
      </c>
    </row>
    <row r="13" spans="1:19" x14ac:dyDescent="0.3">
      <c r="A13" s="19" t="s">
        <v>67</v>
      </c>
      <c r="B13" s="19" t="s">
        <v>68</v>
      </c>
      <c r="C13" s="19" t="s">
        <v>30</v>
      </c>
      <c r="D13" s="19" t="s">
        <v>49</v>
      </c>
      <c r="E13" s="19">
        <f>SUMIFS('Stock Inflow'!$G$2:$G$601,'Stock Inflow'!$A$2:$A$601,$A13,'Stock Inflow'!$D$2:$D$601,$D13)</f>
        <v>367</v>
      </c>
      <c r="F13" s="19">
        <f>SUMIFS('Stock Inflow'!$F$2:$F$601,'Stock Inflow'!$A$2:$A$601,$A13,'Stock Inflow'!$D$2:$D$601,$D13)</f>
        <v>149</v>
      </c>
      <c r="G13" s="19">
        <f>SUMIFS('Stock Inflow'!$E$2:$E$601,'Stock Inflow'!$A$2:$A$601,$A13,'Stock Inflow'!$D$2:$D$601,$D13)</f>
        <v>5</v>
      </c>
      <c r="H13" s="19">
        <f>SUMIFS('Stock Outflow'!$F$2:$F$601,'Stock Outflow'!$A$2:$A$601,$A13,'Stock Outflow'!$D$2:$D$601,$D13)</f>
        <v>138</v>
      </c>
      <c r="I13" s="19">
        <f>SUMIFS('Stock Outflow'!$E$2:$E$601,'Stock Outflow'!$A$2:$A$601,$A13,'Stock Outflow'!$D$2:$D$601,$D13)</f>
        <v>1</v>
      </c>
      <c r="J13" s="19">
        <f t="shared" si="0"/>
        <v>382</v>
      </c>
      <c r="K13" s="20">
        <f>INDEX('Item Master'!$F$2:$F$51,MATCH($A13,'Item Master'!$A$2:$A$51,0))</f>
        <v>1800</v>
      </c>
      <c r="L13" s="20">
        <f t="shared" si="1"/>
        <v>248400</v>
      </c>
      <c r="M13" s="21">
        <f t="shared" si="2"/>
        <v>4.5999999999999996</v>
      </c>
      <c r="N13" s="19">
        <f>INDEX('Item Master'!$E$2:$E$51,MATCH($A13,'Item Master'!$A$2:$A$51,0))</f>
        <v>5</v>
      </c>
      <c r="O13" s="22">
        <f>INDEX('Product Summary'!$L$2:$L$51,MATCH($A13,'Product Summary'!$A$2:$A$51,0))</f>
        <v>11.861111111111109</v>
      </c>
      <c r="P13" s="22">
        <f>INDEX('Product Summary'!$M$2:$M$51,MATCH($A13,'Product Summary'!$A$2:$A$51,0))</f>
        <v>36.162480974124811</v>
      </c>
      <c r="Q13" s="22">
        <f t="shared" si="3"/>
        <v>83.043478260869577</v>
      </c>
      <c r="R13" s="22">
        <f t="shared" si="4"/>
        <v>75.182069353451126</v>
      </c>
      <c r="S13" s="19" t="str">
        <f t="shared" si="5"/>
        <v>HEALTHY</v>
      </c>
    </row>
    <row r="14" spans="1:19" x14ac:dyDescent="0.3">
      <c r="A14" s="19" t="s">
        <v>70</v>
      </c>
      <c r="B14" s="19" t="s">
        <v>71</v>
      </c>
      <c r="C14" s="19" t="s">
        <v>30</v>
      </c>
      <c r="D14" s="19" t="s">
        <v>27</v>
      </c>
      <c r="E14" s="19">
        <f>SUMIFS('Stock Inflow'!$G$2:$G$601,'Stock Inflow'!$A$2:$A$601,$A14,'Stock Inflow'!$D$2:$D$601,$D14)</f>
        <v>216</v>
      </c>
      <c r="F14" s="19">
        <f>SUMIFS('Stock Inflow'!$F$2:$F$601,'Stock Inflow'!$A$2:$A$601,$A14,'Stock Inflow'!$D$2:$D$601,$D14)</f>
        <v>207</v>
      </c>
      <c r="G14" s="19">
        <f>SUMIFS('Stock Inflow'!$E$2:$E$601,'Stock Inflow'!$A$2:$A$601,$A14,'Stock Inflow'!$D$2:$D$601,$D14)</f>
        <v>2</v>
      </c>
      <c r="H14" s="19">
        <f>SUMIFS('Stock Outflow'!$F$2:$F$601,'Stock Outflow'!$A$2:$A$601,$A14,'Stock Outflow'!$D$2:$D$601,$D14)</f>
        <v>176</v>
      </c>
      <c r="I14" s="19">
        <f>SUMIFS('Stock Outflow'!$E$2:$E$601,'Stock Outflow'!$A$2:$A$601,$A14,'Stock Outflow'!$D$2:$D$601,$D14)</f>
        <v>4</v>
      </c>
      <c r="J14" s="19">
        <f t="shared" si="0"/>
        <v>245</v>
      </c>
      <c r="K14" s="20">
        <f>INDEX('Item Master'!$F$2:$F$51,MATCH($A14,'Item Master'!$A$2:$A$51,0))</f>
        <v>1200</v>
      </c>
      <c r="L14" s="20">
        <f t="shared" si="1"/>
        <v>211200</v>
      </c>
      <c r="M14" s="21">
        <f t="shared" si="2"/>
        <v>5.8666666666666663</v>
      </c>
      <c r="N14" s="19">
        <f>INDEX('Item Master'!$E$2:$E$51,MATCH($A14,'Item Master'!$A$2:$A$51,0))</f>
        <v>3</v>
      </c>
      <c r="O14" s="22">
        <f>INDEX('Product Summary'!$L$2:$L$51,MATCH($A14,'Product Summary'!$A$2:$A$51,0))</f>
        <v>10.274999999999999</v>
      </c>
      <c r="P14" s="22">
        <f>INDEX('Product Summary'!$M$2:$M$51,MATCH($A14,'Product Summary'!$A$2:$A$51,0))</f>
        <v>28.348972602739725</v>
      </c>
      <c r="Q14" s="22">
        <f t="shared" si="3"/>
        <v>41.76136363636364</v>
      </c>
      <c r="R14" s="22">
        <f t="shared" si="4"/>
        <v>36.929152397260275</v>
      </c>
      <c r="S14" s="19" t="str">
        <f t="shared" si="5"/>
        <v>HEALTHY</v>
      </c>
    </row>
    <row r="15" spans="1:19" x14ac:dyDescent="0.3">
      <c r="A15" s="19" t="s">
        <v>70</v>
      </c>
      <c r="B15" s="19" t="s">
        <v>71</v>
      </c>
      <c r="C15" s="19" t="s">
        <v>30</v>
      </c>
      <c r="D15" s="19" t="s">
        <v>29</v>
      </c>
      <c r="E15" s="19">
        <f>SUMIFS('Stock Inflow'!$G$2:$G$601,'Stock Inflow'!$A$2:$A$601,$A15,'Stock Inflow'!$D$2:$D$601,$D15)</f>
        <v>245</v>
      </c>
      <c r="F15" s="19">
        <f>SUMIFS('Stock Inflow'!$F$2:$F$601,'Stock Inflow'!$A$2:$A$601,$A15,'Stock Inflow'!$D$2:$D$601,$D15)</f>
        <v>168</v>
      </c>
      <c r="G15" s="19">
        <f>SUMIFS('Stock Inflow'!$E$2:$E$601,'Stock Inflow'!$A$2:$A$601,$A15,'Stock Inflow'!$D$2:$D$601,$D15)</f>
        <v>4</v>
      </c>
      <c r="H15" s="19">
        <f>SUMIFS('Stock Outflow'!$F$2:$F$601,'Stock Outflow'!$A$2:$A$601,$A15,'Stock Outflow'!$D$2:$D$601,$D15)</f>
        <v>168</v>
      </c>
      <c r="I15" s="19">
        <f>SUMIFS('Stock Outflow'!$E$2:$E$601,'Stock Outflow'!$A$2:$A$601,$A15,'Stock Outflow'!$D$2:$D$601,$D15)</f>
        <v>1</v>
      </c>
      <c r="J15" s="19">
        <f t="shared" si="0"/>
        <v>248</v>
      </c>
      <c r="K15" s="20">
        <f>INDEX('Item Master'!$F$2:$F$51,MATCH($A15,'Item Master'!$A$2:$A$51,0))</f>
        <v>1200</v>
      </c>
      <c r="L15" s="20">
        <f t="shared" si="1"/>
        <v>201600</v>
      </c>
      <c r="M15" s="21">
        <f t="shared" si="2"/>
        <v>5.6</v>
      </c>
      <c r="N15" s="19">
        <f>INDEX('Item Master'!$E$2:$E$51,MATCH($A15,'Item Master'!$A$2:$A$51,0))</f>
        <v>3</v>
      </c>
      <c r="O15" s="22">
        <f>INDEX('Product Summary'!$L$2:$L$51,MATCH($A15,'Product Summary'!$A$2:$A$51,0))</f>
        <v>10.274999999999999</v>
      </c>
      <c r="P15" s="22">
        <f>INDEX('Product Summary'!$M$2:$M$51,MATCH($A15,'Product Summary'!$A$2:$A$51,0))</f>
        <v>28.348972602739725</v>
      </c>
      <c r="Q15" s="22">
        <f t="shared" si="3"/>
        <v>44.285714285714292</v>
      </c>
      <c r="R15" s="22">
        <f t="shared" si="4"/>
        <v>39.223397749510767</v>
      </c>
      <c r="S15" s="19" t="str">
        <f t="shared" si="5"/>
        <v>HEALTHY</v>
      </c>
    </row>
    <row r="16" spans="1:19" x14ac:dyDescent="0.3">
      <c r="A16" s="19" t="s">
        <v>70</v>
      </c>
      <c r="B16" s="19" t="s">
        <v>71</v>
      </c>
      <c r="C16" s="19" t="s">
        <v>30</v>
      </c>
      <c r="D16" s="19" t="s">
        <v>31</v>
      </c>
      <c r="E16" s="19">
        <f>SUMIFS('Stock Inflow'!$G$2:$G$601,'Stock Inflow'!$A$2:$A$601,$A16,'Stock Inflow'!$D$2:$D$601,$D16)</f>
        <v>248</v>
      </c>
      <c r="F16" s="19">
        <f>SUMIFS('Stock Inflow'!$F$2:$F$601,'Stock Inflow'!$A$2:$A$601,$A16,'Stock Inflow'!$D$2:$D$601,$D16)</f>
        <v>220</v>
      </c>
      <c r="G16" s="19">
        <f>SUMIFS('Stock Inflow'!$E$2:$E$601,'Stock Inflow'!$A$2:$A$601,$A16,'Stock Inflow'!$D$2:$D$601,$D16)</f>
        <v>3</v>
      </c>
      <c r="H16" s="19">
        <f>SUMIFS('Stock Outflow'!$F$2:$F$601,'Stock Outflow'!$A$2:$A$601,$A16,'Stock Outflow'!$D$2:$D$601,$D16)</f>
        <v>187</v>
      </c>
      <c r="I16" s="19">
        <f>SUMIFS('Stock Outflow'!$E$2:$E$601,'Stock Outflow'!$A$2:$A$601,$A16,'Stock Outflow'!$D$2:$D$601,$D16)</f>
        <v>2</v>
      </c>
      <c r="J16" s="19">
        <f t="shared" si="0"/>
        <v>282</v>
      </c>
      <c r="K16" s="20">
        <f>INDEX('Item Master'!$F$2:$F$51,MATCH($A16,'Item Master'!$A$2:$A$51,0))</f>
        <v>1200</v>
      </c>
      <c r="L16" s="20">
        <f t="shared" si="1"/>
        <v>224400</v>
      </c>
      <c r="M16" s="21">
        <f t="shared" si="2"/>
        <v>6.2333333333333334</v>
      </c>
      <c r="N16" s="19">
        <f>INDEX('Item Master'!$E$2:$E$51,MATCH($A16,'Item Master'!$A$2:$A$51,0))</f>
        <v>3</v>
      </c>
      <c r="O16" s="22">
        <f>INDEX('Product Summary'!$L$2:$L$51,MATCH($A16,'Product Summary'!$A$2:$A$51,0))</f>
        <v>10.274999999999999</v>
      </c>
      <c r="P16" s="22">
        <f>INDEX('Product Summary'!$M$2:$M$51,MATCH($A16,'Product Summary'!$A$2:$A$51,0))</f>
        <v>28.348972602739725</v>
      </c>
      <c r="Q16" s="22">
        <f t="shared" si="3"/>
        <v>45.240641711229948</v>
      </c>
      <c r="R16" s="22">
        <f t="shared" si="4"/>
        <v>40.692678192073842</v>
      </c>
      <c r="S16" s="19" t="str">
        <f t="shared" si="5"/>
        <v>HEALTHY</v>
      </c>
    </row>
    <row r="17" spans="1:19" x14ac:dyDescent="0.3">
      <c r="A17" s="19" t="s">
        <v>70</v>
      </c>
      <c r="B17" s="19" t="s">
        <v>71</v>
      </c>
      <c r="C17" s="19" t="s">
        <v>30</v>
      </c>
      <c r="D17" s="19" t="s">
        <v>33</v>
      </c>
      <c r="E17" s="19">
        <f>SUMIFS('Stock Inflow'!$G$2:$G$601,'Stock Inflow'!$A$2:$A$601,$A17,'Stock Inflow'!$D$2:$D$601,$D17)</f>
        <v>282</v>
      </c>
      <c r="F17" s="19">
        <f>SUMIFS('Stock Inflow'!$F$2:$F$601,'Stock Inflow'!$A$2:$A$601,$A17,'Stock Inflow'!$D$2:$D$601,$D17)</f>
        <v>165</v>
      </c>
      <c r="G17" s="19">
        <f>SUMIFS('Stock Inflow'!$E$2:$E$601,'Stock Inflow'!$A$2:$A$601,$A17,'Stock Inflow'!$D$2:$D$601,$D17)</f>
        <v>6</v>
      </c>
      <c r="H17" s="19">
        <f>SUMIFS('Stock Outflow'!$F$2:$F$601,'Stock Outflow'!$A$2:$A$601,$A17,'Stock Outflow'!$D$2:$D$601,$D17)</f>
        <v>179</v>
      </c>
      <c r="I17" s="19">
        <f>SUMIFS('Stock Outflow'!$E$2:$E$601,'Stock Outflow'!$A$2:$A$601,$A17,'Stock Outflow'!$D$2:$D$601,$D17)</f>
        <v>4</v>
      </c>
      <c r="J17" s="19">
        <f t="shared" si="0"/>
        <v>270</v>
      </c>
      <c r="K17" s="20">
        <f>INDEX('Item Master'!$F$2:$F$51,MATCH($A17,'Item Master'!$A$2:$A$51,0))</f>
        <v>1200</v>
      </c>
      <c r="L17" s="20">
        <f t="shared" si="1"/>
        <v>214800</v>
      </c>
      <c r="M17" s="21">
        <f t="shared" si="2"/>
        <v>5.9666666666666668</v>
      </c>
      <c r="N17" s="19">
        <f>INDEX('Item Master'!$E$2:$E$51,MATCH($A17,'Item Master'!$A$2:$A$51,0))</f>
        <v>3</v>
      </c>
      <c r="O17" s="22">
        <f>INDEX('Product Summary'!$L$2:$L$51,MATCH($A17,'Product Summary'!$A$2:$A$51,0))</f>
        <v>10.274999999999999</v>
      </c>
      <c r="P17" s="22">
        <f>INDEX('Product Summary'!$M$2:$M$51,MATCH($A17,'Product Summary'!$A$2:$A$51,0))</f>
        <v>28.348972602739725</v>
      </c>
      <c r="Q17" s="22">
        <f t="shared" si="3"/>
        <v>45.25139664804469</v>
      </c>
      <c r="R17" s="22">
        <f t="shared" si="4"/>
        <v>40.500172189484957</v>
      </c>
      <c r="S17" s="19" t="str">
        <f t="shared" si="5"/>
        <v>HEALTHY</v>
      </c>
    </row>
    <row r="18" spans="1:19" x14ac:dyDescent="0.3">
      <c r="A18" s="19" t="s">
        <v>70</v>
      </c>
      <c r="B18" s="19" t="s">
        <v>71</v>
      </c>
      <c r="C18" s="19" t="s">
        <v>30</v>
      </c>
      <c r="D18" s="19" t="s">
        <v>35</v>
      </c>
      <c r="E18" s="19">
        <f>SUMIFS('Stock Inflow'!$G$2:$G$601,'Stock Inflow'!$A$2:$A$601,$A18,'Stock Inflow'!$D$2:$D$601,$D18)</f>
        <v>270</v>
      </c>
      <c r="F18" s="19">
        <f>SUMIFS('Stock Inflow'!$F$2:$F$601,'Stock Inflow'!$A$2:$A$601,$A18,'Stock Inflow'!$D$2:$D$601,$D18)</f>
        <v>149</v>
      </c>
      <c r="G18" s="19">
        <f>SUMIFS('Stock Inflow'!$E$2:$E$601,'Stock Inflow'!$A$2:$A$601,$A18,'Stock Inflow'!$D$2:$D$601,$D18)</f>
        <v>6</v>
      </c>
      <c r="H18" s="19">
        <f>SUMIFS('Stock Outflow'!$F$2:$F$601,'Stock Outflow'!$A$2:$A$601,$A18,'Stock Outflow'!$D$2:$D$601,$D18)</f>
        <v>161</v>
      </c>
      <c r="I18" s="19">
        <f>SUMIFS('Stock Outflow'!$E$2:$E$601,'Stock Outflow'!$A$2:$A$601,$A18,'Stock Outflow'!$D$2:$D$601,$D18)</f>
        <v>3</v>
      </c>
      <c r="J18" s="19">
        <f t="shared" si="0"/>
        <v>261</v>
      </c>
      <c r="K18" s="20">
        <f>INDEX('Item Master'!$F$2:$F$51,MATCH($A18,'Item Master'!$A$2:$A$51,0))</f>
        <v>1200</v>
      </c>
      <c r="L18" s="20">
        <f t="shared" si="1"/>
        <v>193200</v>
      </c>
      <c r="M18" s="21">
        <f t="shared" si="2"/>
        <v>5.3666666666666663</v>
      </c>
      <c r="N18" s="19">
        <f>INDEX('Item Master'!$E$2:$E$51,MATCH($A18,'Item Master'!$A$2:$A$51,0))</f>
        <v>3</v>
      </c>
      <c r="O18" s="22">
        <f>INDEX('Product Summary'!$L$2:$L$51,MATCH($A18,'Product Summary'!$A$2:$A$51,0))</f>
        <v>10.274999999999999</v>
      </c>
      <c r="P18" s="22">
        <f>INDEX('Product Summary'!$M$2:$M$51,MATCH($A18,'Product Summary'!$A$2:$A$51,0))</f>
        <v>28.348972602739725</v>
      </c>
      <c r="Q18" s="22">
        <f t="shared" si="3"/>
        <v>48.633540372670808</v>
      </c>
      <c r="R18" s="22">
        <f t="shared" si="4"/>
        <v>43.351123117501913</v>
      </c>
      <c r="S18" s="19" t="str">
        <f t="shared" si="5"/>
        <v>HEALTHY</v>
      </c>
    </row>
    <row r="19" spans="1:19" x14ac:dyDescent="0.3">
      <c r="A19" s="19" t="s">
        <v>70</v>
      </c>
      <c r="B19" s="19" t="s">
        <v>71</v>
      </c>
      <c r="C19" s="19" t="s">
        <v>30</v>
      </c>
      <c r="D19" s="19" t="s">
        <v>37</v>
      </c>
      <c r="E19" s="19">
        <f>SUMIFS('Stock Inflow'!$G$2:$G$601,'Stock Inflow'!$A$2:$A$601,$A19,'Stock Inflow'!$D$2:$D$601,$D19)</f>
        <v>261</v>
      </c>
      <c r="F19" s="19">
        <f>SUMIFS('Stock Inflow'!$F$2:$F$601,'Stock Inflow'!$A$2:$A$601,$A19,'Stock Inflow'!$D$2:$D$601,$D19)</f>
        <v>174</v>
      </c>
      <c r="G19" s="19">
        <f>SUMIFS('Stock Inflow'!$E$2:$E$601,'Stock Inflow'!$A$2:$A$601,$A19,'Stock Inflow'!$D$2:$D$601,$D19)</f>
        <v>4</v>
      </c>
      <c r="H19" s="19">
        <f>SUMIFS('Stock Outflow'!$F$2:$F$601,'Stock Outflow'!$A$2:$A$601,$A19,'Stock Outflow'!$D$2:$D$601,$D19)</f>
        <v>177</v>
      </c>
      <c r="I19" s="19">
        <f>SUMIFS('Stock Outflow'!$E$2:$E$601,'Stock Outflow'!$A$2:$A$601,$A19,'Stock Outflow'!$D$2:$D$601,$D19)</f>
        <v>5</v>
      </c>
      <c r="J19" s="19">
        <f t="shared" si="0"/>
        <v>257</v>
      </c>
      <c r="K19" s="20">
        <f>INDEX('Item Master'!$F$2:$F$51,MATCH($A19,'Item Master'!$A$2:$A$51,0))</f>
        <v>1200</v>
      </c>
      <c r="L19" s="20">
        <f t="shared" si="1"/>
        <v>212400</v>
      </c>
      <c r="M19" s="21">
        <f t="shared" si="2"/>
        <v>5.9</v>
      </c>
      <c r="N19" s="19">
        <f>INDEX('Item Master'!$E$2:$E$51,MATCH($A19,'Item Master'!$A$2:$A$51,0))</f>
        <v>3</v>
      </c>
      <c r="O19" s="22">
        <f>INDEX('Product Summary'!$L$2:$L$51,MATCH($A19,'Product Summary'!$A$2:$A$51,0))</f>
        <v>10.274999999999999</v>
      </c>
      <c r="P19" s="22">
        <f>INDEX('Product Summary'!$M$2:$M$51,MATCH($A19,'Product Summary'!$A$2:$A$51,0))</f>
        <v>28.348972602739725</v>
      </c>
      <c r="Q19" s="22">
        <f t="shared" si="3"/>
        <v>43.559322033898304</v>
      </c>
      <c r="R19" s="22">
        <f t="shared" si="4"/>
        <v>38.75441142326445</v>
      </c>
      <c r="S19" s="19" t="str">
        <f t="shared" si="5"/>
        <v>HEALTHY</v>
      </c>
    </row>
    <row r="20" spans="1:19" x14ac:dyDescent="0.3">
      <c r="A20" s="19" t="s">
        <v>70</v>
      </c>
      <c r="B20" s="19" t="s">
        <v>71</v>
      </c>
      <c r="C20" s="19" t="s">
        <v>30</v>
      </c>
      <c r="D20" s="19" t="s">
        <v>39</v>
      </c>
      <c r="E20" s="19">
        <f>SUMIFS('Stock Inflow'!$G$2:$G$601,'Stock Inflow'!$A$2:$A$601,$A20,'Stock Inflow'!$D$2:$D$601,$D20)</f>
        <v>257</v>
      </c>
      <c r="F20" s="19">
        <f>SUMIFS('Stock Inflow'!$F$2:$F$601,'Stock Inflow'!$A$2:$A$601,$A20,'Stock Inflow'!$D$2:$D$601,$D20)</f>
        <v>166</v>
      </c>
      <c r="G20" s="19">
        <f>SUMIFS('Stock Inflow'!$E$2:$E$601,'Stock Inflow'!$A$2:$A$601,$A20,'Stock Inflow'!$D$2:$D$601,$D20)</f>
        <v>2</v>
      </c>
      <c r="H20" s="19">
        <f>SUMIFS('Stock Outflow'!$F$2:$F$601,'Stock Outflow'!$A$2:$A$601,$A20,'Stock Outflow'!$D$2:$D$601,$D20)</f>
        <v>173</v>
      </c>
      <c r="I20" s="19">
        <f>SUMIFS('Stock Outflow'!$E$2:$E$601,'Stock Outflow'!$A$2:$A$601,$A20,'Stock Outflow'!$D$2:$D$601,$D20)</f>
        <v>4</v>
      </c>
      <c r="J20" s="19">
        <f t="shared" si="0"/>
        <v>248</v>
      </c>
      <c r="K20" s="20">
        <f>INDEX('Item Master'!$F$2:$F$51,MATCH($A20,'Item Master'!$A$2:$A$51,0))</f>
        <v>1200</v>
      </c>
      <c r="L20" s="20">
        <f t="shared" si="1"/>
        <v>207600</v>
      </c>
      <c r="M20" s="21">
        <f t="shared" si="2"/>
        <v>5.7666666666666666</v>
      </c>
      <c r="N20" s="19">
        <f>INDEX('Item Master'!$E$2:$E$51,MATCH($A20,'Item Master'!$A$2:$A$51,0))</f>
        <v>3</v>
      </c>
      <c r="O20" s="22">
        <f>INDEX('Product Summary'!$L$2:$L$51,MATCH($A20,'Product Summary'!$A$2:$A$51,0))</f>
        <v>10.274999999999999</v>
      </c>
      <c r="P20" s="22">
        <f>INDEX('Product Summary'!$M$2:$M$51,MATCH($A20,'Product Summary'!$A$2:$A$51,0))</f>
        <v>28.348972602739725</v>
      </c>
      <c r="Q20" s="22">
        <f t="shared" si="3"/>
        <v>43.005780346820806</v>
      </c>
      <c r="R20" s="22">
        <f t="shared" si="4"/>
        <v>38.089773537097159</v>
      </c>
      <c r="S20" s="19" t="str">
        <f t="shared" si="5"/>
        <v>HEALTHY</v>
      </c>
    </row>
    <row r="21" spans="1:19" x14ac:dyDescent="0.3">
      <c r="A21" s="19" t="s">
        <v>70</v>
      </c>
      <c r="B21" s="19" t="s">
        <v>71</v>
      </c>
      <c r="C21" s="19" t="s">
        <v>30</v>
      </c>
      <c r="D21" s="19" t="s">
        <v>41</v>
      </c>
      <c r="E21" s="19">
        <f>SUMIFS('Stock Inflow'!$G$2:$G$601,'Stock Inflow'!$A$2:$A$601,$A21,'Stock Inflow'!$D$2:$D$601,$D21)</f>
        <v>248</v>
      </c>
      <c r="F21" s="19">
        <f>SUMIFS('Stock Inflow'!$F$2:$F$601,'Stock Inflow'!$A$2:$A$601,$A21,'Stock Inflow'!$D$2:$D$601,$D21)</f>
        <v>201</v>
      </c>
      <c r="G21" s="19">
        <f>SUMIFS('Stock Inflow'!$E$2:$E$601,'Stock Inflow'!$A$2:$A$601,$A21,'Stock Inflow'!$D$2:$D$601,$D21)</f>
        <v>4</v>
      </c>
      <c r="H21" s="19">
        <f>SUMIFS('Stock Outflow'!$F$2:$F$601,'Stock Outflow'!$A$2:$A$601,$A21,'Stock Outflow'!$D$2:$D$601,$D21)</f>
        <v>168</v>
      </c>
      <c r="I21" s="19">
        <f>SUMIFS('Stock Outflow'!$E$2:$E$601,'Stock Outflow'!$A$2:$A$601,$A21,'Stock Outflow'!$D$2:$D$601,$D21)</f>
        <v>4</v>
      </c>
      <c r="J21" s="19">
        <f t="shared" si="0"/>
        <v>281</v>
      </c>
      <c r="K21" s="20">
        <f>INDEX('Item Master'!$F$2:$F$51,MATCH($A21,'Item Master'!$A$2:$A$51,0))</f>
        <v>1200</v>
      </c>
      <c r="L21" s="20">
        <f t="shared" si="1"/>
        <v>201600</v>
      </c>
      <c r="M21" s="21">
        <f t="shared" si="2"/>
        <v>5.6</v>
      </c>
      <c r="N21" s="19">
        <f>INDEX('Item Master'!$E$2:$E$51,MATCH($A21,'Item Master'!$A$2:$A$51,0))</f>
        <v>3</v>
      </c>
      <c r="O21" s="22">
        <f>INDEX('Product Summary'!$L$2:$L$51,MATCH($A21,'Product Summary'!$A$2:$A$51,0))</f>
        <v>10.274999999999999</v>
      </c>
      <c r="P21" s="22">
        <f>INDEX('Product Summary'!$M$2:$M$51,MATCH($A21,'Product Summary'!$A$2:$A$51,0))</f>
        <v>28.348972602739725</v>
      </c>
      <c r="Q21" s="22">
        <f t="shared" si="3"/>
        <v>50.178571428571431</v>
      </c>
      <c r="R21" s="22">
        <f t="shared" si="4"/>
        <v>45.116254892367905</v>
      </c>
      <c r="S21" s="19" t="str">
        <f t="shared" si="5"/>
        <v>HEALTHY</v>
      </c>
    </row>
    <row r="22" spans="1:19" x14ac:dyDescent="0.3">
      <c r="A22" s="19" t="s">
        <v>70</v>
      </c>
      <c r="B22" s="19" t="s">
        <v>71</v>
      </c>
      <c r="C22" s="19" t="s">
        <v>30</v>
      </c>
      <c r="D22" s="19" t="s">
        <v>43</v>
      </c>
      <c r="E22" s="19">
        <f>SUMIFS('Stock Inflow'!$G$2:$G$601,'Stock Inflow'!$A$2:$A$601,$A22,'Stock Inflow'!$D$2:$D$601,$D22)</f>
        <v>281</v>
      </c>
      <c r="F22" s="19">
        <f>SUMIFS('Stock Inflow'!$F$2:$F$601,'Stock Inflow'!$A$2:$A$601,$A22,'Stock Inflow'!$D$2:$D$601,$D22)</f>
        <v>207</v>
      </c>
      <c r="G22" s="19">
        <f>SUMIFS('Stock Inflow'!$E$2:$E$601,'Stock Inflow'!$A$2:$A$601,$A22,'Stock Inflow'!$D$2:$D$601,$D22)</f>
        <v>2</v>
      </c>
      <c r="H22" s="19">
        <f>SUMIFS('Stock Outflow'!$F$2:$F$601,'Stock Outflow'!$A$2:$A$601,$A22,'Stock Outflow'!$D$2:$D$601,$D22)</f>
        <v>159</v>
      </c>
      <c r="I22" s="19">
        <f>SUMIFS('Stock Outflow'!$E$2:$E$601,'Stock Outflow'!$A$2:$A$601,$A22,'Stock Outflow'!$D$2:$D$601,$D22)</f>
        <v>3</v>
      </c>
      <c r="J22" s="19">
        <f t="shared" si="0"/>
        <v>328</v>
      </c>
      <c r="K22" s="20">
        <f>INDEX('Item Master'!$F$2:$F$51,MATCH($A22,'Item Master'!$A$2:$A$51,0))</f>
        <v>1200</v>
      </c>
      <c r="L22" s="20">
        <f t="shared" si="1"/>
        <v>190800</v>
      </c>
      <c r="M22" s="21">
        <f t="shared" si="2"/>
        <v>5.3</v>
      </c>
      <c r="N22" s="19">
        <f>INDEX('Item Master'!$E$2:$E$51,MATCH($A22,'Item Master'!$A$2:$A$51,0))</f>
        <v>3</v>
      </c>
      <c r="O22" s="22">
        <f>INDEX('Product Summary'!$L$2:$L$51,MATCH($A22,'Product Summary'!$A$2:$A$51,0))</f>
        <v>10.274999999999999</v>
      </c>
      <c r="P22" s="22">
        <f>INDEX('Product Summary'!$M$2:$M$51,MATCH($A22,'Product Summary'!$A$2:$A$51,0))</f>
        <v>28.348972602739725</v>
      </c>
      <c r="Q22" s="22">
        <f t="shared" si="3"/>
        <v>61.886792452830193</v>
      </c>
      <c r="R22" s="22">
        <f t="shared" si="4"/>
        <v>56.537929697596283</v>
      </c>
      <c r="S22" s="19" t="str">
        <f t="shared" si="5"/>
        <v>HEALTHY</v>
      </c>
    </row>
    <row r="23" spans="1:19" x14ac:dyDescent="0.3">
      <c r="A23" s="19" t="s">
        <v>70</v>
      </c>
      <c r="B23" s="19" t="s">
        <v>71</v>
      </c>
      <c r="C23" s="19" t="s">
        <v>30</v>
      </c>
      <c r="D23" s="19" t="s">
        <v>45</v>
      </c>
      <c r="E23" s="19">
        <f>SUMIFS('Stock Inflow'!$G$2:$G$601,'Stock Inflow'!$A$2:$A$601,$A23,'Stock Inflow'!$D$2:$D$601,$D23)</f>
        <v>328</v>
      </c>
      <c r="F23" s="19">
        <f>SUMIFS('Stock Inflow'!$F$2:$F$601,'Stock Inflow'!$A$2:$A$601,$A23,'Stock Inflow'!$D$2:$D$601,$D23)</f>
        <v>356</v>
      </c>
      <c r="G23" s="19">
        <f>SUMIFS('Stock Inflow'!$E$2:$E$601,'Stock Inflow'!$A$2:$A$601,$A23,'Stock Inflow'!$D$2:$D$601,$D23)</f>
        <v>4</v>
      </c>
      <c r="H23" s="19">
        <f>SUMIFS('Stock Outflow'!$F$2:$F$601,'Stock Outflow'!$A$2:$A$601,$A23,'Stock Outflow'!$D$2:$D$601,$D23)</f>
        <v>286</v>
      </c>
      <c r="I23" s="19">
        <f>SUMIFS('Stock Outflow'!$E$2:$E$601,'Stock Outflow'!$A$2:$A$601,$A23,'Stock Outflow'!$D$2:$D$601,$D23)</f>
        <v>2</v>
      </c>
      <c r="J23" s="19">
        <f t="shared" si="0"/>
        <v>400</v>
      </c>
      <c r="K23" s="20">
        <f>INDEX('Item Master'!$F$2:$F$51,MATCH($A23,'Item Master'!$A$2:$A$51,0))</f>
        <v>1200</v>
      </c>
      <c r="L23" s="20">
        <f t="shared" si="1"/>
        <v>343200</v>
      </c>
      <c r="M23" s="21">
        <f t="shared" si="2"/>
        <v>9.5333333333333332</v>
      </c>
      <c r="N23" s="19">
        <f>INDEX('Item Master'!$E$2:$E$51,MATCH($A23,'Item Master'!$A$2:$A$51,0))</f>
        <v>3</v>
      </c>
      <c r="O23" s="22">
        <f>INDEX('Product Summary'!$L$2:$L$51,MATCH($A23,'Product Summary'!$A$2:$A$51,0))</f>
        <v>10.274999999999999</v>
      </c>
      <c r="P23" s="22">
        <f>INDEX('Product Summary'!$M$2:$M$51,MATCH($A23,'Product Summary'!$A$2:$A$51,0))</f>
        <v>28.348972602739725</v>
      </c>
      <c r="Q23" s="22">
        <f t="shared" si="3"/>
        <v>41.95804195804196</v>
      </c>
      <c r="R23" s="22">
        <f t="shared" si="4"/>
        <v>38.98437350320912</v>
      </c>
      <c r="S23" s="19" t="str">
        <f t="shared" si="5"/>
        <v>HEALTHY</v>
      </c>
    </row>
    <row r="24" spans="1:19" x14ac:dyDescent="0.3">
      <c r="A24" s="19" t="s">
        <v>70</v>
      </c>
      <c r="B24" s="19" t="s">
        <v>71</v>
      </c>
      <c r="C24" s="19" t="s">
        <v>30</v>
      </c>
      <c r="D24" s="19" t="s">
        <v>47</v>
      </c>
      <c r="E24" s="19">
        <f>SUMIFS('Stock Inflow'!$G$2:$G$601,'Stock Inflow'!$A$2:$A$601,$A24,'Stock Inflow'!$D$2:$D$601,$D24)</f>
        <v>400</v>
      </c>
      <c r="F24" s="19">
        <f>SUMIFS('Stock Inflow'!$F$2:$F$601,'Stock Inflow'!$A$2:$A$601,$A24,'Stock Inflow'!$D$2:$D$601,$D24)</f>
        <v>229</v>
      </c>
      <c r="G24" s="19">
        <f>SUMIFS('Stock Inflow'!$E$2:$E$601,'Stock Inflow'!$A$2:$A$601,$A24,'Stock Inflow'!$D$2:$D$601,$D24)</f>
        <v>4</v>
      </c>
      <c r="H24" s="19">
        <f>SUMIFS('Stock Outflow'!$F$2:$F$601,'Stock Outflow'!$A$2:$A$601,$A24,'Stock Outflow'!$D$2:$D$601,$D24)</f>
        <v>201</v>
      </c>
      <c r="I24" s="19">
        <f>SUMIFS('Stock Outflow'!$E$2:$E$601,'Stock Outflow'!$A$2:$A$601,$A24,'Stock Outflow'!$D$2:$D$601,$D24)</f>
        <v>4</v>
      </c>
      <c r="J24" s="19">
        <f t="shared" si="0"/>
        <v>428</v>
      </c>
      <c r="K24" s="20">
        <f>INDEX('Item Master'!$F$2:$F$51,MATCH($A24,'Item Master'!$A$2:$A$51,0))</f>
        <v>1200</v>
      </c>
      <c r="L24" s="20">
        <f t="shared" si="1"/>
        <v>241200</v>
      </c>
      <c r="M24" s="21">
        <f t="shared" si="2"/>
        <v>6.7</v>
      </c>
      <c r="N24" s="19">
        <f>INDEX('Item Master'!$E$2:$E$51,MATCH($A24,'Item Master'!$A$2:$A$51,0))</f>
        <v>3</v>
      </c>
      <c r="O24" s="22">
        <f>INDEX('Product Summary'!$L$2:$L$51,MATCH($A24,'Product Summary'!$A$2:$A$51,0))</f>
        <v>10.274999999999999</v>
      </c>
      <c r="P24" s="22">
        <f>INDEX('Product Summary'!$M$2:$M$51,MATCH($A24,'Product Summary'!$A$2:$A$51,0))</f>
        <v>28.348972602739725</v>
      </c>
      <c r="Q24" s="22">
        <f t="shared" si="3"/>
        <v>63.880597014925371</v>
      </c>
      <c r="R24" s="22">
        <f t="shared" si="4"/>
        <v>59.649407074217955</v>
      </c>
      <c r="S24" s="19" t="str">
        <f t="shared" si="5"/>
        <v>HEALTHY</v>
      </c>
    </row>
    <row r="25" spans="1:19" x14ac:dyDescent="0.3">
      <c r="A25" s="19" t="s">
        <v>70</v>
      </c>
      <c r="B25" s="19" t="s">
        <v>71</v>
      </c>
      <c r="C25" s="19" t="s">
        <v>30</v>
      </c>
      <c r="D25" s="19" t="s">
        <v>49</v>
      </c>
      <c r="E25" s="19">
        <f>SUMIFS('Stock Inflow'!$G$2:$G$601,'Stock Inflow'!$A$2:$A$601,$A25,'Stock Inflow'!$D$2:$D$601,$D25)</f>
        <v>428</v>
      </c>
      <c r="F25" s="19">
        <f>SUMIFS('Stock Inflow'!$F$2:$F$601,'Stock Inflow'!$A$2:$A$601,$A25,'Stock Inflow'!$D$2:$D$601,$D25)</f>
        <v>164</v>
      </c>
      <c r="G25" s="19">
        <f>SUMIFS('Stock Inflow'!$E$2:$E$601,'Stock Inflow'!$A$2:$A$601,$A25,'Stock Inflow'!$D$2:$D$601,$D25)</f>
        <v>4</v>
      </c>
      <c r="H25" s="19">
        <f>SUMIFS('Stock Outflow'!$F$2:$F$601,'Stock Outflow'!$A$2:$A$601,$A25,'Stock Outflow'!$D$2:$D$601,$D25)</f>
        <v>164</v>
      </c>
      <c r="I25" s="19">
        <f>SUMIFS('Stock Outflow'!$E$2:$E$601,'Stock Outflow'!$A$2:$A$601,$A25,'Stock Outflow'!$D$2:$D$601,$D25)</f>
        <v>5</v>
      </c>
      <c r="J25" s="19">
        <f t="shared" si="0"/>
        <v>427</v>
      </c>
      <c r="K25" s="20">
        <f>INDEX('Item Master'!$F$2:$F$51,MATCH($A25,'Item Master'!$A$2:$A$51,0))</f>
        <v>1200</v>
      </c>
      <c r="L25" s="20">
        <f t="shared" si="1"/>
        <v>196800</v>
      </c>
      <c r="M25" s="21">
        <f t="shared" si="2"/>
        <v>5.4666666666666668</v>
      </c>
      <c r="N25" s="19">
        <f>INDEX('Item Master'!$E$2:$E$51,MATCH($A25,'Item Master'!$A$2:$A$51,0))</f>
        <v>3</v>
      </c>
      <c r="O25" s="22">
        <f>INDEX('Product Summary'!$L$2:$L$51,MATCH($A25,'Product Summary'!$A$2:$A$51,0))</f>
        <v>10.274999999999999</v>
      </c>
      <c r="P25" s="22">
        <f>INDEX('Product Summary'!$M$2:$M$51,MATCH($A25,'Product Summary'!$A$2:$A$51,0))</f>
        <v>28.348972602739725</v>
      </c>
      <c r="Q25" s="22">
        <f t="shared" si="3"/>
        <v>78.109756097560975</v>
      </c>
      <c r="R25" s="22">
        <f t="shared" si="4"/>
        <v>72.923968426328102</v>
      </c>
      <c r="S25" s="19" t="str">
        <f t="shared" si="5"/>
        <v>HEALTHY</v>
      </c>
    </row>
    <row r="26" spans="1:19" x14ac:dyDescent="0.3">
      <c r="A26" s="19" t="s">
        <v>73</v>
      </c>
      <c r="B26" s="19" t="s">
        <v>74</v>
      </c>
      <c r="C26" s="19" t="s">
        <v>30</v>
      </c>
      <c r="D26" s="19" t="s">
        <v>27</v>
      </c>
      <c r="E26" s="19">
        <f>SUMIFS('Stock Inflow'!$G$2:$G$601,'Stock Inflow'!$A$2:$A$601,$A26,'Stock Inflow'!$D$2:$D$601,$D26)</f>
        <v>216</v>
      </c>
      <c r="F26" s="19">
        <f>SUMIFS('Stock Inflow'!$F$2:$F$601,'Stock Inflow'!$A$2:$A$601,$A26,'Stock Inflow'!$D$2:$D$601,$D26)</f>
        <v>233</v>
      </c>
      <c r="G26" s="19">
        <f>SUMIFS('Stock Inflow'!$E$2:$E$601,'Stock Inflow'!$A$2:$A$601,$A26,'Stock Inflow'!$D$2:$D$601,$D26)</f>
        <v>4</v>
      </c>
      <c r="H26" s="19">
        <f>SUMIFS('Stock Outflow'!$F$2:$F$601,'Stock Outflow'!$A$2:$A$601,$A26,'Stock Outflow'!$D$2:$D$601,$D26)</f>
        <v>225</v>
      </c>
      <c r="I26" s="19">
        <f>SUMIFS('Stock Outflow'!$E$2:$E$601,'Stock Outflow'!$A$2:$A$601,$A26,'Stock Outflow'!$D$2:$D$601,$D26)</f>
        <v>1</v>
      </c>
      <c r="J26" s="19">
        <f t="shared" si="0"/>
        <v>227</v>
      </c>
      <c r="K26" s="20">
        <f>INDEX('Item Master'!$F$2:$F$51,MATCH($A26,'Item Master'!$A$2:$A$51,0))</f>
        <v>2200</v>
      </c>
      <c r="L26" s="20">
        <f t="shared" si="1"/>
        <v>495000</v>
      </c>
      <c r="M26" s="21">
        <f t="shared" si="2"/>
        <v>7.5</v>
      </c>
      <c r="N26" s="19">
        <f>INDEX('Item Master'!$E$2:$E$51,MATCH($A26,'Item Master'!$A$2:$A$51,0))</f>
        <v>5</v>
      </c>
      <c r="O26" s="22">
        <f>INDEX('Product Summary'!$L$2:$L$51,MATCH($A26,'Product Summary'!$A$2:$A$51,0))</f>
        <v>23.736111111111107</v>
      </c>
      <c r="P26" s="22">
        <f>INDEX('Product Summary'!$M$2:$M$51,MATCH($A26,'Product Summary'!$A$2:$A$51,0))</f>
        <v>62.297754946727544</v>
      </c>
      <c r="Q26" s="22">
        <f t="shared" si="3"/>
        <v>30.266666666666666</v>
      </c>
      <c r="R26" s="22">
        <f t="shared" si="4"/>
        <v>21.960299340436329</v>
      </c>
      <c r="S26" s="19" t="str">
        <f t="shared" si="5"/>
        <v>HEALTHY</v>
      </c>
    </row>
    <row r="27" spans="1:19" x14ac:dyDescent="0.3">
      <c r="A27" s="19" t="s">
        <v>73</v>
      </c>
      <c r="B27" s="19" t="s">
        <v>74</v>
      </c>
      <c r="C27" s="19" t="s">
        <v>30</v>
      </c>
      <c r="D27" s="19" t="s">
        <v>29</v>
      </c>
      <c r="E27" s="19">
        <f>SUMIFS('Stock Inflow'!$G$2:$G$601,'Stock Inflow'!$A$2:$A$601,$A27,'Stock Inflow'!$D$2:$D$601,$D27)</f>
        <v>227</v>
      </c>
      <c r="F27" s="19">
        <f>SUMIFS('Stock Inflow'!$F$2:$F$601,'Stock Inflow'!$A$2:$A$601,$A27,'Stock Inflow'!$D$2:$D$601,$D27)</f>
        <v>210</v>
      </c>
      <c r="G27" s="19">
        <f>SUMIFS('Stock Inflow'!$E$2:$E$601,'Stock Inflow'!$A$2:$A$601,$A27,'Stock Inflow'!$D$2:$D$601,$D27)</f>
        <v>6</v>
      </c>
      <c r="H27" s="19">
        <f>SUMIFS('Stock Outflow'!$F$2:$F$601,'Stock Outflow'!$A$2:$A$601,$A27,'Stock Outflow'!$D$2:$D$601,$D27)</f>
        <v>177</v>
      </c>
      <c r="I27" s="19">
        <f>SUMIFS('Stock Outflow'!$E$2:$E$601,'Stock Outflow'!$A$2:$A$601,$A27,'Stock Outflow'!$D$2:$D$601,$D27)</f>
        <v>6</v>
      </c>
      <c r="J27" s="19">
        <f t="shared" si="0"/>
        <v>260</v>
      </c>
      <c r="K27" s="20">
        <f>INDEX('Item Master'!$F$2:$F$51,MATCH($A27,'Item Master'!$A$2:$A$51,0))</f>
        <v>2200</v>
      </c>
      <c r="L27" s="20">
        <f t="shared" si="1"/>
        <v>389400</v>
      </c>
      <c r="M27" s="21">
        <f t="shared" si="2"/>
        <v>5.9</v>
      </c>
      <c r="N27" s="19">
        <f>INDEX('Item Master'!$E$2:$E$51,MATCH($A27,'Item Master'!$A$2:$A$51,0))</f>
        <v>5</v>
      </c>
      <c r="O27" s="22">
        <f>INDEX('Product Summary'!$L$2:$L$51,MATCH($A27,'Product Summary'!$A$2:$A$51,0))</f>
        <v>23.736111111111107</v>
      </c>
      <c r="P27" s="22">
        <f>INDEX('Product Summary'!$M$2:$M$51,MATCH($A27,'Product Summary'!$A$2:$A$51,0))</f>
        <v>62.297754946727544</v>
      </c>
      <c r="Q27" s="22">
        <f t="shared" si="3"/>
        <v>44.067796610169488</v>
      </c>
      <c r="R27" s="22">
        <f t="shared" si="4"/>
        <v>33.50885509377499</v>
      </c>
      <c r="S27" s="19" t="str">
        <f t="shared" si="5"/>
        <v>HEALTHY</v>
      </c>
    </row>
    <row r="28" spans="1:19" x14ac:dyDescent="0.3">
      <c r="A28" s="19" t="s">
        <v>73</v>
      </c>
      <c r="B28" s="19" t="s">
        <v>74</v>
      </c>
      <c r="C28" s="19" t="s">
        <v>30</v>
      </c>
      <c r="D28" s="19" t="s">
        <v>31</v>
      </c>
      <c r="E28" s="19">
        <f>SUMIFS('Stock Inflow'!$G$2:$G$601,'Stock Inflow'!$A$2:$A$601,$A28,'Stock Inflow'!$D$2:$D$601,$D28)</f>
        <v>260</v>
      </c>
      <c r="F28" s="19">
        <f>SUMIFS('Stock Inflow'!$F$2:$F$601,'Stock Inflow'!$A$2:$A$601,$A28,'Stock Inflow'!$D$2:$D$601,$D28)</f>
        <v>247</v>
      </c>
      <c r="G28" s="19">
        <f>SUMIFS('Stock Inflow'!$E$2:$E$601,'Stock Inflow'!$A$2:$A$601,$A28,'Stock Inflow'!$D$2:$D$601,$D28)</f>
        <v>3</v>
      </c>
      <c r="H28" s="19">
        <f>SUMIFS('Stock Outflow'!$F$2:$F$601,'Stock Outflow'!$A$2:$A$601,$A28,'Stock Outflow'!$D$2:$D$601,$D28)</f>
        <v>224</v>
      </c>
      <c r="I28" s="19">
        <f>SUMIFS('Stock Outflow'!$E$2:$E$601,'Stock Outflow'!$A$2:$A$601,$A28,'Stock Outflow'!$D$2:$D$601,$D28)</f>
        <v>5</v>
      </c>
      <c r="J28" s="19">
        <f t="shared" si="0"/>
        <v>281</v>
      </c>
      <c r="K28" s="20">
        <f>INDEX('Item Master'!$F$2:$F$51,MATCH($A28,'Item Master'!$A$2:$A$51,0))</f>
        <v>2200</v>
      </c>
      <c r="L28" s="20">
        <f t="shared" si="1"/>
        <v>492800</v>
      </c>
      <c r="M28" s="21">
        <f t="shared" si="2"/>
        <v>7.4666666666666668</v>
      </c>
      <c r="N28" s="19">
        <f>INDEX('Item Master'!$E$2:$E$51,MATCH($A28,'Item Master'!$A$2:$A$51,0))</f>
        <v>5</v>
      </c>
      <c r="O28" s="22">
        <f>INDEX('Product Summary'!$L$2:$L$51,MATCH($A28,'Product Summary'!$A$2:$A$51,0))</f>
        <v>23.736111111111107</v>
      </c>
      <c r="P28" s="22">
        <f>INDEX('Product Summary'!$M$2:$M$51,MATCH($A28,'Product Summary'!$A$2:$A$51,0))</f>
        <v>62.297754946727544</v>
      </c>
      <c r="Q28" s="22">
        <f t="shared" si="3"/>
        <v>37.633928571428569</v>
      </c>
      <c r="R28" s="22">
        <f t="shared" si="4"/>
        <v>29.290479248206132</v>
      </c>
      <c r="S28" s="19" t="str">
        <f t="shared" si="5"/>
        <v>HEALTHY</v>
      </c>
    </row>
    <row r="29" spans="1:19" x14ac:dyDescent="0.3">
      <c r="A29" s="19" t="s">
        <v>73</v>
      </c>
      <c r="B29" s="19" t="s">
        <v>74</v>
      </c>
      <c r="C29" s="19" t="s">
        <v>30</v>
      </c>
      <c r="D29" s="19" t="s">
        <v>33</v>
      </c>
      <c r="E29" s="19">
        <f>SUMIFS('Stock Inflow'!$G$2:$G$601,'Stock Inflow'!$A$2:$A$601,$A29,'Stock Inflow'!$D$2:$D$601,$D29)</f>
        <v>281</v>
      </c>
      <c r="F29" s="19">
        <f>SUMIFS('Stock Inflow'!$F$2:$F$601,'Stock Inflow'!$A$2:$A$601,$A29,'Stock Inflow'!$D$2:$D$601,$D29)</f>
        <v>253</v>
      </c>
      <c r="G29" s="19">
        <f>SUMIFS('Stock Inflow'!$E$2:$E$601,'Stock Inflow'!$A$2:$A$601,$A29,'Stock Inflow'!$D$2:$D$601,$D29)</f>
        <v>4</v>
      </c>
      <c r="H29" s="19">
        <f>SUMIFS('Stock Outflow'!$F$2:$F$601,'Stock Outflow'!$A$2:$A$601,$A29,'Stock Outflow'!$D$2:$D$601,$D29)</f>
        <v>229</v>
      </c>
      <c r="I29" s="19">
        <f>SUMIFS('Stock Outflow'!$E$2:$E$601,'Stock Outflow'!$A$2:$A$601,$A29,'Stock Outflow'!$D$2:$D$601,$D29)</f>
        <v>3</v>
      </c>
      <c r="J29" s="19">
        <f t="shared" si="0"/>
        <v>306</v>
      </c>
      <c r="K29" s="20">
        <f>INDEX('Item Master'!$F$2:$F$51,MATCH($A29,'Item Master'!$A$2:$A$51,0))</f>
        <v>2200</v>
      </c>
      <c r="L29" s="20">
        <f t="shared" si="1"/>
        <v>503800</v>
      </c>
      <c r="M29" s="21">
        <f t="shared" si="2"/>
        <v>7.6333333333333337</v>
      </c>
      <c r="N29" s="19">
        <f>INDEX('Item Master'!$E$2:$E$51,MATCH($A29,'Item Master'!$A$2:$A$51,0))</f>
        <v>5</v>
      </c>
      <c r="O29" s="22">
        <f>INDEX('Product Summary'!$L$2:$L$51,MATCH($A29,'Product Summary'!$A$2:$A$51,0))</f>
        <v>23.736111111111107</v>
      </c>
      <c r="P29" s="22">
        <f>INDEX('Product Summary'!$M$2:$M$51,MATCH($A29,'Product Summary'!$A$2:$A$51,0))</f>
        <v>62.297754946727544</v>
      </c>
      <c r="Q29" s="22">
        <f t="shared" si="3"/>
        <v>40.087336244541483</v>
      </c>
      <c r="R29" s="22">
        <f t="shared" si="4"/>
        <v>31.926058303922154</v>
      </c>
      <c r="S29" s="19" t="str">
        <f t="shared" si="5"/>
        <v>HEALTHY</v>
      </c>
    </row>
    <row r="30" spans="1:19" x14ac:dyDescent="0.3">
      <c r="A30" s="19" t="s">
        <v>73</v>
      </c>
      <c r="B30" s="19" t="s">
        <v>74</v>
      </c>
      <c r="C30" s="19" t="s">
        <v>30</v>
      </c>
      <c r="D30" s="19" t="s">
        <v>35</v>
      </c>
      <c r="E30" s="19">
        <f>SUMIFS('Stock Inflow'!$G$2:$G$601,'Stock Inflow'!$A$2:$A$601,$A30,'Stock Inflow'!$D$2:$D$601,$D30)</f>
        <v>306</v>
      </c>
      <c r="F30" s="19">
        <f>SUMIFS('Stock Inflow'!$F$2:$F$601,'Stock Inflow'!$A$2:$A$601,$A30,'Stock Inflow'!$D$2:$D$601,$D30)</f>
        <v>240</v>
      </c>
      <c r="G30" s="19">
        <f>SUMIFS('Stock Inflow'!$E$2:$E$601,'Stock Inflow'!$A$2:$A$601,$A30,'Stock Inflow'!$D$2:$D$601,$D30)</f>
        <v>7</v>
      </c>
      <c r="H30" s="19">
        <f>SUMIFS('Stock Outflow'!$F$2:$F$601,'Stock Outflow'!$A$2:$A$601,$A30,'Stock Outflow'!$D$2:$D$601,$D30)</f>
        <v>187</v>
      </c>
      <c r="I30" s="19">
        <f>SUMIFS('Stock Outflow'!$E$2:$E$601,'Stock Outflow'!$A$2:$A$601,$A30,'Stock Outflow'!$D$2:$D$601,$D30)</f>
        <v>7</v>
      </c>
      <c r="J30" s="19">
        <f t="shared" si="0"/>
        <v>359</v>
      </c>
      <c r="K30" s="20">
        <f>INDEX('Item Master'!$F$2:$F$51,MATCH($A30,'Item Master'!$A$2:$A$51,0))</f>
        <v>2200</v>
      </c>
      <c r="L30" s="20">
        <f t="shared" si="1"/>
        <v>411400</v>
      </c>
      <c r="M30" s="21">
        <f t="shared" si="2"/>
        <v>6.2333333333333334</v>
      </c>
      <c r="N30" s="19">
        <f>INDEX('Item Master'!$E$2:$E$51,MATCH($A30,'Item Master'!$A$2:$A$51,0))</f>
        <v>5</v>
      </c>
      <c r="O30" s="22">
        <f>INDEX('Product Summary'!$L$2:$L$51,MATCH($A30,'Product Summary'!$A$2:$A$51,0))</f>
        <v>23.736111111111107</v>
      </c>
      <c r="P30" s="22">
        <f>INDEX('Product Summary'!$M$2:$M$51,MATCH($A30,'Product Summary'!$A$2:$A$51,0))</f>
        <v>62.297754946727544</v>
      </c>
      <c r="Q30" s="22">
        <f t="shared" si="3"/>
        <v>57.593582887700535</v>
      </c>
      <c r="R30" s="22">
        <f t="shared" si="4"/>
        <v>47.599290650257615</v>
      </c>
      <c r="S30" s="19" t="str">
        <f t="shared" si="5"/>
        <v>HEALTHY</v>
      </c>
    </row>
    <row r="31" spans="1:19" x14ac:dyDescent="0.3">
      <c r="A31" s="19" t="s">
        <v>73</v>
      </c>
      <c r="B31" s="19" t="s">
        <v>74</v>
      </c>
      <c r="C31" s="19" t="s">
        <v>30</v>
      </c>
      <c r="D31" s="19" t="s">
        <v>37</v>
      </c>
      <c r="E31" s="19">
        <f>SUMIFS('Stock Inflow'!$G$2:$G$601,'Stock Inflow'!$A$2:$A$601,$A31,'Stock Inflow'!$D$2:$D$601,$D31)</f>
        <v>359</v>
      </c>
      <c r="F31" s="19">
        <f>SUMIFS('Stock Inflow'!$F$2:$F$601,'Stock Inflow'!$A$2:$A$601,$A31,'Stock Inflow'!$D$2:$D$601,$D31)</f>
        <v>234</v>
      </c>
      <c r="G31" s="19">
        <f>SUMIFS('Stock Inflow'!$E$2:$E$601,'Stock Inflow'!$A$2:$A$601,$A31,'Stock Inflow'!$D$2:$D$601,$D31)</f>
        <v>3</v>
      </c>
      <c r="H31" s="19">
        <f>SUMIFS('Stock Outflow'!$F$2:$F$601,'Stock Outflow'!$A$2:$A$601,$A31,'Stock Outflow'!$D$2:$D$601,$D31)</f>
        <v>214</v>
      </c>
      <c r="I31" s="19">
        <f>SUMIFS('Stock Outflow'!$E$2:$E$601,'Stock Outflow'!$A$2:$A$601,$A31,'Stock Outflow'!$D$2:$D$601,$D31)</f>
        <v>3</v>
      </c>
      <c r="J31" s="19">
        <f t="shared" si="0"/>
        <v>379</v>
      </c>
      <c r="K31" s="20">
        <f>INDEX('Item Master'!$F$2:$F$51,MATCH($A31,'Item Master'!$A$2:$A$51,0))</f>
        <v>2200</v>
      </c>
      <c r="L31" s="20">
        <f t="shared" si="1"/>
        <v>470800</v>
      </c>
      <c r="M31" s="21">
        <f t="shared" si="2"/>
        <v>7.1333333333333337</v>
      </c>
      <c r="N31" s="19">
        <f>INDEX('Item Master'!$E$2:$E$51,MATCH($A31,'Item Master'!$A$2:$A$51,0))</f>
        <v>5</v>
      </c>
      <c r="O31" s="22">
        <f>INDEX('Product Summary'!$L$2:$L$51,MATCH($A31,'Product Summary'!$A$2:$A$51,0))</f>
        <v>23.736111111111107</v>
      </c>
      <c r="P31" s="22">
        <f>INDEX('Product Summary'!$M$2:$M$51,MATCH($A31,'Product Summary'!$A$2:$A$51,0))</f>
        <v>62.297754946727544</v>
      </c>
      <c r="Q31" s="22">
        <f t="shared" si="3"/>
        <v>53.130841121495322</v>
      </c>
      <c r="R31" s="22">
        <f t="shared" si="4"/>
        <v>44.39751098877651</v>
      </c>
      <c r="S31" s="19" t="str">
        <f t="shared" si="5"/>
        <v>HEALTHY</v>
      </c>
    </row>
    <row r="32" spans="1:19" x14ac:dyDescent="0.3">
      <c r="A32" s="19" t="s">
        <v>73</v>
      </c>
      <c r="B32" s="19" t="s">
        <v>74</v>
      </c>
      <c r="C32" s="19" t="s">
        <v>30</v>
      </c>
      <c r="D32" s="19" t="s">
        <v>39</v>
      </c>
      <c r="E32" s="19">
        <f>SUMIFS('Stock Inflow'!$G$2:$G$601,'Stock Inflow'!$A$2:$A$601,$A32,'Stock Inflow'!$D$2:$D$601,$D32)</f>
        <v>379</v>
      </c>
      <c r="F32" s="19">
        <f>SUMIFS('Stock Inflow'!$F$2:$F$601,'Stock Inflow'!$A$2:$A$601,$A32,'Stock Inflow'!$D$2:$D$601,$D32)</f>
        <v>291</v>
      </c>
      <c r="G32" s="19">
        <f>SUMIFS('Stock Inflow'!$E$2:$E$601,'Stock Inflow'!$A$2:$A$601,$A32,'Stock Inflow'!$D$2:$D$601,$D32)</f>
        <v>4</v>
      </c>
      <c r="H32" s="19">
        <f>SUMIFS('Stock Outflow'!$F$2:$F$601,'Stock Outflow'!$A$2:$A$601,$A32,'Stock Outflow'!$D$2:$D$601,$D32)</f>
        <v>238</v>
      </c>
      <c r="I32" s="19">
        <f>SUMIFS('Stock Outflow'!$E$2:$E$601,'Stock Outflow'!$A$2:$A$601,$A32,'Stock Outflow'!$D$2:$D$601,$D32)</f>
        <v>2</v>
      </c>
      <c r="J32" s="19">
        <f t="shared" si="0"/>
        <v>434</v>
      </c>
      <c r="K32" s="20">
        <f>INDEX('Item Master'!$F$2:$F$51,MATCH($A32,'Item Master'!$A$2:$A$51,0))</f>
        <v>2200</v>
      </c>
      <c r="L32" s="20">
        <f t="shared" si="1"/>
        <v>523600</v>
      </c>
      <c r="M32" s="21">
        <f t="shared" si="2"/>
        <v>7.9333333333333336</v>
      </c>
      <c r="N32" s="19">
        <f>INDEX('Item Master'!$E$2:$E$51,MATCH($A32,'Item Master'!$A$2:$A$51,0))</f>
        <v>5</v>
      </c>
      <c r="O32" s="22">
        <f>INDEX('Product Summary'!$L$2:$L$51,MATCH($A32,'Product Summary'!$A$2:$A$51,0))</f>
        <v>23.736111111111107</v>
      </c>
      <c r="P32" s="22">
        <f>INDEX('Product Summary'!$M$2:$M$51,MATCH($A32,'Product Summary'!$A$2:$A$51,0))</f>
        <v>62.297754946727544</v>
      </c>
      <c r="Q32" s="22">
        <f t="shared" si="3"/>
        <v>54.705882352941174</v>
      </c>
      <c r="R32" s="22">
        <f t="shared" si="4"/>
        <v>46.85322416637888</v>
      </c>
      <c r="S32" s="19" t="str">
        <f t="shared" si="5"/>
        <v>HEALTHY</v>
      </c>
    </row>
    <row r="33" spans="1:19" x14ac:dyDescent="0.3">
      <c r="A33" s="19" t="s">
        <v>73</v>
      </c>
      <c r="B33" s="19" t="s">
        <v>74</v>
      </c>
      <c r="C33" s="19" t="s">
        <v>30</v>
      </c>
      <c r="D33" s="19" t="s">
        <v>41</v>
      </c>
      <c r="E33" s="19">
        <f>SUMIFS('Stock Inflow'!$G$2:$G$601,'Stock Inflow'!$A$2:$A$601,$A33,'Stock Inflow'!$D$2:$D$601,$D33)</f>
        <v>434</v>
      </c>
      <c r="F33" s="19">
        <f>SUMIFS('Stock Inflow'!$F$2:$F$601,'Stock Inflow'!$A$2:$A$601,$A33,'Stock Inflow'!$D$2:$D$601,$D33)</f>
        <v>197</v>
      </c>
      <c r="G33" s="19">
        <f>SUMIFS('Stock Inflow'!$E$2:$E$601,'Stock Inflow'!$A$2:$A$601,$A33,'Stock Inflow'!$D$2:$D$601,$D33)</f>
        <v>7</v>
      </c>
      <c r="H33" s="19">
        <f>SUMIFS('Stock Outflow'!$F$2:$F$601,'Stock Outflow'!$A$2:$A$601,$A33,'Stock Outflow'!$D$2:$D$601,$D33)</f>
        <v>212</v>
      </c>
      <c r="I33" s="19">
        <f>SUMIFS('Stock Outflow'!$E$2:$E$601,'Stock Outflow'!$A$2:$A$601,$A33,'Stock Outflow'!$D$2:$D$601,$D33)</f>
        <v>5</v>
      </c>
      <c r="J33" s="19">
        <f t="shared" si="0"/>
        <v>421</v>
      </c>
      <c r="K33" s="20">
        <f>INDEX('Item Master'!$F$2:$F$51,MATCH($A33,'Item Master'!$A$2:$A$51,0))</f>
        <v>2200</v>
      </c>
      <c r="L33" s="20">
        <f t="shared" si="1"/>
        <v>466400</v>
      </c>
      <c r="M33" s="21">
        <f t="shared" si="2"/>
        <v>7.0666666666666664</v>
      </c>
      <c r="N33" s="19">
        <f>INDEX('Item Master'!$E$2:$E$51,MATCH($A33,'Item Master'!$A$2:$A$51,0))</f>
        <v>5</v>
      </c>
      <c r="O33" s="22">
        <f>INDEX('Product Summary'!$L$2:$L$51,MATCH($A33,'Product Summary'!$A$2:$A$51,0))</f>
        <v>23.736111111111107</v>
      </c>
      <c r="P33" s="22">
        <f>INDEX('Product Summary'!$M$2:$M$51,MATCH($A33,'Product Summary'!$A$2:$A$51,0))</f>
        <v>62.297754946727544</v>
      </c>
      <c r="Q33" s="22">
        <f t="shared" si="3"/>
        <v>59.575471698113212</v>
      </c>
      <c r="R33" s="22">
        <f t="shared" si="4"/>
        <v>50.759751658481953</v>
      </c>
      <c r="S33" s="19" t="str">
        <f t="shared" si="5"/>
        <v>HEALTHY</v>
      </c>
    </row>
    <row r="34" spans="1:19" x14ac:dyDescent="0.3">
      <c r="A34" s="19" t="s">
        <v>73</v>
      </c>
      <c r="B34" s="19" t="s">
        <v>74</v>
      </c>
      <c r="C34" s="19" t="s">
        <v>30</v>
      </c>
      <c r="D34" s="19" t="s">
        <v>43</v>
      </c>
      <c r="E34" s="19">
        <f>SUMIFS('Stock Inflow'!$G$2:$G$601,'Stock Inflow'!$A$2:$A$601,$A34,'Stock Inflow'!$D$2:$D$601,$D34)</f>
        <v>421</v>
      </c>
      <c r="F34" s="19">
        <f>SUMIFS('Stock Inflow'!$F$2:$F$601,'Stock Inflow'!$A$2:$A$601,$A34,'Stock Inflow'!$D$2:$D$601,$D34)</f>
        <v>265</v>
      </c>
      <c r="G34" s="19">
        <f>SUMIFS('Stock Inflow'!$E$2:$E$601,'Stock Inflow'!$A$2:$A$601,$A34,'Stock Inflow'!$D$2:$D$601,$D34)</f>
        <v>3</v>
      </c>
      <c r="H34" s="19">
        <f>SUMIFS('Stock Outflow'!$F$2:$F$601,'Stock Outflow'!$A$2:$A$601,$A34,'Stock Outflow'!$D$2:$D$601,$D34)</f>
        <v>238</v>
      </c>
      <c r="I34" s="19">
        <f>SUMIFS('Stock Outflow'!$E$2:$E$601,'Stock Outflow'!$A$2:$A$601,$A34,'Stock Outflow'!$D$2:$D$601,$D34)</f>
        <v>5</v>
      </c>
      <c r="J34" s="19">
        <f t="shared" si="0"/>
        <v>446</v>
      </c>
      <c r="K34" s="20">
        <f>INDEX('Item Master'!$F$2:$F$51,MATCH($A34,'Item Master'!$A$2:$A$51,0))</f>
        <v>2200</v>
      </c>
      <c r="L34" s="20">
        <f t="shared" si="1"/>
        <v>523600</v>
      </c>
      <c r="M34" s="21">
        <f t="shared" si="2"/>
        <v>7.9333333333333336</v>
      </c>
      <c r="N34" s="19">
        <f>INDEX('Item Master'!$E$2:$E$51,MATCH($A34,'Item Master'!$A$2:$A$51,0))</f>
        <v>5</v>
      </c>
      <c r="O34" s="22">
        <f>INDEX('Product Summary'!$L$2:$L$51,MATCH($A34,'Product Summary'!$A$2:$A$51,0))</f>
        <v>23.736111111111107</v>
      </c>
      <c r="P34" s="22">
        <f>INDEX('Product Summary'!$M$2:$M$51,MATCH($A34,'Product Summary'!$A$2:$A$51,0))</f>
        <v>62.297754946727544</v>
      </c>
      <c r="Q34" s="22">
        <f t="shared" si="3"/>
        <v>56.218487394957982</v>
      </c>
      <c r="R34" s="22">
        <f t="shared" si="4"/>
        <v>48.365829208395688</v>
      </c>
      <c r="S34" s="19" t="str">
        <f t="shared" si="5"/>
        <v>HEALTHY</v>
      </c>
    </row>
    <row r="35" spans="1:19" x14ac:dyDescent="0.3">
      <c r="A35" s="19" t="s">
        <v>73</v>
      </c>
      <c r="B35" s="19" t="s">
        <v>74</v>
      </c>
      <c r="C35" s="19" t="s">
        <v>30</v>
      </c>
      <c r="D35" s="19" t="s">
        <v>45</v>
      </c>
      <c r="E35" s="19">
        <f>SUMIFS('Stock Inflow'!$G$2:$G$601,'Stock Inflow'!$A$2:$A$601,$A35,'Stock Inflow'!$D$2:$D$601,$D35)</f>
        <v>446</v>
      </c>
      <c r="F35" s="19">
        <f>SUMIFS('Stock Inflow'!$F$2:$F$601,'Stock Inflow'!$A$2:$A$601,$A35,'Stock Inflow'!$D$2:$D$601,$D35)</f>
        <v>364</v>
      </c>
      <c r="G35" s="19">
        <f>SUMIFS('Stock Inflow'!$E$2:$E$601,'Stock Inflow'!$A$2:$A$601,$A35,'Stock Inflow'!$D$2:$D$601,$D35)</f>
        <v>10</v>
      </c>
      <c r="H35" s="19">
        <f>SUMIFS('Stock Outflow'!$F$2:$F$601,'Stock Outflow'!$A$2:$A$601,$A35,'Stock Outflow'!$D$2:$D$601,$D35)</f>
        <v>377</v>
      </c>
      <c r="I35" s="19">
        <f>SUMIFS('Stock Outflow'!$E$2:$E$601,'Stock Outflow'!$A$2:$A$601,$A35,'Stock Outflow'!$D$2:$D$601,$D35)</f>
        <v>7</v>
      </c>
      <c r="J35" s="19">
        <f t="shared" si="0"/>
        <v>436</v>
      </c>
      <c r="K35" s="20">
        <f>INDEX('Item Master'!$F$2:$F$51,MATCH($A35,'Item Master'!$A$2:$A$51,0))</f>
        <v>2200</v>
      </c>
      <c r="L35" s="20">
        <f t="shared" si="1"/>
        <v>829400</v>
      </c>
      <c r="M35" s="21">
        <f t="shared" si="2"/>
        <v>12.566666666666666</v>
      </c>
      <c r="N35" s="19">
        <f>INDEX('Item Master'!$E$2:$E$51,MATCH($A35,'Item Master'!$A$2:$A$51,0))</f>
        <v>5</v>
      </c>
      <c r="O35" s="22">
        <f>INDEX('Product Summary'!$L$2:$L$51,MATCH($A35,'Product Summary'!$A$2:$A$51,0))</f>
        <v>23.736111111111107</v>
      </c>
      <c r="P35" s="22">
        <f>INDEX('Product Summary'!$M$2:$M$51,MATCH($A35,'Product Summary'!$A$2:$A$51,0))</f>
        <v>62.297754946727544</v>
      </c>
      <c r="Q35" s="22">
        <f t="shared" si="3"/>
        <v>34.694960212201593</v>
      </c>
      <c r="R35" s="22">
        <f t="shared" si="4"/>
        <v>29.737579181958022</v>
      </c>
      <c r="S35" s="19" t="str">
        <f t="shared" si="5"/>
        <v>HEALTHY</v>
      </c>
    </row>
    <row r="36" spans="1:19" x14ac:dyDescent="0.3">
      <c r="A36" s="19" t="s">
        <v>73</v>
      </c>
      <c r="B36" s="19" t="s">
        <v>74</v>
      </c>
      <c r="C36" s="19" t="s">
        <v>30</v>
      </c>
      <c r="D36" s="19" t="s">
        <v>47</v>
      </c>
      <c r="E36" s="19">
        <f>SUMIFS('Stock Inflow'!$G$2:$G$601,'Stock Inflow'!$A$2:$A$601,$A36,'Stock Inflow'!$D$2:$D$601,$D36)</f>
        <v>436</v>
      </c>
      <c r="F36" s="19">
        <f>SUMIFS('Stock Inflow'!$F$2:$F$601,'Stock Inflow'!$A$2:$A$601,$A36,'Stock Inflow'!$D$2:$D$601,$D36)</f>
        <v>347</v>
      </c>
      <c r="G36" s="19">
        <f>SUMIFS('Stock Inflow'!$E$2:$E$601,'Stock Inflow'!$A$2:$A$601,$A36,'Stock Inflow'!$D$2:$D$601,$D36)</f>
        <v>9</v>
      </c>
      <c r="H36" s="19">
        <f>SUMIFS('Stock Outflow'!$F$2:$F$601,'Stock Outflow'!$A$2:$A$601,$A36,'Stock Outflow'!$D$2:$D$601,$D36)</f>
        <v>273</v>
      </c>
      <c r="I36" s="19">
        <f>SUMIFS('Stock Outflow'!$E$2:$E$601,'Stock Outflow'!$A$2:$A$601,$A36,'Stock Outflow'!$D$2:$D$601,$D36)</f>
        <v>7</v>
      </c>
      <c r="J36" s="19">
        <f t="shared" si="0"/>
        <v>512</v>
      </c>
      <c r="K36" s="20">
        <f>INDEX('Item Master'!$F$2:$F$51,MATCH($A36,'Item Master'!$A$2:$A$51,0))</f>
        <v>2200</v>
      </c>
      <c r="L36" s="20">
        <f t="shared" si="1"/>
        <v>600600</v>
      </c>
      <c r="M36" s="21">
        <f t="shared" si="2"/>
        <v>9.1</v>
      </c>
      <c r="N36" s="19">
        <f>INDEX('Item Master'!$E$2:$E$51,MATCH($A36,'Item Master'!$A$2:$A$51,0))</f>
        <v>5</v>
      </c>
      <c r="O36" s="22">
        <f>INDEX('Product Summary'!$L$2:$L$51,MATCH($A36,'Product Summary'!$A$2:$A$51,0))</f>
        <v>23.736111111111107</v>
      </c>
      <c r="P36" s="22">
        <f>INDEX('Product Summary'!$M$2:$M$51,MATCH($A36,'Product Summary'!$A$2:$A$51,0))</f>
        <v>62.297754946727544</v>
      </c>
      <c r="Q36" s="22">
        <f t="shared" si="3"/>
        <v>56.263736263736263</v>
      </c>
      <c r="R36" s="22">
        <f t="shared" si="4"/>
        <v>49.417829126733238</v>
      </c>
      <c r="S36" s="19" t="str">
        <f t="shared" si="5"/>
        <v>HEALTHY</v>
      </c>
    </row>
    <row r="37" spans="1:19" x14ac:dyDescent="0.3">
      <c r="A37" s="19" t="s">
        <v>73</v>
      </c>
      <c r="B37" s="19" t="s">
        <v>74</v>
      </c>
      <c r="C37" s="19" t="s">
        <v>30</v>
      </c>
      <c r="D37" s="19" t="s">
        <v>49</v>
      </c>
      <c r="E37" s="19">
        <f>SUMIFS('Stock Inflow'!$G$2:$G$601,'Stock Inflow'!$A$2:$A$601,$A37,'Stock Inflow'!$D$2:$D$601,$D37)</f>
        <v>512</v>
      </c>
      <c r="F37" s="19">
        <f>SUMIFS('Stock Inflow'!$F$2:$F$601,'Stock Inflow'!$A$2:$A$601,$A37,'Stock Inflow'!$D$2:$D$601,$D37)</f>
        <v>234</v>
      </c>
      <c r="G37" s="19">
        <f>SUMIFS('Stock Inflow'!$E$2:$E$601,'Stock Inflow'!$A$2:$A$601,$A37,'Stock Inflow'!$D$2:$D$601,$D37)</f>
        <v>7</v>
      </c>
      <c r="H37" s="19">
        <f>SUMIFS('Stock Outflow'!$F$2:$F$601,'Stock Outflow'!$A$2:$A$601,$A37,'Stock Outflow'!$D$2:$D$601,$D37)</f>
        <v>221</v>
      </c>
      <c r="I37" s="19">
        <f>SUMIFS('Stock Outflow'!$E$2:$E$601,'Stock Outflow'!$A$2:$A$601,$A37,'Stock Outflow'!$D$2:$D$601,$D37)</f>
        <v>3</v>
      </c>
      <c r="J37" s="19">
        <f t="shared" si="0"/>
        <v>529</v>
      </c>
      <c r="K37" s="20">
        <f>INDEX('Item Master'!$F$2:$F$51,MATCH($A37,'Item Master'!$A$2:$A$51,0))</f>
        <v>2200</v>
      </c>
      <c r="L37" s="20">
        <f t="shared" si="1"/>
        <v>486200</v>
      </c>
      <c r="M37" s="21">
        <f t="shared" si="2"/>
        <v>7.3666666666666663</v>
      </c>
      <c r="N37" s="19">
        <f>INDEX('Item Master'!$E$2:$E$51,MATCH($A37,'Item Master'!$A$2:$A$51,0))</f>
        <v>5</v>
      </c>
      <c r="O37" s="22">
        <f>INDEX('Product Summary'!$L$2:$L$51,MATCH($A37,'Product Summary'!$A$2:$A$51,0))</f>
        <v>23.736111111111107</v>
      </c>
      <c r="P37" s="22">
        <f>INDEX('Product Summary'!$M$2:$M$51,MATCH($A37,'Product Summary'!$A$2:$A$51,0))</f>
        <v>62.297754946727544</v>
      </c>
      <c r="Q37" s="22">
        <f t="shared" si="3"/>
        <v>71.80995475113123</v>
      </c>
      <c r="R37" s="22">
        <f t="shared" si="4"/>
        <v>63.353245934833367</v>
      </c>
      <c r="S37" s="19" t="str">
        <f t="shared" si="5"/>
        <v>HEALTHY</v>
      </c>
    </row>
    <row r="38" spans="1:19" x14ac:dyDescent="0.3">
      <c r="A38" s="19" t="s">
        <v>75</v>
      </c>
      <c r="B38" s="19" t="s">
        <v>76</v>
      </c>
      <c r="C38" s="19" t="s">
        <v>30</v>
      </c>
      <c r="D38" s="19" t="s">
        <v>27</v>
      </c>
      <c r="E38" s="19">
        <f>SUMIFS('Stock Inflow'!$G$2:$G$601,'Stock Inflow'!$A$2:$A$601,$A38,'Stock Inflow'!$D$2:$D$601,$D38)</f>
        <v>141</v>
      </c>
      <c r="F38" s="19">
        <f>SUMIFS('Stock Inflow'!$F$2:$F$601,'Stock Inflow'!$A$2:$A$601,$A38,'Stock Inflow'!$D$2:$D$601,$D38)</f>
        <v>168</v>
      </c>
      <c r="G38" s="19">
        <f>SUMIFS('Stock Inflow'!$E$2:$E$601,'Stock Inflow'!$A$2:$A$601,$A38,'Stock Inflow'!$D$2:$D$601,$D38)</f>
        <v>2</v>
      </c>
      <c r="H38" s="19">
        <f>SUMIFS('Stock Outflow'!$F$2:$F$601,'Stock Outflow'!$A$2:$A$601,$A38,'Stock Outflow'!$D$2:$D$601,$D38)</f>
        <v>182</v>
      </c>
      <c r="I38" s="19">
        <f>SUMIFS('Stock Outflow'!$E$2:$E$601,'Stock Outflow'!$A$2:$A$601,$A38,'Stock Outflow'!$D$2:$D$601,$D38)</f>
        <v>3</v>
      </c>
      <c r="J38" s="19">
        <f t="shared" si="0"/>
        <v>126</v>
      </c>
      <c r="K38" s="20">
        <f>INDEX('Item Master'!$F$2:$F$51,MATCH($A38,'Item Master'!$A$2:$A$51,0))</f>
        <v>150</v>
      </c>
      <c r="L38" s="20">
        <f t="shared" si="1"/>
        <v>27300</v>
      </c>
      <c r="M38" s="21">
        <f t="shared" si="2"/>
        <v>6.0666666666666664</v>
      </c>
      <c r="N38" s="19">
        <f>INDEX('Item Master'!$E$2:$E$51,MATCH($A38,'Item Master'!$A$2:$A$51,0))</f>
        <v>14</v>
      </c>
      <c r="O38" s="22">
        <f>INDEX('Product Summary'!$L$2:$L$51,MATCH($A38,'Product Summary'!$A$2:$A$51,0))</f>
        <v>37.566666666666663</v>
      </c>
      <c r="P38" s="22">
        <f>INDEX('Product Summary'!$M$2:$M$51,MATCH($A38,'Product Summary'!$A$2:$A$51,0))</f>
        <v>131.69269406392692</v>
      </c>
      <c r="Q38" s="22">
        <f t="shared" si="3"/>
        <v>20.76923076923077</v>
      </c>
      <c r="R38" s="22">
        <f t="shared" si="4"/>
        <v>0</v>
      </c>
      <c r="S38" s="19" t="str">
        <f t="shared" si="5"/>
        <v>REORDER NOW</v>
      </c>
    </row>
    <row r="39" spans="1:19" x14ac:dyDescent="0.3">
      <c r="A39" s="19" t="s">
        <v>75</v>
      </c>
      <c r="B39" s="19" t="s">
        <v>76</v>
      </c>
      <c r="C39" s="19" t="s">
        <v>30</v>
      </c>
      <c r="D39" s="19" t="s">
        <v>29</v>
      </c>
      <c r="E39" s="19">
        <f>SUMIFS('Stock Inflow'!$G$2:$G$601,'Stock Inflow'!$A$2:$A$601,$A39,'Stock Inflow'!$D$2:$D$601,$D39)</f>
        <v>126</v>
      </c>
      <c r="F39" s="19">
        <f>SUMIFS('Stock Inflow'!$F$2:$F$601,'Stock Inflow'!$A$2:$A$601,$A39,'Stock Inflow'!$D$2:$D$601,$D39)</f>
        <v>182</v>
      </c>
      <c r="G39" s="19">
        <f>SUMIFS('Stock Inflow'!$E$2:$E$601,'Stock Inflow'!$A$2:$A$601,$A39,'Stock Inflow'!$D$2:$D$601,$D39)</f>
        <v>6</v>
      </c>
      <c r="H39" s="19">
        <f>SUMIFS('Stock Outflow'!$F$2:$F$601,'Stock Outflow'!$A$2:$A$601,$A39,'Stock Outflow'!$D$2:$D$601,$D39)</f>
        <v>202</v>
      </c>
      <c r="I39" s="19">
        <f>SUMIFS('Stock Outflow'!$E$2:$E$601,'Stock Outflow'!$A$2:$A$601,$A39,'Stock Outflow'!$D$2:$D$601,$D39)</f>
        <v>0</v>
      </c>
      <c r="J39" s="19">
        <f t="shared" si="0"/>
        <v>112</v>
      </c>
      <c r="K39" s="20">
        <f>INDEX('Item Master'!$F$2:$F$51,MATCH($A39,'Item Master'!$A$2:$A$51,0))</f>
        <v>150</v>
      </c>
      <c r="L39" s="20">
        <f t="shared" si="1"/>
        <v>30300</v>
      </c>
      <c r="M39" s="21">
        <f t="shared" si="2"/>
        <v>6.7333333333333334</v>
      </c>
      <c r="N39" s="19">
        <f>INDEX('Item Master'!$E$2:$E$51,MATCH($A39,'Item Master'!$A$2:$A$51,0))</f>
        <v>14</v>
      </c>
      <c r="O39" s="22">
        <f>INDEX('Product Summary'!$L$2:$L$51,MATCH($A39,'Product Summary'!$A$2:$A$51,0))</f>
        <v>37.566666666666663</v>
      </c>
      <c r="P39" s="22">
        <f>INDEX('Product Summary'!$M$2:$M$51,MATCH($A39,'Product Summary'!$A$2:$A$51,0))</f>
        <v>131.69269406392692</v>
      </c>
      <c r="Q39" s="22">
        <f t="shared" si="3"/>
        <v>16.633663366336634</v>
      </c>
      <c r="R39" s="22">
        <f t="shared" si="4"/>
        <v>0</v>
      </c>
      <c r="S39" s="19" t="str">
        <f t="shared" si="5"/>
        <v>REORDER NOW</v>
      </c>
    </row>
    <row r="40" spans="1:19" x14ac:dyDescent="0.3">
      <c r="A40" s="19" t="s">
        <v>75</v>
      </c>
      <c r="B40" s="19" t="s">
        <v>76</v>
      </c>
      <c r="C40" s="19" t="s">
        <v>30</v>
      </c>
      <c r="D40" s="19" t="s">
        <v>31</v>
      </c>
      <c r="E40" s="19">
        <f>SUMIFS('Stock Inflow'!$G$2:$G$601,'Stock Inflow'!$A$2:$A$601,$A40,'Stock Inflow'!$D$2:$D$601,$D40)</f>
        <v>112</v>
      </c>
      <c r="F40" s="19">
        <f>SUMIFS('Stock Inflow'!$F$2:$F$601,'Stock Inflow'!$A$2:$A$601,$A40,'Stock Inflow'!$D$2:$D$601,$D40)</f>
        <v>156</v>
      </c>
      <c r="G40" s="19">
        <f>SUMIFS('Stock Inflow'!$E$2:$E$601,'Stock Inflow'!$A$2:$A$601,$A40,'Stock Inflow'!$D$2:$D$601,$D40)</f>
        <v>3</v>
      </c>
      <c r="H40" s="19">
        <f>SUMIFS('Stock Outflow'!$F$2:$F$601,'Stock Outflow'!$A$2:$A$601,$A40,'Stock Outflow'!$D$2:$D$601,$D40)</f>
        <v>171</v>
      </c>
      <c r="I40" s="19">
        <f>SUMIFS('Stock Outflow'!$E$2:$E$601,'Stock Outflow'!$A$2:$A$601,$A40,'Stock Outflow'!$D$2:$D$601,$D40)</f>
        <v>2</v>
      </c>
      <c r="J40" s="19">
        <f t="shared" si="0"/>
        <v>98</v>
      </c>
      <c r="K40" s="20">
        <f>INDEX('Item Master'!$F$2:$F$51,MATCH($A40,'Item Master'!$A$2:$A$51,0))</f>
        <v>150</v>
      </c>
      <c r="L40" s="20">
        <f t="shared" si="1"/>
        <v>25650</v>
      </c>
      <c r="M40" s="21">
        <f t="shared" si="2"/>
        <v>5.7</v>
      </c>
      <c r="N40" s="19">
        <f>INDEX('Item Master'!$E$2:$E$51,MATCH($A40,'Item Master'!$A$2:$A$51,0))</f>
        <v>14</v>
      </c>
      <c r="O40" s="22">
        <f>INDEX('Product Summary'!$L$2:$L$51,MATCH($A40,'Product Summary'!$A$2:$A$51,0))</f>
        <v>37.566666666666663</v>
      </c>
      <c r="P40" s="22">
        <f>INDEX('Product Summary'!$M$2:$M$51,MATCH($A40,'Product Summary'!$A$2:$A$51,0))</f>
        <v>131.69269406392692</v>
      </c>
      <c r="Q40" s="22">
        <f t="shared" si="3"/>
        <v>17.192982456140349</v>
      </c>
      <c r="R40" s="22">
        <f t="shared" si="4"/>
        <v>0</v>
      </c>
      <c r="S40" s="19" t="str">
        <f t="shared" si="5"/>
        <v>REORDER NOW</v>
      </c>
    </row>
    <row r="41" spans="1:19" x14ac:dyDescent="0.3">
      <c r="A41" s="19" t="s">
        <v>75</v>
      </c>
      <c r="B41" s="19" t="s">
        <v>76</v>
      </c>
      <c r="C41" s="19" t="s">
        <v>30</v>
      </c>
      <c r="D41" s="19" t="s">
        <v>33</v>
      </c>
      <c r="E41" s="19">
        <f>SUMIFS('Stock Inflow'!$G$2:$G$601,'Stock Inflow'!$A$2:$A$601,$A41,'Stock Inflow'!$D$2:$D$601,$D41)</f>
        <v>98</v>
      </c>
      <c r="F41" s="19">
        <f>SUMIFS('Stock Inflow'!$F$2:$F$601,'Stock Inflow'!$A$2:$A$601,$A41,'Stock Inflow'!$D$2:$D$601,$D41)</f>
        <v>201</v>
      </c>
      <c r="G41" s="19">
        <f>SUMIFS('Stock Inflow'!$E$2:$E$601,'Stock Inflow'!$A$2:$A$601,$A41,'Stock Inflow'!$D$2:$D$601,$D41)</f>
        <v>5</v>
      </c>
      <c r="H41" s="19">
        <f>SUMIFS('Stock Outflow'!$F$2:$F$601,'Stock Outflow'!$A$2:$A$601,$A41,'Stock Outflow'!$D$2:$D$601,$D41)</f>
        <v>184</v>
      </c>
      <c r="I41" s="19">
        <f>SUMIFS('Stock Outflow'!$E$2:$E$601,'Stock Outflow'!$A$2:$A$601,$A41,'Stock Outflow'!$D$2:$D$601,$D41)</f>
        <v>4</v>
      </c>
      <c r="J41" s="19">
        <f t="shared" si="0"/>
        <v>116</v>
      </c>
      <c r="K41" s="20">
        <f>INDEX('Item Master'!$F$2:$F$51,MATCH($A41,'Item Master'!$A$2:$A$51,0))</f>
        <v>150</v>
      </c>
      <c r="L41" s="20">
        <f t="shared" si="1"/>
        <v>27600</v>
      </c>
      <c r="M41" s="21">
        <f t="shared" si="2"/>
        <v>6.1333333333333337</v>
      </c>
      <c r="N41" s="19">
        <f>INDEX('Item Master'!$E$2:$E$51,MATCH($A41,'Item Master'!$A$2:$A$51,0))</f>
        <v>14</v>
      </c>
      <c r="O41" s="22">
        <f>INDEX('Product Summary'!$L$2:$L$51,MATCH($A41,'Product Summary'!$A$2:$A$51,0))</f>
        <v>37.566666666666663</v>
      </c>
      <c r="P41" s="22">
        <f>INDEX('Product Summary'!$M$2:$M$51,MATCH($A41,'Product Summary'!$A$2:$A$51,0))</f>
        <v>131.69269406392692</v>
      </c>
      <c r="Q41" s="22">
        <f t="shared" si="3"/>
        <v>18.913043478260867</v>
      </c>
      <c r="R41" s="22">
        <f t="shared" si="4"/>
        <v>0</v>
      </c>
      <c r="S41" s="19" t="str">
        <f t="shared" si="5"/>
        <v>REORDER NOW</v>
      </c>
    </row>
    <row r="42" spans="1:19" x14ac:dyDescent="0.3">
      <c r="A42" s="19" t="s">
        <v>75</v>
      </c>
      <c r="B42" s="19" t="s">
        <v>76</v>
      </c>
      <c r="C42" s="19" t="s">
        <v>30</v>
      </c>
      <c r="D42" s="19" t="s">
        <v>35</v>
      </c>
      <c r="E42" s="19">
        <f>SUMIFS('Stock Inflow'!$G$2:$G$601,'Stock Inflow'!$A$2:$A$601,$A42,'Stock Inflow'!$D$2:$D$601,$D42)</f>
        <v>116</v>
      </c>
      <c r="F42" s="19">
        <f>SUMIFS('Stock Inflow'!$F$2:$F$601,'Stock Inflow'!$A$2:$A$601,$A42,'Stock Inflow'!$D$2:$D$601,$D42)</f>
        <v>249</v>
      </c>
      <c r="G42" s="19">
        <f>SUMIFS('Stock Inflow'!$E$2:$E$601,'Stock Inflow'!$A$2:$A$601,$A42,'Stock Inflow'!$D$2:$D$601,$D42)</f>
        <v>4</v>
      </c>
      <c r="H42" s="19">
        <f>SUMIFS('Stock Outflow'!$F$2:$F$601,'Stock Outflow'!$A$2:$A$601,$A42,'Stock Outflow'!$D$2:$D$601,$D42)</f>
        <v>220</v>
      </c>
      <c r="I42" s="19">
        <f>SUMIFS('Stock Outflow'!$E$2:$E$601,'Stock Outflow'!$A$2:$A$601,$A42,'Stock Outflow'!$D$2:$D$601,$D42)</f>
        <v>4</v>
      </c>
      <c r="J42" s="19">
        <f t="shared" si="0"/>
        <v>145</v>
      </c>
      <c r="K42" s="20">
        <f>INDEX('Item Master'!$F$2:$F$51,MATCH($A42,'Item Master'!$A$2:$A$51,0))</f>
        <v>150</v>
      </c>
      <c r="L42" s="20">
        <f t="shared" si="1"/>
        <v>33000</v>
      </c>
      <c r="M42" s="21">
        <f t="shared" si="2"/>
        <v>7.333333333333333</v>
      </c>
      <c r="N42" s="19">
        <f>INDEX('Item Master'!$E$2:$E$51,MATCH($A42,'Item Master'!$A$2:$A$51,0))</f>
        <v>14</v>
      </c>
      <c r="O42" s="22">
        <f>INDEX('Product Summary'!$L$2:$L$51,MATCH($A42,'Product Summary'!$A$2:$A$51,0))</f>
        <v>37.566666666666663</v>
      </c>
      <c r="P42" s="22">
        <f>INDEX('Product Summary'!$M$2:$M$51,MATCH($A42,'Product Summary'!$A$2:$A$51,0))</f>
        <v>131.69269406392692</v>
      </c>
      <c r="Q42" s="22">
        <f t="shared" si="3"/>
        <v>19.772727272727273</v>
      </c>
      <c r="R42" s="22">
        <f t="shared" si="4"/>
        <v>1.8146326276463289</v>
      </c>
      <c r="S42" s="19" t="str">
        <f t="shared" si="5"/>
        <v>HEALTHY</v>
      </c>
    </row>
    <row r="43" spans="1:19" x14ac:dyDescent="0.3">
      <c r="A43" s="19" t="s">
        <v>75</v>
      </c>
      <c r="B43" s="19" t="s">
        <v>76</v>
      </c>
      <c r="C43" s="19" t="s">
        <v>30</v>
      </c>
      <c r="D43" s="19" t="s">
        <v>37</v>
      </c>
      <c r="E43" s="19">
        <f>SUMIFS('Stock Inflow'!$G$2:$G$601,'Stock Inflow'!$A$2:$A$601,$A43,'Stock Inflow'!$D$2:$D$601,$D43)</f>
        <v>145</v>
      </c>
      <c r="F43" s="19">
        <f>SUMIFS('Stock Inflow'!$F$2:$F$601,'Stock Inflow'!$A$2:$A$601,$A43,'Stock Inflow'!$D$2:$D$601,$D43)</f>
        <v>180</v>
      </c>
      <c r="G43" s="19">
        <f>SUMIFS('Stock Inflow'!$E$2:$E$601,'Stock Inflow'!$A$2:$A$601,$A43,'Stock Inflow'!$D$2:$D$601,$D43)</f>
        <v>6</v>
      </c>
      <c r="H43" s="19">
        <f>SUMIFS('Stock Outflow'!$F$2:$F$601,'Stock Outflow'!$A$2:$A$601,$A43,'Stock Outflow'!$D$2:$D$601,$D43)</f>
        <v>192</v>
      </c>
      <c r="I43" s="19">
        <f>SUMIFS('Stock Outflow'!$E$2:$E$601,'Stock Outflow'!$A$2:$A$601,$A43,'Stock Outflow'!$D$2:$D$601,$D43)</f>
        <v>2</v>
      </c>
      <c r="J43" s="19">
        <f t="shared" si="0"/>
        <v>137</v>
      </c>
      <c r="K43" s="20">
        <f>INDEX('Item Master'!$F$2:$F$51,MATCH($A43,'Item Master'!$A$2:$A$51,0))</f>
        <v>150</v>
      </c>
      <c r="L43" s="20">
        <f t="shared" si="1"/>
        <v>28800</v>
      </c>
      <c r="M43" s="21">
        <f t="shared" si="2"/>
        <v>6.4</v>
      </c>
      <c r="N43" s="19">
        <f>INDEX('Item Master'!$E$2:$E$51,MATCH($A43,'Item Master'!$A$2:$A$51,0))</f>
        <v>14</v>
      </c>
      <c r="O43" s="22">
        <f>INDEX('Product Summary'!$L$2:$L$51,MATCH($A43,'Product Summary'!$A$2:$A$51,0))</f>
        <v>37.566666666666663</v>
      </c>
      <c r="P43" s="22">
        <f>INDEX('Product Summary'!$M$2:$M$51,MATCH($A43,'Product Summary'!$A$2:$A$51,0))</f>
        <v>131.69269406392692</v>
      </c>
      <c r="Q43" s="22">
        <f t="shared" si="3"/>
        <v>21.40625</v>
      </c>
      <c r="R43" s="22">
        <f t="shared" si="4"/>
        <v>0.82926655251141845</v>
      </c>
      <c r="S43" s="19" t="str">
        <f t="shared" si="5"/>
        <v>HEALTHY</v>
      </c>
    </row>
    <row r="44" spans="1:19" x14ac:dyDescent="0.3">
      <c r="A44" s="19" t="s">
        <v>75</v>
      </c>
      <c r="B44" s="19" t="s">
        <v>76</v>
      </c>
      <c r="C44" s="19" t="s">
        <v>30</v>
      </c>
      <c r="D44" s="19" t="s">
        <v>39</v>
      </c>
      <c r="E44" s="19">
        <f>SUMIFS('Stock Inflow'!$G$2:$G$601,'Stock Inflow'!$A$2:$A$601,$A44,'Stock Inflow'!$D$2:$D$601,$D44)</f>
        <v>137</v>
      </c>
      <c r="F44" s="19">
        <f>SUMIFS('Stock Inflow'!$F$2:$F$601,'Stock Inflow'!$A$2:$A$601,$A44,'Stock Inflow'!$D$2:$D$601,$D44)</f>
        <v>239</v>
      </c>
      <c r="G44" s="19">
        <f>SUMIFS('Stock Inflow'!$E$2:$E$601,'Stock Inflow'!$A$2:$A$601,$A44,'Stock Inflow'!$D$2:$D$601,$D44)</f>
        <v>2</v>
      </c>
      <c r="H44" s="19">
        <f>SUMIFS('Stock Outflow'!$F$2:$F$601,'Stock Outflow'!$A$2:$A$601,$A44,'Stock Outflow'!$D$2:$D$601,$D44)</f>
        <v>192</v>
      </c>
      <c r="I44" s="19">
        <f>SUMIFS('Stock Outflow'!$E$2:$E$601,'Stock Outflow'!$A$2:$A$601,$A44,'Stock Outflow'!$D$2:$D$601,$D44)</f>
        <v>5</v>
      </c>
      <c r="J44" s="19">
        <f t="shared" si="0"/>
        <v>181</v>
      </c>
      <c r="K44" s="20">
        <f>INDEX('Item Master'!$F$2:$F$51,MATCH($A44,'Item Master'!$A$2:$A$51,0))</f>
        <v>150</v>
      </c>
      <c r="L44" s="20">
        <f t="shared" si="1"/>
        <v>28800</v>
      </c>
      <c r="M44" s="21">
        <f t="shared" si="2"/>
        <v>6.4</v>
      </c>
      <c r="N44" s="19">
        <f>INDEX('Item Master'!$E$2:$E$51,MATCH($A44,'Item Master'!$A$2:$A$51,0))</f>
        <v>14</v>
      </c>
      <c r="O44" s="22">
        <f>INDEX('Product Summary'!$L$2:$L$51,MATCH($A44,'Product Summary'!$A$2:$A$51,0))</f>
        <v>37.566666666666663</v>
      </c>
      <c r="P44" s="22">
        <f>INDEX('Product Summary'!$M$2:$M$51,MATCH($A44,'Product Summary'!$A$2:$A$51,0))</f>
        <v>131.69269406392692</v>
      </c>
      <c r="Q44" s="22">
        <f t="shared" si="3"/>
        <v>28.28125</v>
      </c>
      <c r="R44" s="22">
        <f t="shared" si="4"/>
        <v>7.7042665525114185</v>
      </c>
      <c r="S44" s="19" t="str">
        <f t="shared" si="5"/>
        <v>HEALTHY</v>
      </c>
    </row>
    <row r="45" spans="1:19" x14ac:dyDescent="0.3">
      <c r="A45" s="19" t="s">
        <v>75</v>
      </c>
      <c r="B45" s="19" t="s">
        <v>76</v>
      </c>
      <c r="C45" s="19" t="s">
        <v>30</v>
      </c>
      <c r="D45" s="19" t="s">
        <v>41</v>
      </c>
      <c r="E45" s="19">
        <f>SUMIFS('Stock Inflow'!$G$2:$G$601,'Stock Inflow'!$A$2:$A$601,$A45,'Stock Inflow'!$D$2:$D$601,$D45)</f>
        <v>181</v>
      </c>
      <c r="F45" s="19">
        <f>SUMIFS('Stock Inflow'!$F$2:$F$601,'Stock Inflow'!$A$2:$A$601,$A45,'Stock Inflow'!$D$2:$D$601,$D45)</f>
        <v>190</v>
      </c>
      <c r="G45" s="19">
        <f>SUMIFS('Stock Inflow'!$E$2:$E$601,'Stock Inflow'!$A$2:$A$601,$A45,'Stock Inflow'!$D$2:$D$601,$D45)</f>
        <v>7</v>
      </c>
      <c r="H45" s="19">
        <f>SUMIFS('Stock Outflow'!$F$2:$F$601,'Stock Outflow'!$A$2:$A$601,$A45,'Stock Outflow'!$D$2:$D$601,$D45)</f>
        <v>206</v>
      </c>
      <c r="I45" s="19">
        <f>SUMIFS('Stock Outflow'!$E$2:$E$601,'Stock Outflow'!$A$2:$A$601,$A45,'Stock Outflow'!$D$2:$D$601,$D45)</f>
        <v>5</v>
      </c>
      <c r="J45" s="19">
        <f t="shared" si="0"/>
        <v>167</v>
      </c>
      <c r="K45" s="20">
        <f>INDEX('Item Master'!$F$2:$F$51,MATCH($A45,'Item Master'!$A$2:$A$51,0))</f>
        <v>150</v>
      </c>
      <c r="L45" s="20">
        <f t="shared" si="1"/>
        <v>30900</v>
      </c>
      <c r="M45" s="21">
        <f t="shared" si="2"/>
        <v>6.8666666666666663</v>
      </c>
      <c r="N45" s="19">
        <f>INDEX('Item Master'!$E$2:$E$51,MATCH($A45,'Item Master'!$A$2:$A$51,0))</f>
        <v>14</v>
      </c>
      <c r="O45" s="22">
        <f>INDEX('Product Summary'!$L$2:$L$51,MATCH($A45,'Product Summary'!$A$2:$A$51,0))</f>
        <v>37.566666666666663</v>
      </c>
      <c r="P45" s="22">
        <f>INDEX('Product Summary'!$M$2:$M$51,MATCH($A45,'Product Summary'!$A$2:$A$51,0))</f>
        <v>131.69269406392692</v>
      </c>
      <c r="Q45" s="22">
        <f t="shared" si="3"/>
        <v>24.320388349514566</v>
      </c>
      <c r="R45" s="22">
        <f t="shared" si="4"/>
        <v>5.1418406703019048</v>
      </c>
      <c r="S45" s="19" t="str">
        <f t="shared" si="5"/>
        <v>HEALTHY</v>
      </c>
    </row>
    <row r="46" spans="1:19" x14ac:dyDescent="0.3">
      <c r="A46" s="19" t="s">
        <v>75</v>
      </c>
      <c r="B46" s="19" t="s">
        <v>76</v>
      </c>
      <c r="C46" s="19" t="s">
        <v>30</v>
      </c>
      <c r="D46" s="19" t="s">
        <v>43</v>
      </c>
      <c r="E46" s="19">
        <f>SUMIFS('Stock Inflow'!$G$2:$G$601,'Stock Inflow'!$A$2:$A$601,$A46,'Stock Inflow'!$D$2:$D$601,$D46)</f>
        <v>167</v>
      </c>
      <c r="F46" s="19">
        <f>SUMIFS('Stock Inflow'!$F$2:$F$601,'Stock Inflow'!$A$2:$A$601,$A46,'Stock Inflow'!$D$2:$D$601,$D46)</f>
        <v>170</v>
      </c>
      <c r="G46" s="19">
        <f>SUMIFS('Stock Inflow'!$E$2:$E$601,'Stock Inflow'!$A$2:$A$601,$A46,'Stock Inflow'!$D$2:$D$601,$D46)</f>
        <v>5</v>
      </c>
      <c r="H46" s="19">
        <f>SUMIFS('Stock Outflow'!$F$2:$F$601,'Stock Outflow'!$A$2:$A$601,$A46,'Stock Outflow'!$D$2:$D$601,$D46)</f>
        <v>174</v>
      </c>
      <c r="I46" s="19">
        <f>SUMIFS('Stock Outflow'!$E$2:$E$601,'Stock Outflow'!$A$2:$A$601,$A46,'Stock Outflow'!$D$2:$D$601,$D46)</f>
        <v>1</v>
      </c>
      <c r="J46" s="19">
        <f t="shared" si="0"/>
        <v>167</v>
      </c>
      <c r="K46" s="20">
        <f>INDEX('Item Master'!$F$2:$F$51,MATCH($A46,'Item Master'!$A$2:$A$51,0))</f>
        <v>150</v>
      </c>
      <c r="L46" s="20">
        <f t="shared" si="1"/>
        <v>26100</v>
      </c>
      <c r="M46" s="21">
        <f t="shared" si="2"/>
        <v>5.8</v>
      </c>
      <c r="N46" s="19">
        <f>INDEX('Item Master'!$E$2:$E$51,MATCH($A46,'Item Master'!$A$2:$A$51,0))</f>
        <v>14</v>
      </c>
      <c r="O46" s="22">
        <f>INDEX('Product Summary'!$L$2:$L$51,MATCH($A46,'Product Summary'!$A$2:$A$51,0))</f>
        <v>37.566666666666663</v>
      </c>
      <c r="P46" s="22">
        <f>INDEX('Product Summary'!$M$2:$M$51,MATCH($A46,'Product Summary'!$A$2:$A$51,0))</f>
        <v>131.69269406392692</v>
      </c>
      <c r="Q46" s="22">
        <f t="shared" si="3"/>
        <v>28.793103448275861</v>
      </c>
      <c r="R46" s="22">
        <f t="shared" si="4"/>
        <v>6.0874665407022555</v>
      </c>
      <c r="S46" s="19" t="str">
        <f t="shared" si="5"/>
        <v>HEALTHY</v>
      </c>
    </row>
    <row r="47" spans="1:19" x14ac:dyDescent="0.3">
      <c r="A47" s="19" t="s">
        <v>75</v>
      </c>
      <c r="B47" s="19" t="s">
        <v>76</v>
      </c>
      <c r="C47" s="19" t="s">
        <v>30</v>
      </c>
      <c r="D47" s="19" t="s">
        <v>45</v>
      </c>
      <c r="E47" s="19">
        <f>SUMIFS('Stock Inflow'!$G$2:$G$601,'Stock Inflow'!$A$2:$A$601,$A47,'Stock Inflow'!$D$2:$D$601,$D47)</f>
        <v>167</v>
      </c>
      <c r="F47" s="19">
        <f>SUMIFS('Stock Inflow'!$F$2:$F$601,'Stock Inflow'!$A$2:$A$601,$A47,'Stock Inflow'!$D$2:$D$601,$D47)</f>
        <v>309</v>
      </c>
      <c r="G47" s="19">
        <f>SUMIFS('Stock Inflow'!$E$2:$E$601,'Stock Inflow'!$A$2:$A$601,$A47,'Stock Inflow'!$D$2:$D$601,$D47)</f>
        <v>10</v>
      </c>
      <c r="H47" s="19">
        <f>SUMIFS('Stock Outflow'!$F$2:$F$601,'Stock Outflow'!$A$2:$A$601,$A47,'Stock Outflow'!$D$2:$D$601,$D47)</f>
        <v>285</v>
      </c>
      <c r="I47" s="19">
        <f>SUMIFS('Stock Outflow'!$E$2:$E$601,'Stock Outflow'!$A$2:$A$601,$A47,'Stock Outflow'!$D$2:$D$601,$D47)</f>
        <v>1</v>
      </c>
      <c r="J47" s="19">
        <f t="shared" si="0"/>
        <v>200</v>
      </c>
      <c r="K47" s="20">
        <f>INDEX('Item Master'!$F$2:$F$51,MATCH($A47,'Item Master'!$A$2:$A$51,0))</f>
        <v>150</v>
      </c>
      <c r="L47" s="20">
        <f t="shared" si="1"/>
        <v>42750</v>
      </c>
      <c r="M47" s="21">
        <f t="shared" si="2"/>
        <v>9.5</v>
      </c>
      <c r="N47" s="19">
        <f>INDEX('Item Master'!$E$2:$E$51,MATCH($A47,'Item Master'!$A$2:$A$51,0))</f>
        <v>14</v>
      </c>
      <c r="O47" s="22">
        <f>INDEX('Product Summary'!$L$2:$L$51,MATCH($A47,'Product Summary'!$A$2:$A$51,0))</f>
        <v>37.566666666666663</v>
      </c>
      <c r="P47" s="22">
        <f>INDEX('Product Summary'!$M$2:$M$51,MATCH($A47,'Product Summary'!$A$2:$A$51,0))</f>
        <v>131.69269406392692</v>
      </c>
      <c r="Q47" s="22">
        <f t="shared" si="3"/>
        <v>21.05263157894737</v>
      </c>
      <c r="R47" s="22">
        <f t="shared" si="4"/>
        <v>7.1902427301129554</v>
      </c>
      <c r="S47" s="19" t="str">
        <f t="shared" si="5"/>
        <v>HEALTHY</v>
      </c>
    </row>
    <row r="48" spans="1:19" x14ac:dyDescent="0.3">
      <c r="A48" s="19" t="s">
        <v>75</v>
      </c>
      <c r="B48" s="19" t="s">
        <v>76</v>
      </c>
      <c r="C48" s="19" t="s">
        <v>30</v>
      </c>
      <c r="D48" s="19" t="s">
        <v>47</v>
      </c>
      <c r="E48" s="19">
        <f>SUMIFS('Stock Inflow'!$G$2:$G$601,'Stock Inflow'!$A$2:$A$601,$A48,'Stock Inflow'!$D$2:$D$601,$D48)</f>
        <v>200</v>
      </c>
      <c r="F48" s="19">
        <f>SUMIFS('Stock Inflow'!$F$2:$F$601,'Stock Inflow'!$A$2:$A$601,$A48,'Stock Inflow'!$D$2:$D$601,$D48)</f>
        <v>307</v>
      </c>
      <c r="G48" s="19">
        <f>SUMIFS('Stock Inflow'!$E$2:$E$601,'Stock Inflow'!$A$2:$A$601,$A48,'Stock Inflow'!$D$2:$D$601,$D48)</f>
        <v>3</v>
      </c>
      <c r="H48" s="19">
        <f>SUMIFS('Stock Outflow'!$F$2:$F$601,'Stock Outflow'!$A$2:$A$601,$A48,'Stock Outflow'!$D$2:$D$601,$D48)</f>
        <v>247</v>
      </c>
      <c r="I48" s="19">
        <f>SUMIFS('Stock Outflow'!$E$2:$E$601,'Stock Outflow'!$A$2:$A$601,$A48,'Stock Outflow'!$D$2:$D$601,$D48)</f>
        <v>6</v>
      </c>
      <c r="J48" s="19">
        <f t="shared" si="0"/>
        <v>257</v>
      </c>
      <c r="K48" s="20">
        <f>INDEX('Item Master'!$F$2:$F$51,MATCH($A48,'Item Master'!$A$2:$A$51,0))</f>
        <v>150</v>
      </c>
      <c r="L48" s="20">
        <f t="shared" si="1"/>
        <v>37050</v>
      </c>
      <c r="M48" s="21">
        <f t="shared" si="2"/>
        <v>8.2333333333333325</v>
      </c>
      <c r="N48" s="19">
        <f>INDEX('Item Master'!$E$2:$E$51,MATCH($A48,'Item Master'!$A$2:$A$51,0))</f>
        <v>14</v>
      </c>
      <c r="O48" s="22">
        <f>INDEX('Product Summary'!$L$2:$L$51,MATCH($A48,'Product Summary'!$A$2:$A$51,0))</f>
        <v>37.566666666666663</v>
      </c>
      <c r="P48" s="22">
        <f>INDEX('Product Summary'!$M$2:$M$51,MATCH($A48,'Product Summary'!$A$2:$A$51,0))</f>
        <v>131.69269406392692</v>
      </c>
      <c r="Q48" s="22">
        <f t="shared" si="3"/>
        <v>31.214574898785429</v>
      </c>
      <c r="R48" s="22">
        <f t="shared" si="4"/>
        <v>15.219510842438027</v>
      </c>
      <c r="S48" s="19" t="str">
        <f t="shared" si="5"/>
        <v>HEALTHY</v>
      </c>
    </row>
    <row r="49" spans="1:19" x14ac:dyDescent="0.3">
      <c r="A49" s="19" t="s">
        <v>75</v>
      </c>
      <c r="B49" s="19" t="s">
        <v>76</v>
      </c>
      <c r="C49" s="19" t="s">
        <v>30</v>
      </c>
      <c r="D49" s="19" t="s">
        <v>49</v>
      </c>
      <c r="E49" s="19">
        <f>SUMIFS('Stock Inflow'!$G$2:$G$601,'Stock Inflow'!$A$2:$A$601,$A49,'Stock Inflow'!$D$2:$D$601,$D49)</f>
        <v>257</v>
      </c>
      <c r="F49" s="19">
        <f>SUMIFS('Stock Inflow'!$F$2:$F$601,'Stock Inflow'!$A$2:$A$601,$A49,'Stock Inflow'!$D$2:$D$601,$D49)</f>
        <v>180</v>
      </c>
      <c r="G49" s="19">
        <f>SUMIFS('Stock Inflow'!$E$2:$E$601,'Stock Inflow'!$A$2:$A$601,$A49,'Stock Inflow'!$D$2:$D$601,$D49)</f>
        <v>3</v>
      </c>
      <c r="H49" s="19">
        <f>SUMIFS('Stock Outflow'!$F$2:$F$601,'Stock Outflow'!$A$2:$A$601,$A49,'Stock Outflow'!$D$2:$D$601,$D49)</f>
        <v>199</v>
      </c>
      <c r="I49" s="19">
        <f>SUMIFS('Stock Outflow'!$E$2:$E$601,'Stock Outflow'!$A$2:$A$601,$A49,'Stock Outflow'!$D$2:$D$601,$D49)</f>
        <v>4</v>
      </c>
      <c r="J49" s="19">
        <f t="shared" si="0"/>
        <v>237</v>
      </c>
      <c r="K49" s="20">
        <f>INDEX('Item Master'!$F$2:$F$51,MATCH($A49,'Item Master'!$A$2:$A$51,0))</f>
        <v>150</v>
      </c>
      <c r="L49" s="20">
        <f t="shared" si="1"/>
        <v>29850</v>
      </c>
      <c r="M49" s="21">
        <f t="shared" si="2"/>
        <v>6.6333333333333337</v>
      </c>
      <c r="N49" s="19">
        <f>INDEX('Item Master'!$E$2:$E$51,MATCH($A49,'Item Master'!$A$2:$A$51,0))</f>
        <v>14</v>
      </c>
      <c r="O49" s="22">
        <f>INDEX('Product Summary'!$L$2:$L$51,MATCH($A49,'Product Summary'!$A$2:$A$51,0))</f>
        <v>37.566666666666663</v>
      </c>
      <c r="P49" s="22">
        <f>INDEX('Product Summary'!$M$2:$M$51,MATCH($A49,'Product Summary'!$A$2:$A$51,0))</f>
        <v>131.69269406392692</v>
      </c>
      <c r="Q49" s="22">
        <f t="shared" si="3"/>
        <v>35.7286432160804</v>
      </c>
      <c r="R49" s="22">
        <f t="shared" si="4"/>
        <v>15.875473256694432</v>
      </c>
      <c r="S49" s="19" t="str">
        <f t="shared" si="5"/>
        <v>HEALTHY</v>
      </c>
    </row>
    <row r="50" spans="1:19" x14ac:dyDescent="0.3">
      <c r="A50" s="19" t="s">
        <v>78</v>
      </c>
      <c r="B50" s="19" t="s">
        <v>79</v>
      </c>
      <c r="C50" s="19" t="s">
        <v>30</v>
      </c>
      <c r="D50" s="19" t="s">
        <v>27</v>
      </c>
      <c r="E50" s="19">
        <f>SUMIFS('Stock Inflow'!$G$2:$G$601,'Stock Inflow'!$A$2:$A$601,$A50,'Stock Inflow'!$D$2:$D$601,$D50)</f>
        <v>288</v>
      </c>
      <c r="F50" s="19">
        <f>SUMIFS('Stock Inflow'!$F$2:$F$601,'Stock Inflow'!$A$2:$A$601,$A50,'Stock Inflow'!$D$2:$D$601,$D50)</f>
        <v>158</v>
      </c>
      <c r="G50" s="19">
        <f>SUMIFS('Stock Inflow'!$E$2:$E$601,'Stock Inflow'!$A$2:$A$601,$A50,'Stock Inflow'!$D$2:$D$601,$D50)</f>
        <v>4</v>
      </c>
      <c r="H50" s="19">
        <f>SUMIFS('Stock Outflow'!$F$2:$F$601,'Stock Outflow'!$A$2:$A$601,$A50,'Stock Outflow'!$D$2:$D$601,$D50)</f>
        <v>160</v>
      </c>
      <c r="I50" s="19">
        <f>SUMIFS('Stock Outflow'!$E$2:$E$601,'Stock Outflow'!$A$2:$A$601,$A50,'Stock Outflow'!$D$2:$D$601,$D50)</f>
        <v>0</v>
      </c>
      <c r="J50" s="19">
        <f t="shared" si="0"/>
        <v>290</v>
      </c>
      <c r="K50" s="20">
        <f>INDEX('Item Master'!$F$2:$F$51,MATCH($A50,'Item Master'!$A$2:$A$51,0))</f>
        <v>3500</v>
      </c>
      <c r="L50" s="20">
        <f t="shared" si="1"/>
        <v>560000</v>
      </c>
      <c r="M50" s="21">
        <f t="shared" si="2"/>
        <v>5.333333333333333</v>
      </c>
      <c r="N50" s="19">
        <f>INDEX('Item Master'!$E$2:$E$51,MATCH($A50,'Item Master'!$A$2:$A$51,0))</f>
        <v>7</v>
      </c>
      <c r="O50" s="22">
        <f>INDEX('Product Summary'!$L$2:$L$51,MATCH($A50,'Product Summary'!$A$2:$A$51,0))</f>
        <v>18.880555555555553</v>
      </c>
      <c r="P50" s="22">
        <f>INDEX('Product Summary'!$M$2:$M$51,MATCH($A50,'Product Summary'!$A$2:$A$51,0))</f>
        <v>58.023021308980212</v>
      </c>
      <c r="Q50" s="22">
        <f t="shared" si="3"/>
        <v>54.375</v>
      </c>
      <c r="R50" s="22">
        <f t="shared" si="4"/>
        <v>43.495683504566209</v>
      </c>
      <c r="S50" s="19" t="str">
        <f t="shared" si="5"/>
        <v>HEALTHY</v>
      </c>
    </row>
    <row r="51" spans="1:19" x14ac:dyDescent="0.3">
      <c r="A51" s="19" t="s">
        <v>78</v>
      </c>
      <c r="B51" s="19" t="s">
        <v>79</v>
      </c>
      <c r="C51" s="19" t="s">
        <v>30</v>
      </c>
      <c r="D51" s="19" t="s">
        <v>29</v>
      </c>
      <c r="E51" s="19">
        <f>SUMIFS('Stock Inflow'!$G$2:$G$601,'Stock Inflow'!$A$2:$A$601,$A51,'Stock Inflow'!$D$2:$D$601,$D51)</f>
        <v>290</v>
      </c>
      <c r="F51" s="19">
        <f>SUMIFS('Stock Inflow'!$F$2:$F$601,'Stock Inflow'!$A$2:$A$601,$A51,'Stock Inflow'!$D$2:$D$601,$D51)</f>
        <v>201</v>
      </c>
      <c r="G51" s="19">
        <f>SUMIFS('Stock Inflow'!$E$2:$E$601,'Stock Inflow'!$A$2:$A$601,$A51,'Stock Inflow'!$D$2:$D$601,$D51)</f>
        <v>3</v>
      </c>
      <c r="H51" s="19">
        <f>SUMIFS('Stock Outflow'!$F$2:$F$601,'Stock Outflow'!$A$2:$A$601,$A51,'Stock Outflow'!$D$2:$D$601,$D51)</f>
        <v>155</v>
      </c>
      <c r="I51" s="19">
        <f>SUMIFS('Stock Outflow'!$E$2:$E$601,'Stock Outflow'!$A$2:$A$601,$A51,'Stock Outflow'!$D$2:$D$601,$D51)</f>
        <v>5</v>
      </c>
      <c r="J51" s="19">
        <f t="shared" si="0"/>
        <v>334</v>
      </c>
      <c r="K51" s="20">
        <f>INDEX('Item Master'!$F$2:$F$51,MATCH($A51,'Item Master'!$A$2:$A$51,0))</f>
        <v>3500</v>
      </c>
      <c r="L51" s="20">
        <f t="shared" si="1"/>
        <v>542500</v>
      </c>
      <c r="M51" s="21">
        <f t="shared" si="2"/>
        <v>5.166666666666667</v>
      </c>
      <c r="N51" s="19">
        <f>INDEX('Item Master'!$E$2:$E$51,MATCH($A51,'Item Master'!$A$2:$A$51,0))</f>
        <v>7</v>
      </c>
      <c r="O51" s="22">
        <f>INDEX('Product Summary'!$L$2:$L$51,MATCH($A51,'Product Summary'!$A$2:$A$51,0))</f>
        <v>18.880555555555553</v>
      </c>
      <c r="P51" s="22">
        <f>INDEX('Product Summary'!$M$2:$M$51,MATCH($A51,'Product Summary'!$A$2:$A$51,0))</f>
        <v>58.023021308980212</v>
      </c>
      <c r="Q51" s="22">
        <f t="shared" si="3"/>
        <v>64.645161290322577</v>
      </c>
      <c r="R51" s="22">
        <f t="shared" si="4"/>
        <v>53.414899101487698</v>
      </c>
      <c r="S51" s="19" t="str">
        <f t="shared" si="5"/>
        <v>HEALTHY</v>
      </c>
    </row>
    <row r="52" spans="1:19" x14ac:dyDescent="0.3">
      <c r="A52" s="19" t="s">
        <v>78</v>
      </c>
      <c r="B52" s="19" t="s">
        <v>79</v>
      </c>
      <c r="C52" s="19" t="s">
        <v>30</v>
      </c>
      <c r="D52" s="19" t="s">
        <v>31</v>
      </c>
      <c r="E52" s="19">
        <f>SUMIFS('Stock Inflow'!$G$2:$G$601,'Stock Inflow'!$A$2:$A$601,$A52,'Stock Inflow'!$D$2:$D$601,$D52)</f>
        <v>334</v>
      </c>
      <c r="F52" s="19">
        <f>SUMIFS('Stock Inflow'!$F$2:$F$601,'Stock Inflow'!$A$2:$A$601,$A52,'Stock Inflow'!$D$2:$D$601,$D52)</f>
        <v>170</v>
      </c>
      <c r="G52" s="19">
        <f>SUMIFS('Stock Inflow'!$E$2:$E$601,'Stock Inflow'!$A$2:$A$601,$A52,'Stock Inflow'!$D$2:$D$601,$D52)</f>
        <v>6</v>
      </c>
      <c r="H52" s="19">
        <f>SUMIFS('Stock Outflow'!$F$2:$F$601,'Stock Outflow'!$A$2:$A$601,$A52,'Stock Outflow'!$D$2:$D$601,$D52)</f>
        <v>159</v>
      </c>
      <c r="I52" s="19">
        <f>SUMIFS('Stock Outflow'!$E$2:$E$601,'Stock Outflow'!$A$2:$A$601,$A52,'Stock Outflow'!$D$2:$D$601,$D52)</f>
        <v>5</v>
      </c>
      <c r="J52" s="19">
        <f t="shared" si="0"/>
        <v>346</v>
      </c>
      <c r="K52" s="20">
        <f>INDEX('Item Master'!$F$2:$F$51,MATCH($A52,'Item Master'!$A$2:$A$51,0))</f>
        <v>3500</v>
      </c>
      <c r="L52" s="20">
        <f t="shared" si="1"/>
        <v>556500</v>
      </c>
      <c r="M52" s="21">
        <f t="shared" si="2"/>
        <v>5.3</v>
      </c>
      <c r="N52" s="19">
        <f>INDEX('Item Master'!$E$2:$E$51,MATCH($A52,'Item Master'!$A$2:$A$51,0))</f>
        <v>7</v>
      </c>
      <c r="O52" s="22">
        <f>INDEX('Product Summary'!$L$2:$L$51,MATCH($A52,'Product Summary'!$A$2:$A$51,0))</f>
        <v>18.880555555555553</v>
      </c>
      <c r="P52" s="22">
        <f>INDEX('Product Summary'!$M$2:$M$51,MATCH($A52,'Product Summary'!$A$2:$A$51,0))</f>
        <v>58.023021308980212</v>
      </c>
      <c r="Q52" s="22">
        <f t="shared" si="3"/>
        <v>65.283018867924525</v>
      </c>
      <c r="R52" s="22">
        <f t="shared" si="4"/>
        <v>54.335278998305618</v>
      </c>
      <c r="S52" s="19" t="str">
        <f t="shared" si="5"/>
        <v>HEALTHY</v>
      </c>
    </row>
    <row r="53" spans="1:19" x14ac:dyDescent="0.3">
      <c r="A53" s="19" t="s">
        <v>78</v>
      </c>
      <c r="B53" s="19" t="s">
        <v>79</v>
      </c>
      <c r="C53" s="19" t="s">
        <v>30</v>
      </c>
      <c r="D53" s="19" t="s">
        <v>33</v>
      </c>
      <c r="E53" s="19">
        <f>SUMIFS('Stock Inflow'!$G$2:$G$601,'Stock Inflow'!$A$2:$A$601,$A53,'Stock Inflow'!$D$2:$D$601,$D53)</f>
        <v>346</v>
      </c>
      <c r="F53" s="19">
        <f>SUMIFS('Stock Inflow'!$F$2:$F$601,'Stock Inflow'!$A$2:$A$601,$A53,'Stock Inflow'!$D$2:$D$601,$D53)</f>
        <v>195</v>
      </c>
      <c r="G53" s="19">
        <f>SUMIFS('Stock Inflow'!$E$2:$E$601,'Stock Inflow'!$A$2:$A$601,$A53,'Stock Inflow'!$D$2:$D$601,$D53)</f>
        <v>2</v>
      </c>
      <c r="H53" s="19">
        <f>SUMIFS('Stock Outflow'!$F$2:$F$601,'Stock Outflow'!$A$2:$A$601,$A53,'Stock Outflow'!$D$2:$D$601,$D53)</f>
        <v>164</v>
      </c>
      <c r="I53" s="19">
        <f>SUMIFS('Stock Outflow'!$E$2:$E$601,'Stock Outflow'!$A$2:$A$601,$A53,'Stock Outflow'!$D$2:$D$601,$D53)</f>
        <v>2</v>
      </c>
      <c r="J53" s="19">
        <f t="shared" si="0"/>
        <v>377</v>
      </c>
      <c r="K53" s="20">
        <f>INDEX('Item Master'!$F$2:$F$51,MATCH($A53,'Item Master'!$A$2:$A$51,0))</f>
        <v>3500</v>
      </c>
      <c r="L53" s="20">
        <f t="shared" si="1"/>
        <v>574000</v>
      </c>
      <c r="M53" s="21">
        <f t="shared" si="2"/>
        <v>5.4666666666666668</v>
      </c>
      <c r="N53" s="19">
        <f>INDEX('Item Master'!$E$2:$E$51,MATCH($A53,'Item Master'!$A$2:$A$51,0))</f>
        <v>7</v>
      </c>
      <c r="O53" s="22">
        <f>INDEX('Product Summary'!$L$2:$L$51,MATCH($A53,'Product Summary'!$A$2:$A$51,0))</f>
        <v>18.880555555555553</v>
      </c>
      <c r="P53" s="22">
        <f>INDEX('Product Summary'!$M$2:$M$51,MATCH($A53,'Product Summary'!$A$2:$A$51,0))</f>
        <v>58.023021308980212</v>
      </c>
      <c r="Q53" s="22">
        <f t="shared" si="3"/>
        <v>68.963414634146346</v>
      </c>
      <c r="R53" s="22">
        <f t="shared" si="4"/>
        <v>58.349447321528011</v>
      </c>
      <c r="S53" s="19" t="str">
        <f t="shared" si="5"/>
        <v>HEALTHY</v>
      </c>
    </row>
    <row r="54" spans="1:19" x14ac:dyDescent="0.3">
      <c r="A54" s="19" t="s">
        <v>78</v>
      </c>
      <c r="B54" s="19" t="s">
        <v>79</v>
      </c>
      <c r="C54" s="19" t="s">
        <v>30</v>
      </c>
      <c r="D54" s="19" t="s">
        <v>35</v>
      </c>
      <c r="E54" s="19">
        <f>SUMIFS('Stock Inflow'!$G$2:$G$601,'Stock Inflow'!$A$2:$A$601,$A54,'Stock Inflow'!$D$2:$D$601,$D54)</f>
        <v>377</v>
      </c>
      <c r="F54" s="19">
        <f>SUMIFS('Stock Inflow'!$F$2:$F$601,'Stock Inflow'!$A$2:$A$601,$A54,'Stock Inflow'!$D$2:$D$601,$D54)</f>
        <v>208</v>
      </c>
      <c r="G54" s="19">
        <f>SUMIFS('Stock Inflow'!$E$2:$E$601,'Stock Inflow'!$A$2:$A$601,$A54,'Stock Inflow'!$D$2:$D$601,$D54)</f>
        <v>5</v>
      </c>
      <c r="H54" s="19">
        <f>SUMIFS('Stock Outflow'!$F$2:$F$601,'Stock Outflow'!$A$2:$A$601,$A54,'Stock Outflow'!$D$2:$D$601,$D54)</f>
        <v>184</v>
      </c>
      <c r="I54" s="19">
        <f>SUMIFS('Stock Outflow'!$E$2:$E$601,'Stock Outflow'!$A$2:$A$601,$A54,'Stock Outflow'!$D$2:$D$601,$D54)</f>
        <v>5</v>
      </c>
      <c r="J54" s="19">
        <f t="shared" si="0"/>
        <v>401</v>
      </c>
      <c r="K54" s="20">
        <f>INDEX('Item Master'!$F$2:$F$51,MATCH($A54,'Item Master'!$A$2:$A$51,0))</f>
        <v>3500</v>
      </c>
      <c r="L54" s="20">
        <f t="shared" si="1"/>
        <v>644000</v>
      </c>
      <c r="M54" s="21">
        <f t="shared" si="2"/>
        <v>6.1333333333333337</v>
      </c>
      <c r="N54" s="19">
        <f>INDEX('Item Master'!$E$2:$E$51,MATCH($A54,'Item Master'!$A$2:$A$51,0))</f>
        <v>7</v>
      </c>
      <c r="O54" s="22">
        <f>INDEX('Product Summary'!$L$2:$L$51,MATCH($A54,'Product Summary'!$A$2:$A$51,0))</f>
        <v>18.880555555555553</v>
      </c>
      <c r="P54" s="22">
        <f>INDEX('Product Summary'!$M$2:$M$51,MATCH($A54,'Product Summary'!$A$2:$A$51,0))</f>
        <v>58.023021308980212</v>
      </c>
      <c r="Q54" s="22">
        <f t="shared" si="3"/>
        <v>65.380434782608688</v>
      </c>
      <c r="R54" s="22">
        <f t="shared" si="4"/>
        <v>55.920159569188002</v>
      </c>
      <c r="S54" s="19" t="str">
        <f t="shared" si="5"/>
        <v>HEALTHY</v>
      </c>
    </row>
    <row r="55" spans="1:19" x14ac:dyDescent="0.3">
      <c r="A55" s="19" t="s">
        <v>78</v>
      </c>
      <c r="B55" s="19" t="s">
        <v>79</v>
      </c>
      <c r="C55" s="19" t="s">
        <v>30</v>
      </c>
      <c r="D55" s="19" t="s">
        <v>37</v>
      </c>
      <c r="E55" s="19">
        <f>SUMIFS('Stock Inflow'!$G$2:$G$601,'Stock Inflow'!$A$2:$A$601,$A55,'Stock Inflow'!$D$2:$D$601,$D55)</f>
        <v>401</v>
      </c>
      <c r="F55" s="19">
        <f>SUMIFS('Stock Inflow'!$F$2:$F$601,'Stock Inflow'!$A$2:$A$601,$A55,'Stock Inflow'!$D$2:$D$601,$D55)</f>
        <v>159</v>
      </c>
      <c r="G55" s="19">
        <f>SUMIFS('Stock Inflow'!$E$2:$E$601,'Stock Inflow'!$A$2:$A$601,$A55,'Stock Inflow'!$D$2:$D$601,$D55)</f>
        <v>4</v>
      </c>
      <c r="H55" s="19">
        <f>SUMIFS('Stock Outflow'!$F$2:$F$601,'Stock Outflow'!$A$2:$A$601,$A55,'Stock Outflow'!$D$2:$D$601,$D55)</f>
        <v>140</v>
      </c>
      <c r="I55" s="19">
        <f>SUMIFS('Stock Outflow'!$E$2:$E$601,'Stock Outflow'!$A$2:$A$601,$A55,'Stock Outflow'!$D$2:$D$601,$D55)</f>
        <v>4</v>
      </c>
      <c r="J55" s="19">
        <f t="shared" si="0"/>
        <v>420</v>
      </c>
      <c r="K55" s="20">
        <f>INDEX('Item Master'!$F$2:$F$51,MATCH($A55,'Item Master'!$A$2:$A$51,0))</f>
        <v>3500</v>
      </c>
      <c r="L55" s="20">
        <f t="shared" si="1"/>
        <v>490000</v>
      </c>
      <c r="M55" s="21">
        <f t="shared" si="2"/>
        <v>4.666666666666667</v>
      </c>
      <c r="N55" s="19">
        <f>INDEX('Item Master'!$E$2:$E$51,MATCH($A55,'Item Master'!$A$2:$A$51,0))</f>
        <v>7</v>
      </c>
      <c r="O55" s="22">
        <f>INDEX('Product Summary'!$L$2:$L$51,MATCH($A55,'Product Summary'!$A$2:$A$51,0))</f>
        <v>18.880555555555553</v>
      </c>
      <c r="P55" s="22">
        <f>INDEX('Product Summary'!$M$2:$M$51,MATCH($A55,'Product Summary'!$A$2:$A$51,0))</f>
        <v>58.023021308980212</v>
      </c>
      <c r="Q55" s="22">
        <f t="shared" si="3"/>
        <v>90</v>
      </c>
      <c r="R55" s="22">
        <f t="shared" si="4"/>
        <v>77.566495433789953</v>
      </c>
      <c r="S55" s="19" t="str">
        <f t="shared" si="5"/>
        <v>HEALTHY</v>
      </c>
    </row>
    <row r="56" spans="1:19" x14ac:dyDescent="0.3">
      <c r="A56" s="19" t="s">
        <v>78</v>
      </c>
      <c r="B56" s="19" t="s">
        <v>79</v>
      </c>
      <c r="C56" s="19" t="s">
        <v>30</v>
      </c>
      <c r="D56" s="19" t="s">
        <v>39</v>
      </c>
      <c r="E56" s="19">
        <f>SUMIFS('Stock Inflow'!$G$2:$G$601,'Stock Inflow'!$A$2:$A$601,$A56,'Stock Inflow'!$D$2:$D$601,$D56)</f>
        <v>420</v>
      </c>
      <c r="F56" s="19">
        <f>SUMIFS('Stock Inflow'!$F$2:$F$601,'Stock Inflow'!$A$2:$A$601,$A56,'Stock Inflow'!$D$2:$D$601,$D56)</f>
        <v>185</v>
      </c>
      <c r="G56" s="19">
        <f>SUMIFS('Stock Inflow'!$E$2:$E$601,'Stock Inflow'!$A$2:$A$601,$A56,'Stock Inflow'!$D$2:$D$601,$D56)</f>
        <v>2</v>
      </c>
      <c r="H56" s="19">
        <f>SUMIFS('Stock Outflow'!$F$2:$F$601,'Stock Outflow'!$A$2:$A$601,$A56,'Stock Outflow'!$D$2:$D$601,$D56)</f>
        <v>144</v>
      </c>
      <c r="I56" s="19">
        <f>SUMIFS('Stock Outflow'!$E$2:$E$601,'Stock Outflow'!$A$2:$A$601,$A56,'Stock Outflow'!$D$2:$D$601,$D56)</f>
        <v>1</v>
      </c>
      <c r="J56" s="19">
        <f t="shared" si="0"/>
        <v>462</v>
      </c>
      <c r="K56" s="20">
        <f>INDEX('Item Master'!$F$2:$F$51,MATCH($A56,'Item Master'!$A$2:$A$51,0))</f>
        <v>3500</v>
      </c>
      <c r="L56" s="20">
        <f t="shared" si="1"/>
        <v>504000</v>
      </c>
      <c r="M56" s="21">
        <f t="shared" si="2"/>
        <v>4.8</v>
      </c>
      <c r="N56" s="19">
        <f>INDEX('Item Master'!$E$2:$E$51,MATCH($A56,'Item Master'!$A$2:$A$51,0))</f>
        <v>7</v>
      </c>
      <c r="O56" s="22">
        <f>INDEX('Product Summary'!$L$2:$L$51,MATCH($A56,'Product Summary'!$A$2:$A$51,0))</f>
        <v>18.880555555555553</v>
      </c>
      <c r="P56" s="22">
        <f>INDEX('Product Summary'!$M$2:$M$51,MATCH($A56,'Product Summary'!$A$2:$A$51,0))</f>
        <v>58.023021308980212</v>
      </c>
      <c r="Q56" s="22">
        <f t="shared" si="3"/>
        <v>96.25</v>
      </c>
      <c r="R56" s="22">
        <f t="shared" si="4"/>
        <v>84.161870560629126</v>
      </c>
      <c r="S56" s="19" t="str">
        <f t="shared" si="5"/>
        <v>HEALTHY</v>
      </c>
    </row>
    <row r="57" spans="1:19" x14ac:dyDescent="0.3">
      <c r="A57" s="19" t="s">
        <v>78</v>
      </c>
      <c r="B57" s="19" t="s">
        <v>79</v>
      </c>
      <c r="C57" s="19" t="s">
        <v>30</v>
      </c>
      <c r="D57" s="19" t="s">
        <v>41</v>
      </c>
      <c r="E57" s="19">
        <f>SUMIFS('Stock Inflow'!$G$2:$G$601,'Stock Inflow'!$A$2:$A$601,$A57,'Stock Inflow'!$D$2:$D$601,$D57)</f>
        <v>462</v>
      </c>
      <c r="F57" s="19">
        <f>SUMIFS('Stock Inflow'!$F$2:$F$601,'Stock Inflow'!$A$2:$A$601,$A57,'Stock Inflow'!$D$2:$D$601,$D57)</f>
        <v>194</v>
      </c>
      <c r="G57" s="19">
        <f>SUMIFS('Stock Inflow'!$E$2:$E$601,'Stock Inflow'!$A$2:$A$601,$A57,'Stock Inflow'!$D$2:$D$601,$D57)</f>
        <v>3</v>
      </c>
      <c r="H57" s="19">
        <f>SUMIFS('Stock Outflow'!$F$2:$F$601,'Stock Outflow'!$A$2:$A$601,$A57,'Stock Outflow'!$D$2:$D$601,$D57)</f>
        <v>166</v>
      </c>
      <c r="I57" s="19">
        <f>SUMIFS('Stock Outflow'!$E$2:$E$601,'Stock Outflow'!$A$2:$A$601,$A57,'Stock Outflow'!$D$2:$D$601,$D57)</f>
        <v>1</v>
      </c>
      <c r="J57" s="19">
        <f t="shared" si="0"/>
        <v>492</v>
      </c>
      <c r="K57" s="20">
        <f>INDEX('Item Master'!$F$2:$F$51,MATCH($A57,'Item Master'!$A$2:$A$51,0))</f>
        <v>3500</v>
      </c>
      <c r="L57" s="20">
        <f t="shared" si="1"/>
        <v>581000</v>
      </c>
      <c r="M57" s="21">
        <f t="shared" si="2"/>
        <v>5.5333333333333332</v>
      </c>
      <c r="N57" s="19">
        <f>INDEX('Item Master'!$E$2:$E$51,MATCH($A57,'Item Master'!$A$2:$A$51,0))</f>
        <v>7</v>
      </c>
      <c r="O57" s="22">
        <f>INDEX('Product Summary'!$L$2:$L$51,MATCH($A57,'Product Summary'!$A$2:$A$51,0))</f>
        <v>18.880555555555553</v>
      </c>
      <c r="P57" s="22">
        <f>INDEX('Product Summary'!$M$2:$M$51,MATCH($A57,'Product Summary'!$A$2:$A$51,0))</f>
        <v>58.023021308980212</v>
      </c>
      <c r="Q57" s="22">
        <f t="shared" si="3"/>
        <v>88.915662650602414</v>
      </c>
      <c r="R57" s="22">
        <f t="shared" si="4"/>
        <v>78.429574462232495</v>
      </c>
      <c r="S57" s="19" t="str">
        <f t="shared" si="5"/>
        <v>HEALTHY</v>
      </c>
    </row>
    <row r="58" spans="1:19" x14ac:dyDescent="0.3">
      <c r="A58" s="19" t="s">
        <v>78</v>
      </c>
      <c r="B58" s="19" t="s">
        <v>79</v>
      </c>
      <c r="C58" s="19" t="s">
        <v>30</v>
      </c>
      <c r="D58" s="19" t="s">
        <v>43</v>
      </c>
      <c r="E58" s="19">
        <f>SUMIFS('Stock Inflow'!$G$2:$G$601,'Stock Inflow'!$A$2:$A$601,$A58,'Stock Inflow'!$D$2:$D$601,$D58)</f>
        <v>492</v>
      </c>
      <c r="F58" s="19">
        <f>SUMIFS('Stock Inflow'!$F$2:$F$601,'Stock Inflow'!$A$2:$A$601,$A58,'Stock Inflow'!$D$2:$D$601,$D58)</f>
        <v>180</v>
      </c>
      <c r="G58" s="19">
        <f>SUMIFS('Stock Inflow'!$E$2:$E$601,'Stock Inflow'!$A$2:$A$601,$A58,'Stock Inflow'!$D$2:$D$601,$D58)</f>
        <v>5</v>
      </c>
      <c r="H58" s="19">
        <f>SUMIFS('Stock Outflow'!$F$2:$F$601,'Stock Outflow'!$A$2:$A$601,$A58,'Stock Outflow'!$D$2:$D$601,$D58)</f>
        <v>180</v>
      </c>
      <c r="I58" s="19">
        <f>SUMIFS('Stock Outflow'!$E$2:$E$601,'Stock Outflow'!$A$2:$A$601,$A58,'Stock Outflow'!$D$2:$D$601,$D58)</f>
        <v>3</v>
      </c>
      <c r="J58" s="19">
        <f t="shared" si="0"/>
        <v>494</v>
      </c>
      <c r="K58" s="20">
        <f>INDEX('Item Master'!$F$2:$F$51,MATCH($A58,'Item Master'!$A$2:$A$51,0))</f>
        <v>3500</v>
      </c>
      <c r="L58" s="20">
        <f t="shared" si="1"/>
        <v>630000</v>
      </c>
      <c r="M58" s="21">
        <f t="shared" si="2"/>
        <v>6</v>
      </c>
      <c r="N58" s="19">
        <f>INDEX('Item Master'!$E$2:$E$51,MATCH($A58,'Item Master'!$A$2:$A$51,0))</f>
        <v>7</v>
      </c>
      <c r="O58" s="22">
        <f>INDEX('Product Summary'!$L$2:$L$51,MATCH($A58,'Product Summary'!$A$2:$A$51,0))</f>
        <v>18.880555555555553</v>
      </c>
      <c r="P58" s="22">
        <f>INDEX('Product Summary'!$M$2:$M$51,MATCH($A58,'Product Summary'!$A$2:$A$51,0))</f>
        <v>58.023021308980212</v>
      </c>
      <c r="Q58" s="22">
        <f t="shared" si="3"/>
        <v>82.333333333333329</v>
      </c>
      <c r="R58" s="22">
        <f t="shared" si="4"/>
        <v>72.662829781836635</v>
      </c>
      <c r="S58" s="19" t="str">
        <f t="shared" si="5"/>
        <v>HEALTHY</v>
      </c>
    </row>
    <row r="59" spans="1:19" x14ac:dyDescent="0.3">
      <c r="A59" s="19" t="s">
        <v>78</v>
      </c>
      <c r="B59" s="19" t="s">
        <v>79</v>
      </c>
      <c r="C59" s="19" t="s">
        <v>30</v>
      </c>
      <c r="D59" s="19" t="s">
        <v>45</v>
      </c>
      <c r="E59" s="19">
        <f>SUMIFS('Stock Inflow'!$G$2:$G$601,'Stock Inflow'!$A$2:$A$601,$A59,'Stock Inflow'!$D$2:$D$601,$D59)</f>
        <v>494</v>
      </c>
      <c r="F59" s="19">
        <f>SUMIFS('Stock Inflow'!$F$2:$F$601,'Stock Inflow'!$A$2:$A$601,$A59,'Stock Inflow'!$D$2:$D$601,$D59)</f>
        <v>285</v>
      </c>
      <c r="G59" s="19">
        <f>SUMIFS('Stock Inflow'!$E$2:$E$601,'Stock Inflow'!$A$2:$A$601,$A59,'Stock Inflow'!$D$2:$D$601,$D59)</f>
        <v>6</v>
      </c>
      <c r="H59" s="19">
        <f>SUMIFS('Stock Outflow'!$F$2:$F$601,'Stock Outflow'!$A$2:$A$601,$A59,'Stock Outflow'!$D$2:$D$601,$D59)</f>
        <v>251</v>
      </c>
      <c r="I59" s="19">
        <f>SUMIFS('Stock Outflow'!$E$2:$E$601,'Stock Outflow'!$A$2:$A$601,$A59,'Stock Outflow'!$D$2:$D$601,$D59)</f>
        <v>8</v>
      </c>
      <c r="J59" s="19">
        <f t="shared" si="0"/>
        <v>526</v>
      </c>
      <c r="K59" s="20">
        <f>INDEX('Item Master'!$F$2:$F$51,MATCH($A59,'Item Master'!$A$2:$A$51,0))</f>
        <v>3500</v>
      </c>
      <c r="L59" s="20">
        <f t="shared" si="1"/>
        <v>878500</v>
      </c>
      <c r="M59" s="21">
        <f t="shared" si="2"/>
        <v>8.3666666666666671</v>
      </c>
      <c r="N59" s="19">
        <f>INDEX('Item Master'!$E$2:$E$51,MATCH($A59,'Item Master'!$A$2:$A$51,0))</f>
        <v>7</v>
      </c>
      <c r="O59" s="22">
        <f>INDEX('Product Summary'!$L$2:$L$51,MATCH($A59,'Product Summary'!$A$2:$A$51,0))</f>
        <v>18.880555555555553</v>
      </c>
      <c r="P59" s="22">
        <f>INDEX('Product Summary'!$M$2:$M$51,MATCH($A59,'Product Summary'!$A$2:$A$51,0))</f>
        <v>58.023021308980212</v>
      </c>
      <c r="Q59" s="22">
        <f t="shared" si="3"/>
        <v>62.86852589641434</v>
      </c>
      <c r="R59" s="22">
        <f t="shared" si="4"/>
        <v>55.933503429205551</v>
      </c>
      <c r="S59" s="19" t="str">
        <f t="shared" si="5"/>
        <v>HEALTHY</v>
      </c>
    </row>
    <row r="60" spans="1:19" x14ac:dyDescent="0.3">
      <c r="A60" s="19" t="s">
        <v>78</v>
      </c>
      <c r="B60" s="19" t="s">
        <v>79</v>
      </c>
      <c r="C60" s="19" t="s">
        <v>30</v>
      </c>
      <c r="D60" s="19" t="s">
        <v>47</v>
      </c>
      <c r="E60" s="19">
        <f>SUMIFS('Stock Inflow'!$G$2:$G$601,'Stock Inflow'!$A$2:$A$601,$A60,'Stock Inflow'!$D$2:$D$601,$D60)</f>
        <v>526</v>
      </c>
      <c r="F60" s="19">
        <f>SUMIFS('Stock Inflow'!$F$2:$F$601,'Stock Inflow'!$A$2:$A$601,$A60,'Stock Inflow'!$D$2:$D$601,$D60)</f>
        <v>201</v>
      </c>
      <c r="G60" s="19">
        <f>SUMIFS('Stock Inflow'!$E$2:$E$601,'Stock Inflow'!$A$2:$A$601,$A60,'Stock Inflow'!$D$2:$D$601,$D60)</f>
        <v>3</v>
      </c>
      <c r="H60" s="19">
        <f>SUMIFS('Stock Outflow'!$F$2:$F$601,'Stock Outflow'!$A$2:$A$601,$A60,'Stock Outflow'!$D$2:$D$601,$D60)</f>
        <v>169</v>
      </c>
      <c r="I60" s="19">
        <f>SUMIFS('Stock Outflow'!$E$2:$E$601,'Stock Outflow'!$A$2:$A$601,$A60,'Stock Outflow'!$D$2:$D$601,$D60)</f>
        <v>2</v>
      </c>
      <c r="J60" s="19">
        <f t="shared" si="0"/>
        <v>559</v>
      </c>
      <c r="K60" s="20">
        <f>INDEX('Item Master'!$F$2:$F$51,MATCH($A60,'Item Master'!$A$2:$A$51,0))</f>
        <v>3500</v>
      </c>
      <c r="L60" s="20">
        <f t="shared" si="1"/>
        <v>591500</v>
      </c>
      <c r="M60" s="21">
        <f t="shared" si="2"/>
        <v>5.6333333333333337</v>
      </c>
      <c r="N60" s="19">
        <f>INDEX('Item Master'!$E$2:$E$51,MATCH($A60,'Item Master'!$A$2:$A$51,0))</f>
        <v>7</v>
      </c>
      <c r="O60" s="22">
        <f>INDEX('Product Summary'!$L$2:$L$51,MATCH($A60,'Product Summary'!$A$2:$A$51,0))</f>
        <v>18.880555555555553</v>
      </c>
      <c r="P60" s="22">
        <f>INDEX('Product Summary'!$M$2:$M$51,MATCH($A60,'Product Summary'!$A$2:$A$51,0))</f>
        <v>58.023021308980212</v>
      </c>
      <c r="Q60" s="22">
        <f t="shared" si="3"/>
        <v>99.230769230769226</v>
      </c>
      <c r="R60" s="22">
        <f t="shared" si="4"/>
        <v>88.93082461970765</v>
      </c>
      <c r="S60" s="19" t="str">
        <f t="shared" si="5"/>
        <v>HEALTHY</v>
      </c>
    </row>
    <row r="61" spans="1:19" x14ac:dyDescent="0.3">
      <c r="A61" s="19" t="s">
        <v>78</v>
      </c>
      <c r="B61" s="19" t="s">
        <v>79</v>
      </c>
      <c r="C61" s="19" t="s">
        <v>30</v>
      </c>
      <c r="D61" s="19" t="s">
        <v>49</v>
      </c>
      <c r="E61" s="19">
        <f>SUMIFS('Stock Inflow'!$G$2:$G$601,'Stock Inflow'!$A$2:$A$601,$A61,'Stock Inflow'!$D$2:$D$601,$D61)</f>
        <v>559</v>
      </c>
      <c r="F61" s="19">
        <f>SUMIFS('Stock Inflow'!$F$2:$F$601,'Stock Inflow'!$A$2:$A$601,$A61,'Stock Inflow'!$D$2:$D$601,$D61)</f>
        <v>172</v>
      </c>
      <c r="G61" s="19">
        <f>SUMIFS('Stock Inflow'!$E$2:$E$601,'Stock Inflow'!$A$2:$A$601,$A61,'Stock Inflow'!$D$2:$D$601,$D61)</f>
        <v>3</v>
      </c>
      <c r="H61" s="19">
        <f>SUMIFS('Stock Outflow'!$F$2:$F$601,'Stock Outflow'!$A$2:$A$601,$A61,'Stock Outflow'!$D$2:$D$601,$D61)</f>
        <v>169</v>
      </c>
      <c r="I61" s="19">
        <f>SUMIFS('Stock Outflow'!$E$2:$E$601,'Stock Outflow'!$A$2:$A$601,$A61,'Stock Outflow'!$D$2:$D$601,$D61)</f>
        <v>4</v>
      </c>
      <c r="J61" s="19">
        <f t="shared" si="0"/>
        <v>561</v>
      </c>
      <c r="K61" s="20">
        <f>INDEX('Item Master'!$F$2:$F$51,MATCH($A61,'Item Master'!$A$2:$A$51,0))</f>
        <v>3500</v>
      </c>
      <c r="L61" s="20">
        <f t="shared" si="1"/>
        <v>591500</v>
      </c>
      <c r="M61" s="21">
        <f t="shared" si="2"/>
        <v>5.6333333333333337</v>
      </c>
      <c r="N61" s="19">
        <f>INDEX('Item Master'!$E$2:$E$51,MATCH($A61,'Item Master'!$A$2:$A$51,0))</f>
        <v>7</v>
      </c>
      <c r="O61" s="22">
        <f>INDEX('Product Summary'!$L$2:$L$51,MATCH($A61,'Product Summary'!$A$2:$A$51,0))</f>
        <v>18.880555555555553</v>
      </c>
      <c r="P61" s="22">
        <f>INDEX('Product Summary'!$M$2:$M$51,MATCH($A61,'Product Summary'!$A$2:$A$51,0))</f>
        <v>58.023021308980212</v>
      </c>
      <c r="Q61" s="22">
        <f t="shared" si="3"/>
        <v>99.585798816568044</v>
      </c>
      <c r="R61" s="22">
        <f t="shared" si="4"/>
        <v>89.285854205506467</v>
      </c>
      <c r="S61" s="19" t="str">
        <f t="shared" si="5"/>
        <v>HEALTHY</v>
      </c>
    </row>
    <row r="62" spans="1:19" x14ac:dyDescent="0.3">
      <c r="A62" s="19" t="s">
        <v>81</v>
      </c>
      <c r="B62" s="19" t="s">
        <v>82</v>
      </c>
      <c r="C62" s="19" t="s">
        <v>32</v>
      </c>
      <c r="D62" s="19" t="s">
        <v>27</v>
      </c>
      <c r="E62" s="19">
        <f>SUMIFS('Stock Inflow'!$G$2:$G$601,'Stock Inflow'!$A$2:$A$601,$A62,'Stock Inflow'!$D$2:$D$601,$D62)</f>
        <v>314</v>
      </c>
      <c r="F62" s="19">
        <f>SUMIFS('Stock Inflow'!$F$2:$F$601,'Stock Inflow'!$A$2:$A$601,$A62,'Stock Inflow'!$D$2:$D$601,$D62)</f>
        <v>164</v>
      </c>
      <c r="G62" s="19">
        <f>SUMIFS('Stock Inflow'!$E$2:$E$601,'Stock Inflow'!$A$2:$A$601,$A62,'Stock Inflow'!$D$2:$D$601,$D62)</f>
        <v>2</v>
      </c>
      <c r="H62" s="19">
        <f>SUMIFS('Stock Outflow'!$F$2:$F$601,'Stock Outflow'!$A$2:$A$601,$A62,'Stock Outflow'!$D$2:$D$601,$D62)</f>
        <v>146</v>
      </c>
      <c r="I62" s="19">
        <f>SUMIFS('Stock Outflow'!$E$2:$E$601,'Stock Outflow'!$A$2:$A$601,$A62,'Stock Outflow'!$D$2:$D$601,$D62)</f>
        <v>3</v>
      </c>
      <c r="J62" s="19">
        <f t="shared" si="0"/>
        <v>331</v>
      </c>
      <c r="K62" s="20">
        <f>INDEX('Item Master'!$F$2:$F$51,MATCH($A62,'Item Master'!$A$2:$A$51,0))</f>
        <v>90</v>
      </c>
      <c r="L62" s="20">
        <f t="shared" si="1"/>
        <v>13140</v>
      </c>
      <c r="M62" s="21">
        <f t="shared" si="2"/>
        <v>4.8666666666666663</v>
      </c>
      <c r="N62" s="19">
        <f>INDEX('Item Master'!$E$2:$E$51,MATCH($A62,'Item Master'!$A$2:$A$51,0))</f>
        <v>5</v>
      </c>
      <c r="O62" s="22">
        <f>INDEX('Product Summary'!$L$2:$L$51,MATCH($A62,'Product Summary'!$A$2:$A$51,0))</f>
        <v>8.1388888888888893</v>
      </c>
      <c r="P62" s="22">
        <f>INDEX('Product Summary'!$M$2:$M$51,MATCH($A62,'Product Summary'!$A$2:$A$51,0))</f>
        <v>32.166286149162858</v>
      </c>
      <c r="Q62" s="22">
        <f t="shared" si="3"/>
        <v>68.013698630136986</v>
      </c>
      <c r="R62" s="22">
        <f t="shared" si="4"/>
        <v>61.404187777569284</v>
      </c>
      <c r="S62" s="19" t="str">
        <f t="shared" si="5"/>
        <v>HEALTHY</v>
      </c>
    </row>
    <row r="63" spans="1:19" x14ac:dyDescent="0.3">
      <c r="A63" s="19" t="s">
        <v>81</v>
      </c>
      <c r="B63" s="19" t="s">
        <v>82</v>
      </c>
      <c r="C63" s="19" t="s">
        <v>32</v>
      </c>
      <c r="D63" s="19" t="s">
        <v>29</v>
      </c>
      <c r="E63" s="19">
        <f>SUMIFS('Stock Inflow'!$G$2:$G$601,'Stock Inflow'!$A$2:$A$601,$A63,'Stock Inflow'!$D$2:$D$601,$D63)</f>
        <v>331</v>
      </c>
      <c r="F63" s="19">
        <f>SUMIFS('Stock Inflow'!$F$2:$F$601,'Stock Inflow'!$A$2:$A$601,$A63,'Stock Inflow'!$D$2:$D$601,$D63)</f>
        <v>134</v>
      </c>
      <c r="G63" s="19">
        <f>SUMIFS('Stock Inflow'!$E$2:$E$601,'Stock Inflow'!$A$2:$A$601,$A63,'Stock Inflow'!$D$2:$D$601,$D63)</f>
        <v>3</v>
      </c>
      <c r="H63" s="19">
        <f>SUMIFS('Stock Outflow'!$F$2:$F$601,'Stock Outflow'!$A$2:$A$601,$A63,'Stock Outflow'!$D$2:$D$601,$D63)</f>
        <v>141</v>
      </c>
      <c r="I63" s="19">
        <f>SUMIFS('Stock Outflow'!$E$2:$E$601,'Stock Outflow'!$A$2:$A$601,$A63,'Stock Outflow'!$D$2:$D$601,$D63)</f>
        <v>0</v>
      </c>
      <c r="J63" s="19">
        <f t="shared" si="0"/>
        <v>327</v>
      </c>
      <c r="K63" s="20">
        <f>INDEX('Item Master'!$F$2:$F$51,MATCH($A63,'Item Master'!$A$2:$A$51,0))</f>
        <v>90</v>
      </c>
      <c r="L63" s="20">
        <f t="shared" si="1"/>
        <v>12690</v>
      </c>
      <c r="M63" s="21">
        <f t="shared" si="2"/>
        <v>4.7</v>
      </c>
      <c r="N63" s="19">
        <f>INDEX('Item Master'!$E$2:$E$51,MATCH($A63,'Item Master'!$A$2:$A$51,0))</f>
        <v>5</v>
      </c>
      <c r="O63" s="22">
        <f>INDEX('Product Summary'!$L$2:$L$51,MATCH($A63,'Product Summary'!$A$2:$A$51,0))</f>
        <v>8.1388888888888893</v>
      </c>
      <c r="P63" s="22">
        <f>INDEX('Product Summary'!$M$2:$M$51,MATCH($A63,'Product Summary'!$A$2:$A$51,0))</f>
        <v>32.166286149162858</v>
      </c>
      <c r="Q63" s="22">
        <f t="shared" si="3"/>
        <v>69.574468085106375</v>
      </c>
      <c r="R63" s="22">
        <f t="shared" si="4"/>
        <v>62.730577415071735</v>
      </c>
      <c r="S63" s="19" t="str">
        <f t="shared" si="5"/>
        <v>HEALTHY</v>
      </c>
    </row>
    <row r="64" spans="1:19" x14ac:dyDescent="0.3">
      <c r="A64" s="19" t="s">
        <v>81</v>
      </c>
      <c r="B64" s="19" t="s">
        <v>82</v>
      </c>
      <c r="C64" s="19" t="s">
        <v>32</v>
      </c>
      <c r="D64" s="19" t="s">
        <v>31</v>
      </c>
      <c r="E64" s="19">
        <f>SUMIFS('Stock Inflow'!$G$2:$G$601,'Stock Inflow'!$A$2:$A$601,$A64,'Stock Inflow'!$D$2:$D$601,$D64)</f>
        <v>327</v>
      </c>
      <c r="F64" s="19">
        <f>SUMIFS('Stock Inflow'!$F$2:$F$601,'Stock Inflow'!$A$2:$A$601,$A64,'Stock Inflow'!$D$2:$D$601,$D64)</f>
        <v>132</v>
      </c>
      <c r="G64" s="19">
        <f>SUMIFS('Stock Inflow'!$E$2:$E$601,'Stock Inflow'!$A$2:$A$601,$A64,'Stock Inflow'!$D$2:$D$601,$D64)</f>
        <v>3</v>
      </c>
      <c r="H64" s="19">
        <f>SUMIFS('Stock Outflow'!$F$2:$F$601,'Stock Outflow'!$A$2:$A$601,$A64,'Stock Outflow'!$D$2:$D$601,$D64)</f>
        <v>130</v>
      </c>
      <c r="I64" s="19">
        <f>SUMIFS('Stock Outflow'!$E$2:$E$601,'Stock Outflow'!$A$2:$A$601,$A64,'Stock Outflow'!$D$2:$D$601,$D64)</f>
        <v>2</v>
      </c>
      <c r="J64" s="19">
        <f t="shared" si="0"/>
        <v>330</v>
      </c>
      <c r="K64" s="20">
        <f>INDEX('Item Master'!$F$2:$F$51,MATCH($A64,'Item Master'!$A$2:$A$51,0))</f>
        <v>90</v>
      </c>
      <c r="L64" s="20">
        <f t="shared" si="1"/>
        <v>11700</v>
      </c>
      <c r="M64" s="21">
        <f t="shared" si="2"/>
        <v>4.333333333333333</v>
      </c>
      <c r="N64" s="19">
        <f>INDEX('Item Master'!$E$2:$E$51,MATCH($A64,'Item Master'!$A$2:$A$51,0))</f>
        <v>5</v>
      </c>
      <c r="O64" s="22">
        <f>INDEX('Product Summary'!$L$2:$L$51,MATCH($A64,'Product Summary'!$A$2:$A$51,0))</f>
        <v>8.1388888888888893</v>
      </c>
      <c r="P64" s="22">
        <f>INDEX('Product Summary'!$M$2:$M$51,MATCH($A64,'Product Summary'!$A$2:$A$51,0))</f>
        <v>32.166286149162858</v>
      </c>
      <c r="Q64" s="22">
        <f t="shared" si="3"/>
        <v>76.15384615384616</v>
      </c>
      <c r="R64" s="22">
        <f t="shared" si="4"/>
        <v>68.730857042500887</v>
      </c>
      <c r="S64" s="19" t="str">
        <f t="shared" si="5"/>
        <v>HEALTHY</v>
      </c>
    </row>
    <row r="65" spans="1:19" x14ac:dyDescent="0.3">
      <c r="A65" s="19" t="s">
        <v>81</v>
      </c>
      <c r="B65" s="19" t="s">
        <v>82</v>
      </c>
      <c r="C65" s="19" t="s">
        <v>32</v>
      </c>
      <c r="D65" s="19" t="s">
        <v>33</v>
      </c>
      <c r="E65" s="19">
        <f>SUMIFS('Stock Inflow'!$G$2:$G$601,'Stock Inflow'!$A$2:$A$601,$A65,'Stock Inflow'!$D$2:$D$601,$D65)</f>
        <v>330</v>
      </c>
      <c r="F65" s="19">
        <f>SUMIFS('Stock Inflow'!$F$2:$F$601,'Stock Inflow'!$A$2:$A$601,$A65,'Stock Inflow'!$D$2:$D$601,$D65)</f>
        <v>172</v>
      </c>
      <c r="G65" s="19">
        <f>SUMIFS('Stock Inflow'!$E$2:$E$601,'Stock Inflow'!$A$2:$A$601,$A65,'Stock Inflow'!$D$2:$D$601,$D65)</f>
        <v>5</v>
      </c>
      <c r="H65" s="19">
        <f>SUMIFS('Stock Outflow'!$F$2:$F$601,'Stock Outflow'!$A$2:$A$601,$A65,'Stock Outflow'!$D$2:$D$601,$D65)</f>
        <v>133</v>
      </c>
      <c r="I65" s="19">
        <f>SUMIFS('Stock Outflow'!$E$2:$E$601,'Stock Outflow'!$A$2:$A$601,$A65,'Stock Outflow'!$D$2:$D$601,$D65)</f>
        <v>3</v>
      </c>
      <c r="J65" s="19">
        <f t="shared" si="0"/>
        <v>371</v>
      </c>
      <c r="K65" s="20">
        <f>INDEX('Item Master'!$F$2:$F$51,MATCH($A65,'Item Master'!$A$2:$A$51,0))</f>
        <v>90</v>
      </c>
      <c r="L65" s="20">
        <f t="shared" si="1"/>
        <v>11970</v>
      </c>
      <c r="M65" s="21">
        <f t="shared" si="2"/>
        <v>4.4333333333333336</v>
      </c>
      <c r="N65" s="19">
        <f>INDEX('Item Master'!$E$2:$E$51,MATCH($A65,'Item Master'!$A$2:$A$51,0))</f>
        <v>5</v>
      </c>
      <c r="O65" s="22">
        <f>INDEX('Product Summary'!$L$2:$L$51,MATCH($A65,'Product Summary'!$A$2:$A$51,0))</f>
        <v>8.1388888888888893</v>
      </c>
      <c r="P65" s="22">
        <f>INDEX('Product Summary'!$M$2:$M$51,MATCH($A65,'Product Summary'!$A$2:$A$51,0))</f>
        <v>32.166286149162858</v>
      </c>
      <c r="Q65" s="22">
        <f t="shared" si="3"/>
        <v>83.68421052631578</v>
      </c>
      <c r="R65" s="22">
        <f t="shared" si="4"/>
        <v>76.428657259587325</v>
      </c>
      <c r="S65" s="19" t="str">
        <f t="shared" si="5"/>
        <v>HEALTHY</v>
      </c>
    </row>
    <row r="66" spans="1:19" x14ac:dyDescent="0.3">
      <c r="A66" s="19" t="s">
        <v>81</v>
      </c>
      <c r="B66" s="19" t="s">
        <v>82</v>
      </c>
      <c r="C66" s="19" t="s">
        <v>32</v>
      </c>
      <c r="D66" s="19" t="s">
        <v>35</v>
      </c>
      <c r="E66" s="19">
        <f>SUMIFS('Stock Inflow'!$G$2:$G$601,'Stock Inflow'!$A$2:$A$601,$A66,'Stock Inflow'!$D$2:$D$601,$D66)</f>
        <v>371</v>
      </c>
      <c r="F66" s="19">
        <f>SUMIFS('Stock Inflow'!$F$2:$F$601,'Stock Inflow'!$A$2:$A$601,$A66,'Stock Inflow'!$D$2:$D$601,$D66)</f>
        <v>166</v>
      </c>
      <c r="G66" s="19">
        <f>SUMIFS('Stock Inflow'!$E$2:$E$601,'Stock Inflow'!$A$2:$A$601,$A66,'Stock Inflow'!$D$2:$D$601,$D66)</f>
        <v>6</v>
      </c>
      <c r="H66" s="19">
        <f>SUMIFS('Stock Outflow'!$F$2:$F$601,'Stock Outflow'!$A$2:$A$601,$A66,'Stock Outflow'!$D$2:$D$601,$D66)</f>
        <v>148</v>
      </c>
      <c r="I66" s="19">
        <f>SUMIFS('Stock Outflow'!$E$2:$E$601,'Stock Outflow'!$A$2:$A$601,$A66,'Stock Outflow'!$D$2:$D$601,$D66)</f>
        <v>1</v>
      </c>
      <c r="J66" s="19">
        <f t="shared" ref="J66:J129" si="6">E66+F66+G66-H66-I66</f>
        <v>394</v>
      </c>
      <c r="K66" s="20">
        <f>INDEX('Item Master'!$F$2:$F$51,MATCH($A66,'Item Master'!$A$2:$A$51,0))</f>
        <v>90</v>
      </c>
      <c r="L66" s="20">
        <f t="shared" ref="L66:L129" si="7">H66*K66</f>
        <v>13320</v>
      </c>
      <c r="M66" s="21">
        <f t="shared" ref="M66:M129" si="8">H66/30</f>
        <v>4.9333333333333336</v>
      </c>
      <c r="N66" s="19">
        <f>INDEX('Item Master'!$E$2:$E$51,MATCH($A66,'Item Master'!$A$2:$A$51,0))</f>
        <v>5</v>
      </c>
      <c r="O66" s="22">
        <f>INDEX('Product Summary'!$L$2:$L$51,MATCH($A66,'Product Summary'!$A$2:$A$51,0))</f>
        <v>8.1388888888888893</v>
      </c>
      <c r="P66" s="22">
        <f>INDEX('Product Summary'!$M$2:$M$51,MATCH($A66,'Product Summary'!$A$2:$A$51,0))</f>
        <v>32.166286149162858</v>
      </c>
      <c r="Q66" s="22">
        <f t="shared" ref="Q66:Q129" si="9">IF(M66=0,"",J66/M66)</f>
        <v>79.864864864864856</v>
      </c>
      <c r="R66" s="22">
        <f t="shared" ref="R66:R129" si="10">IF(M66=0,"",IF(J66&lt;=P66,0,(J66-P66)/M66))</f>
        <v>73.344671726521042</v>
      </c>
      <c r="S66" s="19" t="str">
        <f t="shared" ref="S66:S129" si="11">IF(J66&lt;=P66,"REORDER NOW",IF(IFERROR(Q66,0)&gt;150,"OVERSTOCK","HEALTHY"))</f>
        <v>HEALTHY</v>
      </c>
    </row>
    <row r="67" spans="1:19" x14ac:dyDescent="0.3">
      <c r="A67" s="19" t="s">
        <v>81</v>
      </c>
      <c r="B67" s="19" t="s">
        <v>82</v>
      </c>
      <c r="C67" s="19" t="s">
        <v>32</v>
      </c>
      <c r="D67" s="19" t="s">
        <v>37</v>
      </c>
      <c r="E67" s="19">
        <f>SUMIFS('Stock Inflow'!$G$2:$G$601,'Stock Inflow'!$A$2:$A$601,$A67,'Stock Inflow'!$D$2:$D$601,$D67)</f>
        <v>394</v>
      </c>
      <c r="F67" s="19">
        <f>SUMIFS('Stock Inflow'!$F$2:$F$601,'Stock Inflow'!$A$2:$A$601,$A67,'Stock Inflow'!$D$2:$D$601,$D67)</f>
        <v>158</v>
      </c>
      <c r="G67" s="19">
        <f>SUMIFS('Stock Inflow'!$E$2:$E$601,'Stock Inflow'!$A$2:$A$601,$A67,'Stock Inflow'!$D$2:$D$601,$D67)</f>
        <v>6</v>
      </c>
      <c r="H67" s="19">
        <f>SUMIFS('Stock Outflow'!$F$2:$F$601,'Stock Outflow'!$A$2:$A$601,$A67,'Stock Outflow'!$D$2:$D$601,$D67)</f>
        <v>157</v>
      </c>
      <c r="I67" s="19">
        <f>SUMIFS('Stock Outflow'!$E$2:$E$601,'Stock Outflow'!$A$2:$A$601,$A67,'Stock Outflow'!$D$2:$D$601,$D67)</f>
        <v>4</v>
      </c>
      <c r="J67" s="19">
        <f t="shared" si="6"/>
        <v>397</v>
      </c>
      <c r="K67" s="20">
        <f>INDEX('Item Master'!$F$2:$F$51,MATCH($A67,'Item Master'!$A$2:$A$51,0))</f>
        <v>90</v>
      </c>
      <c r="L67" s="20">
        <f t="shared" si="7"/>
        <v>14130</v>
      </c>
      <c r="M67" s="21">
        <f t="shared" si="8"/>
        <v>5.2333333333333334</v>
      </c>
      <c r="N67" s="19">
        <f>INDEX('Item Master'!$E$2:$E$51,MATCH($A67,'Item Master'!$A$2:$A$51,0))</f>
        <v>5</v>
      </c>
      <c r="O67" s="22">
        <f>INDEX('Product Summary'!$L$2:$L$51,MATCH($A67,'Product Summary'!$A$2:$A$51,0))</f>
        <v>8.1388888888888893</v>
      </c>
      <c r="P67" s="22">
        <f>INDEX('Product Summary'!$M$2:$M$51,MATCH($A67,'Product Summary'!$A$2:$A$51,0))</f>
        <v>32.166286149162858</v>
      </c>
      <c r="Q67" s="22">
        <f t="shared" si="9"/>
        <v>75.859872611464965</v>
      </c>
      <c r="R67" s="22">
        <f t="shared" si="10"/>
        <v>69.713448506529389</v>
      </c>
      <c r="S67" s="19" t="str">
        <f t="shared" si="11"/>
        <v>HEALTHY</v>
      </c>
    </row>
    <row r="68" spans="1:19" x14ac:dyDescent="0.3">
      <c r="A68" s="19" t="s">
        <v>81</v>
      </c>
      <c r="B68" s="19" t="s">
        <v>82</v>
      </c>
      <c r="C68" s="19" t="s">
        <v>32</v>
      </c>
      <c r="D68" s="19" t="s">
        <v>39</v>
      </c>
      <c r="E68" s="19">
        <f>SUMIFS('Stock Inflow'!$G$2:$G$601,'Stock Inflow'!$A$2:$A$601,$A68,'Stock Inflow'!$D$2:$D$601,$D68)</f>
        <v>397</v>
      </c>
      <c r="F68" s="19">
        <f>SUMIFS('Stock Inflow'!$F$2:$F$601,'Stock Inflow'!$A$2:$A$601,$A68,'Stock Inflow'!$D$2:$D$601,$D68)</f>
        <v>128</v>
      </c>
      <c r="G68" s="19">
        <f>SUMIFS('Stock Inflow'!$E$2:$E$601,'Stock Inflow'!$A$2:$A$601,$A68,'Stock Inflow'!$D$2:$D$601,$D68)</f>
        <v>2</v>
      </c>
      <c r="H68" s="19">
        <f>SUMIFS('Stock Outflow'!$F$2:$F$601,'Stock Outflow'!$A$2:$A$601,$A68,'Stock Outflow'!$D$2:$D$601,$D68)</f>
        <v>126</v>
      </c>
      <c r="I68" s="19">
        <f>SUMIFS('Stock Outflow'!$E$2:$E$601,'Stock Outflow'!$A$2:$A$601,$A68,'Stock Outflow'!$D$2:$D$601,$D68)</f>
        <v>1</v>
      </c>
      <c r="J68" s="19">
        <f t="shared" si="6"/>
        <v>400</v>
      </c>
      <c r="K68" s="20">
        <f>INDEX('Item Master'!$F$2:$F$51,MATCH($A68,'Item Master'!$A$2:$A$51,0))</f>
        <v>90</v>
      </c>
      <c r="L68" s="20">
        <f t="shared" si="7"/>
        <v>11340</v>
      </c>
      <c r="M68" s="21">
        <f t="shared" si="8"/>
        <v>4.2</v>
      </c>
      <c r="N68" s="19">
        <f>INDEX('Item Master'!$E$2:$E$51,MATCH($A68,'Item Master'!$A$2:$A$51,0))</f>
        <v>5</v>
      </c>
      <c r="O68" s="22">
        <f>INDEX('Product Summary'!$L$2:$L$51,MATCH($A68,'Product Summary'!$A$2:$A$51,0))</f>
        <v>8.1388888888888893</v>
      </c>
      <c r="P68" s="22">
        <f>INDEX('Product Summary'!$M$2:$M$51,MATCH($A68,'Product Summary'!$A$2:$A$51,0))</f>
        <v>32.166286149162858</v>
      </c>
      <c r="Q68" s="22">
        <f t="shared" si="9"/>
        <v>95.238095238095241</v>
      </c>
      <c r="R68" s="22">
        <f t="shared" si="10"/>
        <v>87.579455678770756</v>
      </c>
      <c r="S68" s="19" t="str">
        <f t="shared" si="11"/>
        <v>HEALTHY</v>
      </c>
    </row>
    <row r="69" spans="1:19" x14ac:dyDescent="0.3">
      <c r="A69" s="19" t="s">
        <v>81</v>
      </c>
      <c r="B69" s="19" t="s">
        <v>82</v>
      </c>
      <c r="C69" s="19" t="s">
        <v>32</v>
      </c>
      <c r="D69" s="19" t="s">
        <v>41</v>
      </c>
      <c r="E69" s="19">
        <f>SUMIFS('Stock Inflow'!$G$2:$G$601,'Stock Inflow'!$A$2:$A$601,$A69,'Stock Inflow'!$D$2:$D$601,$D69)</f>
        <v>400</v>
      </c>
      <c r="F69" s="19">
        <f>SUMIFS('Stock Inflow'!$F$2:$F$601,'Stock Inflow'!$A$2:$A$601,$A69,'Stock Inflow'!$D$2:$D$601,$D69)</f>
        <v>185</v>
      </c>
      <c r="G69" s="19">
        <f>SUMIFS('Stock Inflow'!$E$2:$E$601,'Stock Inflow'!$A$2:$A$601,$A69,'Stock Inflow'!$D$2:$D$601,$D69)</f>
        <v>4</v>
      </c>
      <c r="H69" s="19">
        <f>SUMIFS('Stock Outflow'!$F$2:$F$601,'Stock Outflow'!$A$2:$A$601,$A69,'Stock Outflow'!$D$2:$D$601,$D69)</f>
        <v>149</v>
      </c>
      <c r="I69" s="19">
        <f>SUMIFS('Stock Outflow'!$E$2:$E$601,'Stock Outflow'!$A$2:$A$601,$A69,'Stock Outflow'!$D$2:$D$601,$D69)</f>
        <v>1</v>
      </c>
      <c r="J69" s="19">
        <f t="shared" si="6"/>
        <v>439</v>
      </c>
      <c r="K69" s="20">
        <f>INDEX('Item Master'!$F$2:$F$51,MATCH($A69,'Item Master'!$A$2:$A$51,0))</f>
        <v>90</v>
      </c>
      <c r="L69" s="20">
        <f t="shared" si="7"/>
        <v>13410</v>
      </c>
      <c r="M69" s="21">
        <f t="shared" si="8"/>
        <v>4.9666666666666668</v>
      </c>
      <c r="N69" s="19">
        <f>INDEX('Item Master'!$E$2:$E$51,MATCH($A69,'Item Master'!$A$2:$A$51,0))</f>
        <v>5</v>
      </c>
      <c r="O69" s="22">
        <f>INDEX('Product Summary'!$L$2:$L$51,MATCH($A69,'Product Summary'!$A$2:$A$51,0))</f>
        <v>8.1388888888888893</v>
      </c>
      <c r="P69" s="22">
        <f>INDEX('Product Summary'!$M$2:$M$51,MATCH($A69,'Product Summary'!$A$2:$A$51,0))</f>
        <v>32.166286149162858</v>
      </c>
      <c r="Q69" s="22">
        <f t="shared" si="9"/>
        <v>88.389261744966447</v>
      </c>
      <c r="R69" s="22">
        <f t="shared" si="10"/>
        <v>81.912828292114867</v>
      </c>
      <c r="S69" s="19" t="str">
        <f t="shared" si="11"/>
        <v>HEALTHY</v>
      </c>
    </row>
    <row r="70" spans="1:19" x14ac:dyDescent="0.3">
      <c r="A70" s="19" t="s">
        <v>81</v>
      </c>
      <c r="B70" s="19" t="s">
        <v>82</v>
      </c>
      <c r="C70" s="19" t="s">
        <v>32</v>
      </c>
      <c r="D70" s="19" t="s">
        <v>43</v>
      </c>
      <c r="E70" s="19">
        <f>SUMIFS('Stock Inflow'!$G$2:$G$601,'Stock Inflow'!$A$2:$A$601,$A70,'Stock Inflow'!$D$2:$D$601,$D70)</f>
        <v>439</v>
      </c>
      <c r="F70" s="19">
        <f>SUMIFS('Stock Inflow'!$F$2:$F$601,'Stock Inflow'!$A$2:$A$601,$A70,'Stock Inflow'!$D$2:$D$601,$D70)</f>
        <v>145</v>
      </c>
      <c r="G70" s="19">
        <f>SUMIFS('Stock Inflow'!$E$2:$E$601,'Stock Inflow'!$A$2:$A$601,$A70,'Stock Inflow'!$D$2:$D$601,$D70)</f>
        <v>5</v>
      </c>
      <c r="H70" s="19">
        <f>SUMIFS('Stock Outflow'!$F$2:$F$601,'Stock Outflow'!$A$2:$A$601,$A70,'Stock Outflow'!$D$2:$D$601,$D70)</f>
        <v>158</v>
      </c>
      <c r="I70" s="19">
        <f>SUMIFS('Stock Outflow'!$E$2:$E$601,'Stock Outflow'!$A$2:$A$601,$A70,'Stock Outflow'!$D$2:$D$601,$D70)</f>
        <v>4</v>
      </c>
      <c r="J70" s="19">
        <f t="shared" si="6"/>
        <v>427</v>
      </c>
      <c r="K70" s="20">
        <f>INDEX('Item Master'!$F$2:$F$51,MATCH($A70,'Item Master'!$A$2:$A$51,0))</f>
        <v>90</v>
      </c>
      <c r="L70" s="20">
        <f t="shared" si="7"/>
        <v>14220</v>
      </c>
      <c r="M70" s="21">
        <f t="shared" si="8"/>
        <v>5.2666666666666666</v>
      </c>
      <c r="N70" s="19">
        <f>INDEX('Item Master'!$E$2:$E$51,MATCH($A70,'Item Master'!$A$2:$A$51,0))</f>
        <v>5</v>
      </c>
      <c r="O70" s="22">
        <f>INDEX('Product Summary'!$L$2:$L$51,MATCH($A70,'Product Summary'!$A$2:$A$51,0))</f>
        <v>8.1388888888888893</v>
      </c>
      <c r="P70" s="22">
        <f>INDEX('Product Summary'!$M$2:$M$51,MATCH($A70,'Product Summary'!$A$2:$A$51,0))</f>
        <v>32.166286149162858</v>
      </c>
      <c r="Q70" s="22">
        <f t="shared" si="9"/>
        <v>81.075949367088612</v>
      </c>
      <c r="R70" s="22">
        <f t="shared" si="10"/>
        <v>74.968426680538698</v>
      </c>
      <c r="S70" s="19" t="str">
        <f t="shared" si="11"/>
        <v>HEALTHY</v>
      </c>
    </row>
    <row r="71" spans="1:19" x14ac:dyDescent="0.3">
      <c r="A71" s="19" t="s">
        <v>81</v>
      </c>
      <c r="B71" s="19" t="s">
        <v>82</v>
      </c>
      <c r="C71" s="19" t="s">
        <v>32</v>
      </c>
      <c r="D71" s="19" t="s">
        <v>45</v>
      </c>
      <c r="E71" s="19">
        <f>SUMIFS('Stock Inflow'!$G$2:$G$601,'Stock Inflow'!$A$2:$A$601,$A71,'Stock Inflow'!$D$2:$D$601,$D71)</f>
        <v>427</v>
      </c>
      <c r="F71" s="19">
        <f>SUMIFS('Stock Inflow'!$F$2:$F$601,'Stock Inflow'!$A$2:$A$601,$A71,'Stock Inflow'!$D$2:$D$601,$D71)</f>
        <v>202</v>
      </c>
      <c r="G71" s="19">
        <f>SUMIFS('Stock Inflow'!$E$2:$E$601,'Stock Inflow'!$A$2:$A$601,$A71,'Stock Inflow'!$D$2:$D$601,$D71)</f>
        <v>3</v>
      </c>
      <c r="H71" s="19">
        <f>SUMIFS('Stock Outflow'!$F$2:$F$601,'Stock Outflow'!$A$2:$A$601,$A71,'Stock Outflow'!$D$2:$D$601,$D71)</f>
        <v>195</v>
      </c>
      <c r="I71" s="19">
        <f>SUMIFS('Stock Outflow'!$E$2:$E$601,'Stock Outflow'!$A$2:$A$601,$A71,'Stock Outflow'!$D$2:$D$601,$D71)</f>
        <v>6</v>
      </c>
      <c r="J71" s="19">
        <f t="shared" si="6"/>
        <v>431</v>
      </c>
      <c r="K71" s="20">
        <f>INDEX('Item Master'!$F$2:$F$51,MATCH($A71,'Item Master'!$A$2:$A$51,0))</f>
        <v>90</v>
      </c>
      <c r="L71" s="20">
        <f t="shared" si="7"/>
        <v>17550</v>
      </c>
      <c r="M71" s="21">
        <f t="shared" si="8"/>
        <v>6.5</v>
      </c>
      <c r="N71" s="19">
        <f>INDEX('Item Master'!$E$2:$E$51,MATCH($A71,'Item Master'!$A$2:$A$51,0))</f>
        <v>5</v>
      </c>
      <c r="O71" s="22">
        <f>INDEX('Product Summary'!$L$2:$L$51,MATCH($A71,'Product Summary'!$A$2:$A$51,0))</f>
        <v>8.1388888888888893</v>
      </c>
      <c r="P71" s="22">
        <f>INDEX('Product Summary'!$M$2:$M$51,MATCH($A71,'Product Summary'!$A$2:$A$51,0))</f>
        <v>32.166286149162858</v>
      </c>
      <c r="Q71" s="22">
        <f t="shared" si="9"/>
        <v>66.307692307692307</v>
      </c>
      <c r="R71" s="22">
        <f t="shared" si="10"/>
        <v>61.359032900128796</v>
      </c>
      <c r="S71" s="19" t="str">
        <f t="shared" si="11"/>
        <v>HEALTHY</v>
      </c>
    </row>
    <row r="72" spans="1:19" x14ac:dyDescent="0.3">
      <c r="A72" s="19" t="s">
        <v>81</v>
      </c>
      <c r="B72" s="19" t="s">
        <v>82</v>
      </c>
      <c r="C72" s="19" t="s">
        <v>32</v>
      </c>
      <c r="D72" s="19" t="s">
        <v>47</v>
      </c>
      <c r="E72" s="19">
        <f>SUMIFS('Stock Inflow'!$G$2:$G$601,'Stock Inflow'!$A$2:$A$601,$A72,'Stock Inflow'!$D$2:$D$601,$D72)</f>
        <v>431</v>
      </c>
      <c r="F72" s="19">
        <f>SUMIFS('Stock Inflow'!$F$2:$F$601,'Stock Inflow'!$A$2:$A$601,$A72,'Stock Inflow'!$D$2:$D$601,$D72)</f>
        <v>157</v>
      </c>
      <c r="G72" s="19">
        <f>SUMIFS('Stock Inflow'!$E$2:$E$601,'Stock Inflow'!$A$2:$A$601,$A72,'Stock Inflow'!$D$2:$D$601,$D72)</f>
        <v>5</v>
      </c>
      <c r="H72" s="19">
        <f>SUMIFS('Stock Outflow'!$F$2:$F$601,'Stock Outflow'!$A$2:$A$601,$A72,'Stock Outflow'!$D$2:$D$601,$D72)</f>
        <v>146</v>
      </c>
      <c r="I72" s="19">
        <f>SUMIFS('Stock Outflow'!$E$2:$E$601,'Stock Outflow'!$A$2:$A$601,$A72,'Stock Outflow'!$D$2:$D$601,$D72)</f>
        <v>3</v>
      </c>
      <c r="J72" s="19">
        <f t="shared" si="6"/>
        <v>444</v>
      </c>
      <c r="K72" s="20">
        <f>INDEX('Item Master'!$F$2:$F$51,MATCH($A72,'Item Master'!$A$2:$A$51,0))</f>
        <v>90</v>
      </c>
      <c r="L72" s="20">
        <f t="shared" si="7"/>
        <v>13140</v>
      </c>
      <c r="M72" s="21">
        <f t="shared" si="8"/>
        <v>4.8666666666666663</v>
      </c>
      <c r="N72" s="19">
        <f>INDEX('Item Master'!$E$2:$E$51,MATCH($A72,'Item Master'!$A$2:$A$51,0))</f>
        <v>5</v>
      </c>
      <c r="O72" s="22">
        <f>INDEX('Product Summary'!$L$2:$L$51,MATCH($A72,'Product Summary'!$A$2:$A$51,0))</f>
        <v>8.1388888888888893</v>
      </c>
      <c r="P72" s="22">
        <f>INDEX('Product Summary'!$M$2:$M$51,MATCH($A72,'Product Summary'!$A$2:$A$51,0))</f>
        <v>32.166286149162858</v>
      </c>
      <c r="Q72" s="22">
        <f t="shared" si="9"/>
        <v>91.232876712328775</v>
      </c>
      <c r="R72" s="22">
        <f t="shared" si="10"/>
        <v>84.623365859761066</v>
      </c>
      <c r="S72" s="19" t="str">
        <f t="shared" si="11"/>
        <v>HEALTHY</v>
      </c>
    </row>
    <row r="73" spans="1:19" x14ac:dyDescent="0.3">
      <c r="A73" s="19" t="s">
        <v>81</v>
      </c>
      <c r="B73" s="19" t="s">
        <v>82</v>
      </c>
      <c r="C73" s="19" t="s">
        <v>32</v>
      </c>
      <c r="D73" s="19" t="s">
        <v>49</v>
      </c>
      <c r="E73" s="19">
        <f>SUMIFS('Stock Inflow'!$G$2:$G$601,'Stock Inflow'!$A$2:$A$601,$A73,'Stock Inflow'!$D$2:$D$601,$D73)</f>
        <v>444</v>
      </c>
      <c r="F73" s="19">
        <f>SUMIFS('Stock Inflow'!$F$2:$F$601,'Stock Inflow'!$A$2:$A$601,$A73,'Stock Inflow'!$D$2:$D$601,$D73)</f>
        <v>160</v>
      </c>
      <c r="G73" s="19">
        <f>SUMIFS('Stock Inflow'!$E$2:$E$601,'Stock Inflow'!$A$2:$A$601,$A73,'Stock Inflow'!$D$2:$D$601,$D73)</f>
        <v>4</v>
      </c>
      <c r="H73" s="19">
        <f>SUMIFS('Stock Outflow'!$F$2:$F$601,'Stock Outflow'!$A$2:$A$601,$A73,'Stock Outflow'!$D$2:$D$601,$D73)</f>
        <v>125</v>
      </c>
      <c r="I73" s="19">
        <f>SUMIFS('Stock Outflow'!$E$2:$E$601,'Stock Outflow'!$A$2:$A$601,$A73,'Stock Outflow'!$D$2:$D$601,$D73)</f>
        <v>1</v>
      </c>
      <c r="J73" s="19">
        <f t="shared" si="6"/>
        <v>482</v>
      </c>
      <c r="K73" s="20">
        <f>INDEX('Item Master'!$F$2:$F$51,MATCH($A73,'Item Master'!$A$2:$A$51,0))</f>
        <v>90</v>
      </c>
      <c r="L73" s="20">
        <f t="shared" si="7"/>
        <v>11250</v>
      </c>
      <c r="M73" s="21">
        <f t="shared" si="8"/>
        <v>4.166666666666667</v>
      </c>
      <c r="N73" s="19">
        <f>INDEX('Item Master'!$E$2:$E$51,MATCH($A73,'Item Master'!$A$2:$A$51,0))</f>
        <v>5</v>
      </c>
      <c r="O73" s="22">
        <f>INDEX('Product Summary'!$L$2:$L$51,MATCH($A73,'Product Summary'!$A$2:$A$51,0))</f>
        <v>8.1388888888888893</v>
      </c>
      <c r="P73" s="22">
        <f>INDEX('Product Summary'!$M$2:$M$51,MATCH($A73,'Product Summary'!$A$2:$A$51,0))</f>
        <v>32.166286149162858</v>
      </c>
      <c r="Q73" s="22">
        <f t="shared" si="9"/>
        <v>115.67999999999999</v>
      </c>
      <c r="R73" s="22">
        <f t="shared" si="10"/>
        <v>107.96009132420092</v>
      </c>
      <c r="S73" s="19" t="str">
        <f t="shared" si="11"/>
        <v>HEALTHY</v>
      </c>
    </row>
    <row r="74" spans="1:19" x14ac:dyDescent="0.3">
      <c r="A74" s="19" t="s">
        <v>83</v>
      </c>
      <c r="B74" s="19" t="s">
        <v>84</v>
      </c>
      <c r="C74" s="19" t="s">
        <v>32</v>
      </c>
      <c r="D74" s="19" t="s">
        <v>27</v>
      </c>
      <c r="E74" s="19">
        <f>SUMIFS('Stock Inflow'!$G$2:$G$601,'Stock Inflow'!$A$2:$A$601,$A74,'Stock Inflow'!$D$2:$D$601,$D74)</f>
        <v>378</v>
      </c>
      <c r="F74" s="19">
        <f>SUMIFS('Stock Inflow'!$F$2:$F$601,'Stock Inflow'!$A$2:$A$601,$A74,'Stock Inflow'!$D$2:$D$601,$D74)</f>
        <v>204</v>
      </c>
      <c r="G74" s="19">
        <f>SUMIFS('Stock Inflow'!$E$2:$E$601,'Stock Inflow'!$A$2:$A$601,$A74,'Stock Inflow'!$D$2:$D$601,$D74)</f>
        <v>2</v>
      </c>
      <c r="H74" s="19">
        <f>SUMIFS('Stock Outflow'!$F$2:$F$601,'Stock Outflow'!$A$2:$A$601,$A74,'Stock Outflow'!$D$2:$D$601,$D74)</f>
        <v>190</v>
      </c>
      <c r="I74" s="19">
        <f>SUMIFS('Stock Outflow'!$E$2:$E$601,'Stock Outflow'!$A$2:$A$601,$A74,'Stock Outflow'!$D$2:$D$601,$D74)</f>
        <v>2</v>
      </c>
      <c r="J74" s="19">
        <f t="shared" si="6"/>
        <v>392</v>
      </c>
      <c r="K74" s="20">
        <f>INDEX('Item Master'!$F$2:$F$51,MATCH($A74,'Item Master'!$A$2:$A$51,0))</f>
        <v>130</v>
      </c>
      <c r="L74" s="20">
        <f t="shared" si="7"/>
        <v>24700</v>
      </c>
      <c r="M74" s="21">
        <f t="shared" si="8"/>
        <v>6.333333333333333</v>
      </c>
      <c r="N74" s="19">
        <f>INDEX('Item Master'!$E$2:$E$51,MATCH($A74,'Item Master'!$A$2:$A$51,0))</f>
        <v>5</v>
      </c>
      <c r="O74" s="22">
        <f>INDEX('Product Summary'!$L$2:$L$51,MATCH($A74,'Product Summary'!$A$2:$A$51,0))</f>
        <v>21.194444444444443</v>
      </c>
      <c r="P74" s="22">
        <f>INDEX('Product Summary'!$M$2:$M$51,MATCH($A74,'Product Summary'!$A$2:$A$51,0))</f>
        <v>54.208143074581429</v>
      </c>
      <c r="Q74" s="22">
        <f t="shared" si="9"/>
        <v>61.894736842105267</v>
      </c>
      <c r="R74" s="22">
        <f t="shared" si="10"/>
        <v>53.335556356645043</v>
      </c>
      <c r="S74" s="19" t="str">
        <f t="shared" si="11"/>
        <v>HEALTHY</v>
      </c>
    </row>
    <row r="75" spans="1:19" x14ac:dyDescent="0.3">
      <c r="A75" s="19" t="s">
        <v>83</v>
      </c>
      <c r="B75" s="19" t="s">
        <v>84</v>
      </c>
      <c r="C75" s="19" t="s">
        <v>32</v>
      </c>
      <c r="D75" s="19" t="s">
        <v>29</v>
      </c>
      <c r="E75" s="19">
        <f>SUMIFS('Stock Inflow'!$G$2:$G$601,'Stock Inflow'!$A$2:$A$601,$A75,'Stock Inflow'!$D$2:$D$601,$D75)</f>
        <v>392</v>
      </c>
      <c r="F75" s="19">
        <f>SUMIFS('Stock Inflow'!$F$2:$F$601,'Stock Inflow'!$A$2:$A$601,$A75,'Stock Inflow'!$D$2:$D$601,$D75)</f>
        <v>272</v>
      </c>
      <c r="G75" s="19">
        <f>SUMIFS('Stock Inflow'!$E$2:$E$601,'Stock Inflow'!$A$2:$A$601,$A75,'Stock Inflow'!$D$2:$D$601,$D75)</f>
        <v>2</v>
      </c>
      <c r="H75" s="19">
        <f>SUMIFS('Stock Outflow'!$F$2:$F$601,'Stock Outflow'!$A$2:$A$601,$A75,'Stock Outflow'!$D$2:$D$601,$D75)</f>
        <v>211</v>
      </c>
      <c r="I75" s="19">
        <f>SUMIFS('Stock Outflow'!$E$2:$E$601,'Stock Outflow'!$A$2:$A$601,$A75,'Stock Outflow'!$D$2:$D$601,$D75)</f>
        <v>3</v>
      </c>
      <c r="J75" s="19">
        <f t="shared" si="6"/>
        <v>452</v>
      </c>
      <c r="K75" s="20">
        <f>INDEX('Item Master'!$F$2:$F$51,MATCH($A75,'Item Master'!$A$2:$A$51,0))</f>
        <v>130</v>
      </c>
      <c r="L75" s="20">
        <f t="shared" si="7"/>
        <v>27430</v>
      </c>
      <c r="M75" s="21">
        <f t="shared" si="8"/>
        <v>7.0333333333333332</v>
      </c>
      <c r="N75" s="19">
        <f>INDEX('Item Master'!$E$2:$E$51,MATCH($A75,'Item Master'!$A$2:$A$51,0))</f>
        <v>5</v>
      </c>
      <c r="O75" s="22">
        <f>INDEX('Product Summary'!$L$2:$L$51,MATCH($A75,'Product Summary'!$A$2:$A$51,0))</f>
        <v>21.194444444444443</v>
      </c>
      <c r="P75" s="22">
        <f>INDEX('Product Summary'!$M$2:$M$51,MATCH($A75,'Product Summary'!$A$2:$A$51,0))</f>
        <v>54.208143074581429</v>
      </c>
      <c r="Q75" s="22">
        <f t="shared" si="9"/>
        <v>64.26540284360189</v>
      </c>
      <c r="R75" s="22">
        <f t="shared" si="10"/>
        <v>56.558083923045295</v>
      </c>
      <c r="S75" s="19" t="str">
        <f t="shared" si="11"/>
        <v>HEALTHY</v>
      </c>
    </row>
    <row r="76" spans="1:19" x14ac:dyDescent="0.3">
      <c r="A76" s="19" t="s">
        <v>83</v>
      </c>
      <c r="B76" s="19" t="s">
        <v>84</v>
      </c>
      <c r="C76" s="19" t="s">
        <v>32</v>
      </c>
      <c r="D76" s="19" t="s">
        <v>31</v>
      </c>
      <c r="E76" s="19">
        <f>SUMIFS('Stock Inflow'!$G$2:$G$601,'Stock Inflow'!$A$2:$A$601,$A76,'Stock Inflow'!$D$2:$D$601,$D76)</f>
        <v>452</v>
      </c>
      <c r="F76" s="19">
        <f>SUMIFS('Stock Inflow'!$F$2:$F$601,'Stock Inflow'!$A$2:$A$601,$A76,'Stock Inflow'!$D$2:$D$601,$D76)</f>
        <v>230</v>
      </c>
      <c r="G76" s="19">
        <f>SUMIFS('Stock Inflow'!$E$2:$E$601,'Stock Inflow'!$A$2:$A$601,$A76,'Stock Inflow'!$D$2:$D$601,$D76)</f>
        <v>4</v>
      </c>
      <c r="H76" s="19">
        <f>SUMIFS('Stock Outflow'!$F$2:$F$601,'Stock Outflow'!$A$2:$A$601,$A76,'Stock Outflow'!$D$2:$D$601,$D76)</f>
        <v>197</v>
      </c>
      <c r="I76" s="19">
        <f>SUMIFS('Stock Outflow'!$E$2:$E$601,'Stock Outflow'!$A$2:$A$601,$A76,'Stock Outflow'!$D$2:$D$601,$D76)</f>
        <v>4</v>
      </c>
      <c r="J76" s="19">
        <f t="shared" si="6"/>
        <v>485</v>
      </c>
      <c r="K76" s="20">
        <f>INDEX('Item Master'!$F$2:$F$51,MATCH($A76,'Item Master'!$A$2:$A$51,0))</f>
        <v>130</v>
      </c>
      <c r="L76" s="20">
        <f t="shared" si="7"/>
        <v>25610</v>
      </c>
      <c r="M76" s="21">
        <f t="shared" si="8"/>
        <v>6.5666666666666664</v>
      </c>
      <c r="N76" s="19">
        <f>INDEX('Item Master'!$E$2:$E$51,MATCH($A76,'Item Master'!$A$2:$A$51,0))</f>
        <v>5</v>
      </c>
      <c r="O76" s="22">
        <f>INDEX('Product Summary'!$L$2:$L$51,MATCH($A76,'Product Summary'!$A$2:$A$51,0))</f>
        <v>21.194444444444443</v>
      </c>
      <c r="P76" s="22">
        <f>INDEX('Product Summary'!$M$2:$M$51,MATCH($A76,'Product Summary'!$A$2:$A$51,0))</f>
        <v>54.208143074581429</v>
      </c>
      <c r="Q76" s="22">
        <f t="shared" si="9"/>
        <v>73.857868020304565</v>
      </c>
      <c r="R76" s="22">
        <f t="shared" si="10"/>
        <v>65.602820851586586</v>
      </c>
      <c r="S76" s="19" t="str">
        <f t="shared" si="11"/>
        <v>HEALTHY</v>
      </c>
    </row>
    <row r="77" spans="1:19" x14ac:dyDescent="0.3">
      <c r="A77" s="19" t="s">
        <v>83</v>
      </c>
      <c r="B77" s="19" t="s">
        <v>84</v>
      </c>
      <c r="C77" s="19" t="s">
        <v>32</v>
      </c>
      <c r="D77" s="19" t="s">
        <v>33</v>
      </c>
      <c r="E77" s="19">
        <f>SUMIFS('Stock Inflow'!$G$2:$G$601,'Stock Inflow'!$A$2:$A$601,$A77,'Stock Inflow'!$D$2:$D$601,$D77)</f>
        <v>485</v>
      </c>
      <c r="F77" s="19">
        <f>SUMIFS('Stock Inflow'!$F$2:$F$601,'Stock Inflow'!$A$2:$A$601,$A77,'Stock Inflow'!$D$2:$D$601,$D77)</f>
        <v>268</v>
      </c>
      <c r="G77" s="19">
        <f>SUMIFS('Stock Inflow'!$E$2:$E$601,'Stock Inflow'!$A$2:$A$601,$A77,'Stock Inflow'!$D$2:$D$601,$D77)</f>
        <v>7</v>
      </c>
      <c r="H77" s="19">
        <f>SUMIFS('Stock Outflow'!$F$2:$F$601,'Stock Outflow'!$A$2:$A$601,$A77,'Stock Outflow'!$D$2:$D$601,$D77)</f>
        <v>208</v>
      </c>
      <c r="I77" s="19">
        <f>SUMIFS('Stock Outflow'!$E$2:$E$601,'Stock Outflow'!$A$2:$A$601,$A77,'Stock Outflow'!$D$2:$D$601,$D77)</f>
        <v>7</v>
      </c>
      <c r="J77" s="19">
        <f t="shared" si="6"/>
        <v>545</v>
      </c>
      <c r="K77" s="20">
        <f>INDEX('Item Master'!$F$2:$F$51,MATCH($A77,'Item Master'!$A$2:$A$51,0))</f>
        <v>130</v>
      </c>
      <c r="L77" s="20">
        <f t="shared" si="7"/>
        <v>27040</v>
      </c>
      <c r="M77" s="21">
        <f t="shared" si="8"/>
        <v>6.9333333333333336</v>
      </c>
      <c r="N77" s="19">
        <f>INDEX('Item Master'!$E$2:$E$51,MATCH($A77,'Item Master'!$A$2:$A$51,0))</f>
        <v>5</v>
      </c>
      <c r="O77" s="22">
        <f>INDEX('Product Summary'!$L$2:$L$51,MATCH($A77,'Product Summary'!$A$2:$A$51,0))</f>
        <v>21.194444444444443</v>
      </c>
      <c r="P77" s="22">
        <f>INDEX('Product Summary'!$M$2:$M$51,MATCH($A77,'Product Summary'!$A$2:$A$51,0))</f>
        <v>54.208143074581429</v>
      </c>
      <c r="Q77" s="22">
        <f t="shared" si="9"/>
        <v>78.605769230769226</v>
      </c>
      <c r="R77" s="22">
        <f t="shared" si="10"/>
        <v>70.787287056550753</v>
      </c>
      <c r="S77" s="19" t="str">
        <f t="shared" si="11"/>
        <v>HEALTHY</v>
      </c>
    </row>
    <row r="78" spans="1:19" x14ac:dyDescent="0.3">
      <c r="A78" s="19" t="s">
        <v>83</v>
      </c>
      <c r="B78" s="19" t="s">
        <v>84</v>
      </c>
      <c r="C78" s="19" t="s">
        <v>32</v>
      </c>
      <c r="D78" s="19" t="s">
        <v>35</v>
      </c>
      <c r="E78" s="19">
        <f>SUMIFS('Stock Inflow'!$G$2:$G$601,'Stock Inflow'!$A$2:$A$601,$A78,'Stock Inflow'!$D$2:$D$601,$D78)</f>
        <v>545</v>
      </c>
      <c r="F78" s="19">
        <f>SUMIFS('Stock Inflow'!$F$2:$F$601,'Stock Inflow'!$A$2:$A$601,$A78,'Stock Inflow'!$D$2:$D$601,$D78)</f>
        <v>166</v>
      </c>
      <c r="G78" s="19">
        <f>SUMIFS('Stock Inflow'!$E$2:$E$601,'Stock Inflow'!$A$2:$A$601,$A78,'Stock Inflow'!$D$2:$D$601,$D78)</f>
        <v>6</v>
      </c>
      <c r="H78" s="19">
        <f>SUMIFS('Stock Outflow'!$F$2:$F$601,'Stock Outflow'!$A$2:$A$601,$A78,'Stock Outflow'!$D$2:$D$601,$D78)</f>
        <v>172</v>
      </c>
      <c r="I78" s="19">
        <f>SUMIFS('Stock Outflow'!$E$2:$E$601,'Stock Outflow'!$A$2:$A$601,$A78,'Stock Outflow'!$D$2:$D$601,$D78)</f>
        <v>1</v>
      </c>
      <c r="J78" s="19">
        <f t="shared" si="6"/>
        <v>544</v>
      </c>
      <c r="K78" s="20">
        <f>INDEX('Item Master'!$F$2:$F$51,MATCH($A78,'Item Master'!$A$2:$A$51,0))</f>
        <v>130</v>
      </c>
      <c r="L78" s="20">
        <f t="shared" si="7"/>
        <v>22360</v>
      </c>
      <c r="M78" s="21">
        <f t="shared" si="8"/>
        <v>5.7333333333333334</v>
      </c>
      <c r="N78" s="19">
        <f>INDEX('Item Master'!$E$2:$E$51,MATCH($A78,'Item Master'!$A$2:$A$51,0))</f>
        <v>5</v>
      </c>
      <c r="O78" s="22">
        <f>INDEX('Product Summary'!$L$2:$L$51,MATCH($A78,'Product Summary'!$A$2:$A$51,0))</f>
        <v>21.194444444444443</v>
      </c>
      <c r="P78" s="22">
        <f>INDEX('Product Summary'!$M$2:$M$51,MATCH($A78,'Product Summary'!$A$2:$A$51,0))</f>
        <v>54.208143074581429</v>
      </c>
      <c r="Q78" s="22">
        <f t="shared" si="9"/>
        <v>94.883720930232556</v>
      </c>
      <c r="R78" s="22">
        <f t="shared" si="10"/>
        <v>85.428812254433467</v>
      </c>
      <c r="S78" s="19" t="str">
        <f t="shared" si="11"/>
        <v>HEALTHY</v>
      </c>
    </row>
    <row r="79" spans="1:19" x14ac:dyDescent="0.3">
      <c r="A79" s="19" t="s">
        <v>83</v>
      </c>
      <c r="B79" s="19" t="s">
        <v>84</v>
      </c>
      <c r="C79" s="19" t="s">
        <v>32</v>
      </c>
      <c r="D79" s="19" t="s">
        <v>37</v>
      </c>
      <c r="E79" s="19">
        <f>SUMIFS('Stock Inflow'!$G$2:$G$601,'Stock Inflow'!$A$2:$A$601,$A79,'Stock Inflow'!$D$2:$D$601,$D79)</f>
        <v>544</v>
      </c>
      <c r="F79" s="19">
        <f>SUMIFS('Stock Inflow'!$F$2:$F$601,'Stock Inflow'!$A$2:$A$601,$A79,'Stock Inflow'!$D$2:$D$601,$D79)</f>
        <v>177</v>
      </c>
      <c r="G79" s="19">
        <f>SUMIFS('Stock Inflow'!$E$2:$E$601,'Stock Inflow'!$A$2:$A$601,$A79,'Stock Inflow'!$D$2:$D$601,$D79)</f>
        <v>7</v>
      </c>
      <c r="H79" s="19">
        <f>SUMIFS('Stock Outflow'!$F$2:$F$601,'Stock Outflow'!$A$2:$A$601,$A79,'Stock Outflow'!$D$2:$D$601,$D79)</f>
        <v>182</v>
      </c>
      <c r="I79" s="19">
        <f>SUMIFS('Stock Outflow'!$E$2:$E$601,'Stock Outflow'!$A$2:$A$601,$A79,'Stock Outflow'!$D$2:$D$601,$D79)</f>
        <v>4</v>
      </c>
      <c r="J79" s="19">
        <f t="shared" si="6"/>
        <v>542</v>
      </c>
      <c r="K79" s="20">
        <f>INDEX('Item Master'!$F$2:$F$51,MATCH($A79,'Item Master'!$A$2:$A$51,0))</f>
        <v>130</v>
      </c>
      <c r="L79" s="20">
        <f t="shared" si="7"/>
        <v>23660</v>
      </c>
      <c r="M79" s="21">
        <f t="shared" si="8"/>
        <v>6.0666666666666664</v>
      </c>
      <c r="N79" s="19">
        <f>INDEX('Item Master'!$E$2:$E$51,MATCH($A79,'Item Master'!$A$2:$A$51,0))</f>
        <v>5</v>
      </c>
      <c r="O79" s="22">
        <f>INDEX('Product Summary'!$L$2:$L$51,MATCH($A79,'Product Summary'!$A$2:$A$51,0))</f>
        <v>21.194444444444443</v>
      </c>
      <c r="P79" s="22">
        <f>INDEX('Product Summary'!$M$2:$M$51,MATCH($A79,'Product Summary'!$A$2:$A$51,0))</f>
        <v>54.208143074581429</v>
      </c>
      <c r="Q79" s="22">
        <f t="shared" si="9"/>
        <v>89.340659340659343</v>
      </c>
      <c r="R79" s="22">
        <f t="shared" si="10"/>
        <v>80.405251141552512</v>
      </c>
      <c r="S79" s="19" t="str">
        <f t="shared" si="11"/>
        <v>HEALTHY</v>
      </c>
    </row>
    <row r="80" spans="1:19" x14ac:dyDescent="0.3">
      <c r="A80" s="19" t="s">
        <v>83</v>
      </c>
      <c r="B80" s="19" t="s">
        <v>84</v>
      </c>
      <c r="C80" s="19" t="s">
        <v>32</v>
      </c>
      <c r="D80" s="19" t="s">
        <v>39</v>
      </c>
      <c r="E80" s="19">
        <f>SUMIFS('Stock Inflow'!$G$2:$G$601,'Stock Inflow'!$A$2:$A$601,$A80,'Stock Inflow'!$D$2:$D$601,$D80)</f>
        <v>542</v>
      </c>
      <c r="F80" s="19">
        <f>SUMIFS('Stock Inflow'!$F$2:$F$601,'Stock Inflow'!$A$2:$A$601,$A80,'Stock Inflow'!$D$2:$D$601,$D80)</f>
        <v>213</v>
      </c>
      <c r="G80" s="19">
        <f>SUMIFS('Stock Inflow'!$E$2:$E$601,'Stock Inflow'!$A$2:$A$601,$A80,'Stock Inflow'!$D$2:$D$601,$D80)</f>
        <v>6</v>
      </c>
      <c r="H80" s="19">
        <f>SUMIFS('Stock Outflow'!$F$2:$F$601,'Stock Outflow'!$A$2:$A$601,$A80,'Stock Outflow'!$D$2:$D$601,$D80)</f>
        <v>182</v>
      </c>
      <c r="I80" s="19">
        <f>SUMIFS('Stock Outflow'!$E$2:$E$601,'Stock Outflow'!$A$2:$A$601,$A80,'Stock Outflow'!$D$2:$D$601,$D80)</f>
        <v>2</v>
      </c>
      <c r="J80" s="19">
        <f t="shared" si="6"/>
        <v>577</v>
      </c>
      <c r="K80" s="20">
        <f>INDEX('Item Master'!$F$2:$F$51,MATCH($A80,'Item Master'!$A$2:$A$51,0))</f>
        <v>130</v>
      </c>
      <c r="L80" s="20">
        <f t="shared" si="7"/>
        <v>23660</v>
      </c>
      <c r="M80" s="21">
        <f t="shared" si="8"/>
        <v>6.0666666666666664</v>
      </c>
      <c r="N80" s="19">
        <f>INDEX('Item Master'!$E$2:$E$51,MATCH($A80,'Item Master'!$A$2:$A$51,0))</f>
        <v>5</v>
      </c>
      <c r="O80" s="22">
        <f>INDEX('Product Summary'!$L$2:$L$51,MATCH($A80,'Product Summary'!$A$2:$A$51,0))</f>
        <v>21.194444444444443</v>
      </c>
      <c r="P80" s="22">
        <f>INDEX('Product Summary'!$M$2:$M$51,MATCH($A80,'Product Summary'!$A$2:$A$51,0))</f>
        <v>54.208143074581429</v>
      </c>
      <c r="Q80" s="22">
        <f t="shared" si="9"/>
        <v>95.109890109890117</v>
      </c>
      <c r="R80" s="22">
        <f t="shared" si="10"/>
        <v>86.174481910783271</v>
      </c>
      <c r="S80" s="19" t="str">
        <f t="shared" si="11"/>
        <v>HEALTHY</v>
      </c>
    </row>
    <row r="81" spans="1:19" x14ac:dyDescent="0.3">
      <c r="A81" s="19" t="s">
        <v>83</v>
      </c>
      <c r="B81" s="19" t="s">
        <v>84</v>
      </c>
      <c r="C81" s="19" t="s">
        <v>32</v>
      </c>
      <c r="D81" s="19" t="s">
        <v>41</v>
      </c>
      <c r="E81" s="19">
        <f>SUMIFS('Stock Inflow'!$G$2:$G$601,'Stock Inflow'!$A$2:$A$601,$A81,'Stock Inflow'!$D$2:$D$601,$D81)</f>
        <v>577</v>
      </c>
      <c r="F81" s="19">
        <f>SUMIFS('Stock Inflow'!$F$2:$F$601,'Stock Inflow'!$A$2:$A$601,$A81,'Stock Inflow'!$D$2:$D$601,$D81)</f>
        <v>198</v>
      </c>
      <c r="G81" s="19">
        <f>SUMIFS('Stock Inflow'!$E$2:$E$601,'Stock Inflow'!$A$2:$A$601,$A81,'Stock Inflow'!$D$2:$D$601,$D81)</f>
        <v>4</v>
      </c>
      <c r="H81" s="19">
        <f>SUMIFS('Stock Outflow'!$F$2:$F$601,'Stock Outflow'!$A$2:$A$601,$A81,'Stock Outflow'!$D$2:$D$601,$D81)</f>
        <v>168</v>
      </c>
      <c r="I81" s="19">
        <f>SUMIFS('Stock Outflow'!$E$2:$E$601,'Stock Outflow'!$A$2:$A$601,$A81,'Stock Outflow'!$D$2:$D$601,$D81)</f>
        <v>0</v>
      </c>
      <c r="J81" s="19">
        <f t="shared" si="6"/>
        <v>611</v>
      </c>
      <c r="K81" s="20">
        <f>INDEX('Item Master'!$F$2:$F$51,MATCH($A81,'Item Master'!$A$2:$A$51,0))</f>
        <v>130</v>
      </c>
      <c r="L81" s="20">
        <f t="shared" si="7"/>
        <v>21840</v>
      </c>
      <c r="M81" s="21">
        <f t="shared" si="8"/>
        <v>5.6</v>
      </c>
      <c r="N81" s="19">
        <f>INDEX('Item Master'!$E$2:$E$51,MATCH($A81,'Item Master'!$A$2:$A$51,0))</f>
        <v>5</v>
      </c>
      <c r="O81" s="22">
        <f>INDEX('Product Summary'!$L$2:$L$51,MATCH($A81,'Product Summary'!$A$2:$A$51,0))</f>
        <v>21.194444444444443</v>
      </c>
      <c r="P81" s="22">
        <f>INDEX('Product Summary'!$M$2:$M$51,MATCH($A81,'Product Summary'!$A$2:$A$51,0))</f>
        <v>54.208143074581429</v>
      </c>
      <c r="Q81" s="22">
        <f t="shared" si="9"/>
        <v>109.10714285714286</v>
      </c>
      <c r="R81" s="22">
        <f t="shared" si="10"/>
        <v>99.427117308110454</v>
      </c>
      <c r="S81" s="19" t="str">
        <f t="shared" si="11"/>
        <v>HEALTHY</v>
      </c>
    </row>
    <row r="82" spans="1:19" x14ac:dyDescent="0.3">
      <c r="A82" s="19" t="s">
        <v>83</v>
      </c>
      <c r="B82" s="19" t="s">
        <v>84</v>
      </c>
      <c r="C82" s="19" t="s">
        <v>32</v>
      </c>
      <c r="D82" s="19" t="s">
        <v>43</v>
      </c>
      <c r="E82" s="19">
        <f>SUMIFS('Stock Inflow'!$G$2:$G$601,'Stock Inflow'!$A$2:$A$601,$A82,'Stock Inflow'!$D$2:$D$601,$D82)</f>
        <v>611</v>
      </c>
      <c r="F82" s="19">
        <f>SUMIFS('Stock Inflow'!$F$2:$F$601,'Stock Inflow'!$A$2:$A$601,$A82,'Stock Inflow'!$D$2:$D$601,$D82)</f>
        <v>181</v>
      </c>
      <c r="G82" s="19">
        <f>SUMIFS('Stock Inflow'!$E$2:$E$601,'Stock Inflow'!$A$2:$A$601,$A82,'Stock Inflow'!$D$2:$D$601,$D82)</f>
        <v>7</v>
      </c>
      <c r="H82" s="19">
        <f>SUMIFS('Stock Outflow'!$F$2:$F$601,'Stock Outflow'!$A$2:$A$601,$A82,'Stock Outflow'!$D$2:$D$601,$D82)</f>
        <v>185</v>
      </c>
      <c r="I82" s="19">
        <f>SUMIFS('Stock Outflow'!$E$2:$E$601,'Stock Outflow'!$A$2:$A$601,$A82,'Stock Outflow'!$D$2:$D$601,$D82)</f>
        <v>2</v>
      </c>
      <c r="J82" s="19">
        <f t="shared" si="6"/>
        <v>612</v>
      </c>
      <c r="K82" s="20">
        <f>INDEX('Item Master'!$F$2:$F$51,MATCH($A82,'Item Master'!$A$2:$A$51,0))</f>
        <v>130</v>
      </c>
      <c r="L82" s="20">
        <f t="shared" si="7"/>
        <v>24050</v>
      </c>
      <c r="M82" s="21">
        <f t="shared" si="8"/>
        <v>6.166666666666667</v>
      </c>
      <c r="N82" s="19">
        <f>INDEX('Item Master'!$E$2:$E$51,MATCH($A82,'Item Master'!$A$2:$A$51,0))</f>
        <v>5</v>
      </c>
      <c r="O82" s="22">
        <f>INDEX('Product Summary'!$L$2:$L$51,MATCH($A82,'Product Summary'!$A$2:$A$51,0))</f>
        <v>21.194444444444443</v>
      </c>
      <c r="P82" s="22">
        <f>INDEX('Product Summary'!$M$2:$M$51,MATCH($A82,'Product Summary'!$A$2:$A$51,0))</f>
        <v>54.208143074581429</v>
      </c>
      <c r="Q82" s="22">
        <f t="shared" si="9"/>
        <v>99.243243243243242</v>
      </c>
      <c r="R82" s="22">
        <f t="shared" si="10"/>
        <v>90.452733555473273</v>
      </c>
      <c r="S82" s="19" t="str">
        <f t="shared" si="11"/>
        <v>HEALTHY</v>
      </c>
    </row>
    <row r="83" spans="1:19" x14ac:dyDescent="0.3">
      <c r="A83" s="19" t="s">
        <v>83</v>
      </c>
      <c r="B83" s="19" t="s">
        <v>84</v>
      </c>
      <c r="C83" s="19" t="s">
        <v>32</v>
      </c>
      <c r="D83" s="19" t="s">
        <v>45</v>
      </c>
      <c r="E83" s="19">
        <f>SUMIFS('Stock Inflow'!$G$2:$G$601,'Stock Inflow'!$A$2:$A$601,$A83,'Stock Inflow'!$D$2:$D$601,$D83)</f>
        <v>612</v>
      </c>
      <c r="F83" s="19">
        <f>SUMIFS('Stock Inflow'!$F$2:$F$601,'Stock Inflow'!$A$2:$A$601,$A83,'Stock Inflow'!$D$2:$D$601,$D83)</f>
        <v>410</v>
      </c>
      <c r="G83" s="19">
        <f>SUMIFS('Stock Inflow'!$E$2:$E$601,'Stock Inflow'!$A$2:$A$601,$A83,'Stock Inflow'!$D$2:$D$601,$D83)</f>
        <v>5</v>
      </c>
      <c r="H83" s="19">
        <f>SUMIFS('Stock Outflow'!$F$2:$F$601,'Stock Outflow'!$A$2:$A$601,$A83,'Stock Outflow'!$D$2:$D$601,$D83)</f>
        <v>328</v>
      </c>
      <c r="I83" s="19">
        <f>SUMIFS('Stock Outflow'!$E$2:$E$601,'Stock Outflow'!$A$2:$A$601,$A83,'Stock Outflow'!$D$2:$D$601,$D83)</f>
        <v>8</v>
      </c>
      <c r="J83" s="19">
        <f t="shared" si="6"/>
        <v>691</v>
      </c>
      <c r="K83" s="20">
        <f>INDEX('Item Master'!$F$2:$F$51,MATCH($A83,'Item Master'!$A$2:$A$51,0))</f>
        <v>130</v>
      </c>
      <c r="L83" s="20">
        <f t="shared" si="7"/>
        <v>42640</v>
      </c>
      <c r="M83" s="21">
        <f t="shared" si="8"/>
        <v>10.933333333333334</v>
      </c>
      <c r="N83" s="19">
        <f>INDEX('Item Master'!$E$2:$E$51,MATCH($A83,'Item Master'!$A$2:$A$51,0))</f>
        <v>5</v>
      </c>
      <c r="O83" s="22">
        <f>INDEX('Product Summary'!$L$2:$L$51,MATCH($A83,'Product Summary'!$A$2:$A$51,0))</f>
        <v>21.194444444444443</v>
      </c>
      <c r="P83" s="22">
        <f>INDEX('Product Summary'!$M$2:$M$51,MATCH($A83,'Product Summary'!$A$2:$A$51,0))</f>
        <v>54.208143074581429</v>
      </c>
      <c r="Q83" s="22">
        <f t="shared" si="9"/>
        <v>63.201219512195124</v>
      </c>
      <c r="R83" s="22">
        <f t="shared" si="10"/>
        <v>58.243157645617551</v>
      </c>
      <c r="S83" s="19" t="str">
        <f t="shared" si="11"/>
        <v>HEALTHY</v>
      </c>
    </row>
    <row r="84" spans="1:19" x14ac:dyDescent="0.3">
      <c r="A84" s="19" t="s">
        <v>83</v>
      </c>
      <c r="B84" s="19" t="s">
        <v>84</v>
      </c>
      <c r="C84" s="19" t="s">
        <v>32</v>
      </c>
      <c r="D84" s="19" t="s">
        <v>47</v>
      </c>
      <c r="E84" s="19">
        <f>SUMIFS('Stock Inflow'!$G$2:$G$601,'Stock Inflow'!$A$2:$A$601,$A84,'Stock Inflow'!$D$2:$D$601,$D84)</f>
        <v>691</v>
      </c>
      <c r="F84" s="19">
        <f>SUMIFS('Stock Inflow'!$F$2:$F$601,'Stock Inflow'!$A$2:$A$601,$A84,'Stock Inflow'!$D$2:$D$601,$D84)</f>
        <v>210</v>
      </c>
      <c r="G84" s="19">
        <f>SUMIFS('Stock Inflow'!$E$2:$E$601,'Stock Inflow'!$A$2:$A$601,$A84,'Stock Inflow'!$D$2:$D$601,$D84)</f>
        <v>3</v>
      </c>
      <c r="H84" s="19">
        <f>SUMIFS('Stock Outflow'!$F$2:$F$601,'Stock Outflow'!$A$2:$A$601,$A84,'Stock Outflow'!$D$2:$D$601,$D84)</f>
        <v>208</v>
      </c>
      <c r="I84" s="19">
        <f>SUMIFS('Stock Outflow'!$E$2:$E$601,'Stock Outflow'!$A$2:$A$601,$A84,'Stock Outflow'!$D$2:$D$601,$D84)</f>
        <v>5</v>
      </c>
      <c r="J84" s="19">
        <f t="shared" si="6"/>
        <v>691</v>
      </c>
      <c r="K84" s="20">
        <f>INDEX('Item Master'!$F$2:$F$51,MATCH($A84,'Item Master'!$A$2:$A$51,0))</f>
        <v>130</v>
      </c>
      <c r="L84" s="20">
        <f t="shared" si="7"/>
        <v>27040</v>
      </c>
      <c r="M84" s="21">
        <f t="shared" si="8"/>
        <v>6.9333333333333336</v>
      </c>
      <c r="N84" s="19">
        <f>INDEX('Item Master'!$E$2:$E$51,MATCH($A84,'Item Master'!$A$2:$A$51,0))</f>
        <v>5</v>
      </c>
      <c r="O84" s="22">
        <f>INDEX('Product Summary'!$L$2:$L$51,MATCH($A84,'Product Summary'!$A$2:$A$51,0))</f>
        <v>21.194444444444443</v>
      </c>
      <c r="P84" s="22">
        <f>INDEX('Product Summary'!$M$2:$M$51,MATCH($A84,'Product Summary'!$A$2:$A$51,0))</f>
        <v>54.208143074581429</v>
      </c>
      <c r="Q84" s="22">
        <f t="shared" si="9"/>
        <v>99.663461538461533</v>
      </c>
      <c r="R84" s="22">
        <f t="shared" si="10"/>
        <v>91.844979364243059</v>
      </c>
      <c r="S84" s="19" t="str">
        <f t="shared" si="11"/>
        <v>HEALTHY</v>
      </c>
    </row>
    <row r="85" spans="1:19" x14ac:dyDescent="0.3">
      <c r="A85" s="19" t="s">
        <v>83</v>
      </c>
      <c r="B85" s="19" t="s">
        <v>84</v>
      </c>
      <c r="C85" s="19" t="s">
        <v>32</v>
      </c>
      <c r="D85" s="19" t="s">
        <v>49</v>
      </c>
      <c r="E85" s="19">
        <f>SUMIFS('Stock Inflow'!$G$2:$G$601,'Stock Inflow'!$A$2:$A$601,$A85,'Stock Inflow'!$D$2:$D$601,$D85)</f>
        <v>691</v>
      </c>
      <c r="F85" s="19">
        <f>SUMIFS('Stock Inflow'!$F$2:$F$601,'Stock Inflow'!$A$2:$A$601,$A85,'Stock Inflow'!$D$2:$D$601,$D85)</f>
        <v>198</v>
      </c>
      <c r="G85" s="19">
        <f>SUMIFS('Stock Inflow'!$E$2:$E$601,'Stock Inflow'!$A$2:$A$601,$A85,'Stock Inflow'!$D$2:$D$601,$D85)</f>
        <v>5</v>
      </c>
      <c r="H85" s="19">
        <f>SUMIFS('Stock Outflow'!$F$2:$F$601,'Stock Outflow'!$A$2:$A$601,$A85,'Stock Outflow'!$D$2:$D$601,$D85)</f>
        <v>179</v>
      </c>
      <c r="I85" s="19">
        <f>SUMIFS('Stock Outflow'!$E$2:$E$601,'Stock Outflow'!$A$2:$A$601,$A85,'Stock Outflow'!$D$2:$D$601,$D85)</f>
        <v>5</v>
      </c>
      <c r="J85" s="19">
        <f t="shared" si="6"/>
        <v>710</v>
      </c>
      <c r="K85" s="20">
        <f>INDEX('Item Master'!$F$2:$F$51,MATCH($A85,'Item Master'!$A$2:$A$51,0))</f>
        <v>130</v>
      </c>
      <c r="L85" s="20">
        <f t="shared" si="7"/>
        <v>23270</v>
      </c>
      <c r="M85" s="21">
        <f t="shared" si="8"/>
        <v>5.9666666666666668</v>
      </c>
      <c r="N85" s="19">
        <f>INDEX('Item Master'!$E$2:$E$51,MATCH($A85,'Item Master'!$A$2:$A$51,0))</f>
        <v>5</v>
      </c>
      <c r="O85" s="22">
        <f>INDEX('Product Summary'!$L$2:$L$51,MATCH($A85,'Product Summary'!$A$2:$A$51,0))</f>
        <v>21.194444444444443</v>
      </c>
      <c r="P85" s="22">
        <f>INDEX('Product Summary'!$M$2:$M$51,MATCH($A85,'Product Summary'!$A$2:$A$51,0))</f>
        <v>54.208143074581429</v>
      </c>
      <c r="Q85" s="22">
        <f t="shared" si="9"/>
        <v>118.99441340782123</v>
      </c>
      <c r="R85" s="22">
        <f t="shared" si="10"/>
        <v>109.90924976403662</v>
      </c>
      <c r="S85" s="19" t="str">
        <f t="shared" si="11"/>
        <v>HEALTHY</v>
      </c>
    </row>
    <row r="86" spans="1:19" x14ac:dyDescent="0.3">
      <c r="A86" s="19" t="s">
        <v>85</v>
      </c>
      <c r="B86" s="19" t="s">
        <v>86</v>
      </c>
      <c r="C86" s="19" t="s">
        <v>32</v>
      </c>
      <c r="D86" s="19" t="s">
        <v>27</v>
      </c>
      <c r="E86" s="19">
        <f>SUMIFS('Stock Inflow'!$G$2:$G$601,'Stock Inflow'!$A$2:$A$601,$A86,'Stock Inflow'!$D$2:$D$601,$D86)</f>
        <v>139</v>
      </c>
      <c r="F86" s="19">
        <f>SUMIFS('Stock Inflow'!$F$2:$F$601,'Stock Inflow'!$A$2:$A$601,$A86,'Stock Inflow'!$D$2:$D$601,$D86)</f>
        <v>160</v>
      </c>
      <c r="G86" s="19">
        <f>SUMIFS('Stock Inflow'!$E$2:$E$601,'Stock Inflow'!$A$2:$A$601,$A86,'Stock Inflow'!$D$2:$D$601,$D86)</f>
        <v>4</v>
      </c>
      <c r="H86" s="19">
        <f>SUMIFS('Stock Outflow'!$F$2:$F$601,'Stock Outflow'!$A$2:$A$601,$A86,'Stock Outflow'!$D$2:$D$601,$D86)</f>
        <v>159</v>
      </c>
      <c r="I86" s="19">
        <f>SUMIFS('Stock Outflow'!$E$2:$E$601,'Stock Outflow'!$A$2:$A$601,$A86,'Stock Outflow'!$D$2:$D$601,$D86)</f>
        <v>5</v>
      </c>
      <c r="J86" s="19">
        <f t="shared" si="6"/>
        <v>139</v>
      </c>
      <c r="K86" s="20">
        <f>INDEX('Item Master'!$F$2:$F$51,MATCH($A86,'Item Master'!$A$2:$A$51,0))</f>
        <v>150</v>
      </c>
      <c r="L86" s="20">
        <f t="shared" si="7"/>
        <v>23850</v>
      </c>
      <c r="M86" s="21">
        <f t="shared" si="8"/>
        <v>5.3</v>
      </c>
      <c r="N86" s="19">
        <f>INDEX('Item Master'!$E$2:$E$51,MATCH($A86,'Item Master'!$A$2:$A$51,0))</f>
        <v>3</v>
      </c>
      <c r="O86" s="22">
        <f>INDEX('Product Summary'!$L$2:$L$51,MATCH($A86,'Product Summary'!$A$2:$A$51,0))</f>
        <v>9.1916666666666664</v>
      </c>
      <c r="P86" s="22">
        <f>INDEX('Product Summary'!$M$2:$M$51,MATCH($A86,'Product Summary'!$A$2:$A$51,0))</f>
        <v>24.388926940639269</v>
      </c>
      <c r="Q86" s="22">
        <f t="shared" si="9"/>
        <v>26.226415094339625</v>
      </c>
      <c r="R86" s="22">
        <f t="shared" si="10"/>
        <v>21.624730765917121</v>
      </c>
      <c r="S86" s="19" t="str">
        <f t="shared" si="11"/>
        <v>HEALTHY</v>
      </c>
    </row>
    <row r="87" spans="1:19" x14ac:dyDescent="0.3">
      <c r="A87" s="19" t="s">
        <v>85</v>
      </c>
      <c r="B87" s="19" t="s">
        <v>86</v>
      </c>
      <c r="C87" s="19" t="s">
        <v>32</v>
      </c>
      <c r="D87" s="19" t="s">
        <v>29</v>
      </c>
      <c r="E87" s="19">
        <f>SUMIFS('Stock Inflow'!$G$2:$G$601,'Stock Inflow'!$A$2:$A$601,$A87,'Stock Inflow'!$D$2:$D$601,$D87)</f>
        <v>139</v>
      </c>
      <c r="F87" s="19">
        <f>SUMIFS('Stock Inflow'!$F$2:$F$601,'Stock Inflow'!$A$2:$A$601,$A87,'Stock Inflow'!$D$2:$D$601,$D87)</f>
        <v>140</v>
      </c>
      <c r="G87" s="19">
        <f>SUMIFS('Stock Inflow'!$E$2:$E$601,'Stock Inflow'!$A$2:$A$601,$A87,'Stock Inflow'!$D$2:$D$601,$D87)</f>
        <v>3</v>
      </c>
      <c r="H87" s="19">
        <f>SUMIFS('Stock Outflow'!$F$2:$F$601,'Stock Outflow'!$A$2:$A$601,$A87,'Stock Outflow'!$D$2:$D$601,$D87)</f>
        <v>123</v>
      </c>
      <c r="I87" s="19">
        <f>SUMIFS('Stock Outflow'!$E$2:$E$601,'Stock Outflow'!$A$2:$A$601,$A87,'Stock Outflow'!$D$2:$D$601,$D87)</f>
        <v>3</v>
      </c>
      <c r="J87" s="19">
        <f t="shared" si="6"/>
        <v>156</v>
      </c>
      <c r="K87" s="20">
        <f>INDEX('Item Master'!$F$2:$F$51,MATCH($A87,'Item Master'!$A$2:$A$51,0))</f>
        <v>150</v>
      </c>
      <c r="L87" s="20">
        <f t="shared" si="7"/>
        <v>18450</v>
      </c>
      <c r="M87" s="21">
        <f t="shared" si="8"/>
        <v>4.0999999999999996</v>
      </c>
      <c r="N87" s="19">
        <f>INDEX('Item Master'!$E$2:$E$51,MATCH($A87,'Item Master'!$A$2:$A$51,0))</f>
        <v>3</v>
      </c>
      <c r="O87" s="22">
        <f>INDEX('Product Summary'!$L$2:$L$51,MATCH($A87,'Product Summary'!$A$2:$A$51,0))</f>
        <v>9.1916666666666664</v>
      </c>
      <c r="P87" s="22">
        <f>INDEX('Product Summary'!$M$2:$M$51,MATCH($A87,'Product Summary'!$A$2:$A$51,0))</f>
        <v>24.388926940639269</v>
      </c>
      <c r="Q87" s="22">
        <f t="shared" si="9"/>
        <v>38.048780487804883</v>
      </c>
      <c r="R87" s="22">
        <f t="shared" si="10"/>
        <v>32.100261721795306</v>
      </c>
      <c r="S87" s="19" t="str">
        <f t="shared" si="11"/>
        <v>HEALTHY</v>
      </c>
    </row>
    <row r="88" spans="1:19" x14ac:dyDescent="0.3">
      <c r="A88" s="19" t="s">
        <v>85</v>
      </c>
      <c r="B88" s="19" t="s">
        <v>86</v>
      </c>
      <c r="C88" s="19" t="s">
        <v>32</v>
      </c>
      <c r="D88" s="19" t="s">
        <v>31</v>
      </c>
      <c r="E88" s="19">
        <f>SUMIFS('Stock Inflow'!$G$2:$G$601,'Stock Inflow'!$A$2:$A$601,$A88,'Stock Inflow'!$D$2:$D$601,$D88)</f>
        <v>156</v>
      </c>
      <c r="F88" s="19">
        <f>SUMIFS('Stock Inflow'!$F$2:$F$601,'Stock Inflow'!$A$2:$A$601,$A88,'Stock Inflow'!$D$2:$D$601,$D88)</f>
        <v>181</v>
      </c>
      <c r="G88" s="19">
        <f>SUMIFS('Stock Inflow'!$E$2:$E$601,'Stock Inflow'!$A$2:$A$601,$A88,'Stock Inflow'!$D$2:$D$601,$D88)</f>
        <v>2</v>
      </c>
      <c r="H88" s="19">
        <f>SUMIFS('Stock Outflow'!$F$2:$F$601,'Stock Outflow'!$A$2:$A$601,$A88,'Stock Outflow'!$D$2:$D$601,$D88)</f>
        <v>140</v>
      </c>
      <c r="I88" s="19">
        <f>SUMIFS('Stock Outflow'!$E$2:$E$601,'Stock Outflow'!$A$2:$A$601,$A88,'Stock Outflow'!$D$2:$D$601,$D88)</f>
        <v>5</v>
      </c>
      <c r="J88" s="19">
        <f t="shared" si="6"/>
        <v>194</v>
      </c>
      <c r="K88" s="20">
        <f>INDEX('Item Master'!$F$2:$F$51,MATCH($A88,'Item Master'!$A$2:$A$51,0))</f>
        <v>150</v>
      </c>
      <c r="L88" s="20">
        <f t="shared" si="7"/>
        <v>21000</v>
      </c>
      <c r="M88" s="21">
        <f t="shared" si="8"/>
        <v>4.666666666666667</v>
      </c>
      <c r="N88" s="19">
        <f>INDEX('Item Master'!$E$2:$E$51,MATCH($A88,'Item Master'!$A$2:$A$51,0))</f>
        <v>3</v>
      </c>
      <c r="O88" s="22">
        <f>INDEX('Product Summary'!$L$2:$L$51,MATCH($A88,'Product Summary'!$A$2:$A$51,0))</f>
        <v>9.1916666666666664</v>
      </c>
      <c r="P88" s="22">
        <f>INDEX('Product Summary'!$M$2:$M$51,MATCH($A88,'Product Summary'!$A$2:$A$51,0))</f>
        <v>24.388926940639269</v>
      </c>
      <c r="Q88" s="22">
        <f t="shared" si="9"/>
        <v>41.571428571428569</v>
      </c>
      <c r="R88" s="22">
        <f t="shared" si="10"/>
        <v>36.345229941291585</v>
      </c>
      <c r="S88" s="19" t="str">
        <f t="shared" si="11"/>
        <v>HEALTHY</v>
      </c>
    </row>
    <row r="89" spans="1:19" x14ac:dyDescent="0.3">
      <c r="A89" s="19" t="s">
        <v>85</v>
      </c>
      <c r="B89" s="19" t="s">
        <v>86</v>
      </c>
      <c r="C89" s="19" t="s">
        <v>32</v>
      </c>
      <c r="D89" s="19" t="s">
        <v>33</v>
      </c>
      <c r="E89" s="19">
        <f>SUMIFS('Stock Inflow'!$G$2:$G$601,'Stock Inflow'!$A$2:$A$601,$A89,'Stock Inflow'!$D$2:$D$601,$D89)</f>
        <v>194</v>
      </c>
      <c r="F89" s="19">
        <f>SUMIFS('Stock Inflow'!$F$2:$F$601,'Stock Inflow'!$A$2:$A$601,$A89,'Stock Inflow'!$D$2:$D$601,$D89)</f>
        <v>119</v>
      </c>
      <c r="G89" s="19">
        <f>SUMIFS('Stock Inflow'!$E$2:$E$601,'Stock Inflow'!$A$2:$A$601,$A89,'Stock Inflow'!$D$2:$D$601,$D89)</f>
        <v>3</v>
      </c>
      <c r="H89" s="19">
        <f>SUMIFS('Stock Outflow'!$F$2:$F$601,'Stock Outflow'!$A$2:$A$601,$A89,'Stock Outflow'!$D$2:$D$601,$D89)</f>
        <v>130</v>
      </c>
      <c r="I89" s="19">
        <f>SUMIFS('Stock Outflow'!$E$2:$E$601,'Stock Outflow'!$A$2:$A$601,$A89,'Stock Outflow'!$D$2:$D$601,$D89)</f>
        <v>2</v>
      </c>
      <c r="J89" s="19">
        <f t="shared" si="6"/>
        <v>184</v>
      </c>
      <c r="K89" s="20">
        <f>INDEX('Item Master'!$F$2:$F$51,MATCH($A89,'Item Master'!$A$2:$A$51,0))</f>
        <v>150</v>
      </c>
      <c r="L89" s="20">
        <f t="shared" si="7"/>
        <v>19500</v>
      </c>
      <c r="M89" s="21">
        <f t="shared" si="8"/>
        <v>4.333333333333333</v>
      </c>
      <c r="N89" s="19">
        <f>INDEX('Item Master'!$E$2:$E$51,MATCH($A89,'Item Master'!$A$2:$A$51,0))</f>
        <v>3</v>
      </c>
      <c r="O89" s="22">
        <f>INDEX('Product Summary'!$L$2:$L$51,MATCH($A89,'Product Summary'!$A$2:$A$51,0))</f>
        <v>9.1916666666666664</v>
      </c>
      <c r="P89" s="22">
        <f>INDEX('Product Summary'!$M$2:$M$51,MATCH($A89,'Product Summary'!$A$2:$A$51,0))</f>
        <v>24.388926940639269</v>
      </c>
      <c r="Q89" s="22">
        <f t="shared" si="9"/>
        <v>42.461538461538467</v>
      </c>
      <c r="R89" s="22">
        <f t="shared" si="10"/>
        <v>36.833324552160171</v>
      </c>
      <c r="S89" s="19" t="str">
        <f t="shared" si="11"/>
        <v>HEALTHY</v>
      </c>
    </row>
    <row r="90" spans="1:19" x14ac:dyDescent="0.3">
      <c r="A90" s="19" t="s">
        <v>85</v>
      </c>
      <c r="B90" s="19" t="s">
        <v>86</v>
      </c>
      <c r="C90" s="19" t="s">
        <v>32</v>
      </c>
      <c r="D90" s="19" t="s">
        <v>35</v>
      </c>
      <c r="E90" s="19">
        <f>SUMIFS('Stock Inflow'!$G$2:$G$601,'Stock Inflow'!$A$2:$A$601,$A90,'Stock Inflow'!$D$2:$D$601,$D90)</f>
        <v>184</v>
      </c>
      <c r="F90" s="19">
        <f>SUMIFS('Stock Inflow'!$F$2:$F$601,'Stock Inflow'!$A$2:$A$601,$A90,'Stock Inflow'!$D$2:$D$601,$D90)</f>
        <v>183</v>
      </c>
      <c r="G90" s="19">
        <f>SUMIFS('Stock Inflow'!$E$2:$E$601,'Stock Inflow'!$A$2:$A$601,$A90,'Stock Inflow'!$D$2:$D$601,$D90)</f>
        <v>6</v>
      </c>
      <c r="H90" s="19">
        <f>SUMIFS('Stock Outflow'!$F$2:$F$601,'Stock Outflow'!$A$2:$A$601,$A90,'Stock Outflow'!$D$2:$D$601,$D90)</f>
        <v>156</v>
      </c>
      <c r="I90" s="19">
        <f>SUMIFS('Stock Outflow'!$E$2:$E$601,'Stock Outflow'!$A$2:$A$601,$A90,'Stock Outflow'!$D$2:$D$601,$D90)</f>
        <v>4</v>
      </c>
      <c r="J90" s="19">
        <f t="shared" si="6"/>
        <v>213</v>
      </c>
      <c r="K90" s="20">
        <f>INDEX('Item Master'!$F$2:$F$51,MATCH($A90,'Item Master'!$A$2:$A$51,0))</f>
        <v>150</v>
      </c>
      <c r="L90" s="20">
        <f t="shared" si="7"/>
        <v>23400</v>
      </c>
      <c r="M90" s="21">
        <f t="shared" si="8"/>
        <v>5.2</v>
      </c>
      <c r="N90" s="19">
        <f>INDEX('Item Master'!$E$2:$E$51,MATCH($A90,'Item Master'!$A$2:$A$51,0))</f>
        <v>3</v>
      </c>
      <c r="O90" s="22">
        <f>INDEX('Product Summary'!$L$2:$L$51,MATCH($A90,'Product Summary'!$A$2:$A$51,0))</f>
        <v>9.1916666666666664</v>
      </c>
      <c r="P90" s="22">
        <f>INDEX('Product Summary'!$M$2:$M$51,MATCH($A90,'Product Summary'!$A$2:$A$51,0))</f>
        <v>24.388926940639269</v>
      </c>
      <c r="Q90" s="22">
        <f t="shared" si="9"/>
        <v>40.96153846153846</v>
      </c>
      <c r="R90" s="22">
        <f t="shared" si="10"/>
        <v>36.271360203723219</v>
      </c>
      <c r="S90" s="19" t="str">
        <f t="shared" si="11"/>
        <v>HEALTHY</v>
      </c>
    </row>
    <row r="91" spans="1:19" x14ac:dyDescent="0.3">
      <c r="A91" s="19" t="s">
        <v>85</v>
      </c>
      <c r="B91" s="19" t="s">
        <v>86</v>
      </c>
      <c r="C91" s="19" t="s">
        <v>32</v>
      </c>
      <c r="D91" s="19" t="s">
        <v>37</v>
      </c>
      <c r="E91" s="19">
        <f>SUMIFS('Stock Inflow'!$G$2:$G$601,'Stock Inflow'!$A$2:$A$601,$A91,'Stock Inflow'!$D$2:$D$601,$D91)</f>
        <v>213</v>
      </c>
      <c r="F91" s="19">
        <f>SUMIFS('Stock Inflow'!$F$2:$F$601,'Stock Inflow'!$A$2:$A$601,$A91,'Stock Inflow'!$D$2:$D$601,$D91)</f>
        <v>139</v>
      </c>
      <c r="G91" s="19">
        <f>SUMIFS('Stock Inflow'!$E$2:$E$601,'Stock Inflow'!$A$2:$A$601,$A91,'Stock Inflow'!$D$2:$D$601,$D91)</f>
        <v>5</v>
      </c>
      <c r="H91" s="19">
        <f>SUMIFS('Stock Outflow'!$F$2:$F$601,'Stock Outflow'!$A$2:$A$601,$A91,'Stock Outflow'!$D$2:$D$601,$D91)</f>
        <v>130</v>
      </c>
      <c r="I91" s="19">
        <f>SUMIFS('Stock Outflow'!$E$2:$E$601,'Stock Outflow'!$A$2:$A$601,$A91,'Stock Outflow'!$D$2:$D$601,$D91)</f>
        <v>4</v>
      </c>
      <c r="J91" s="19">
        <f t="shared" si="6"/>
        <v>223</v>
      </c>
      <c r="K91" s="20">
        <f>INDEX('Item Master'!$F$2:$F$51,MATCH($A91,'Item Master'!$A$2:$A$51,0))</f>
        <v>150</v>
      </c>
      <c r="L91" s="20">
        <f t="shared" si="7"/>
        <v>19500</v>
      </c>
      <c r="M91" s="21">
        <f t="shared" si="8"/>
        <v>4.333333333333333</v>
      </c>
      <c r="N91" s="19">
        <f>INDEX('Item Master'!$E$2:$E$51,MATCH($A91,'Item Master'!$A$2:$A$51,0))</f>
        <v>3</v>
      </c>
      <c r="O91" s="22">
        <f>INDEX('Product Summary'!$L$2:$L$51,MATCH($A91,'Product Summary'!$A$2:$A$51,0))</f>
        <v>9.1916666666666664</v>
      </c>
      <c r="P91" s="22">
        <f>INDEX('Product Summary'!$M$2:$M$51,MATCH($A91,'Product Summary'!$A$2:$A$51,0))</f>
        <v>24.388926940639269</v>
      </c>
      <c r="Q91" s="22">
        <f t="shared" si="9"/>
        <v>51.461538461538467</v>
      </c>
      <c r="R91" s="22">
        <f t="shared" si="10"/>
        <v>45.833324552160171</v>
      </c>
      <c r="S91" s="19" t="str">
        <f t="shared" si="11"/>
        <v>HEALTHY</v>
      </c>
    </row>
    <row r="92" spans="1:19" x14ac:dyDescent="0.3">
      <c r="A92" s="19" t="s">
        <v>85</v>
      </c>
      <c r="B92" s="19" t="s">
        <v>86</v>
      </c>
      <c r="C92" s="19" t="s">
        <v>32</v>
      </c>
      <c r="D92" s="19" t="s">
        <v>39</v>
      </c>
      <c r="E92" s="19">
        <f>SUMIFS('Stock Inflow'!$G$2:$G$601,'Stock Inflow'!$A$2:$A$601,$A92,'Stock Inflow'!$D$2:$D$601,$D92)</f>
        <v>223</v>
      </c>
      <c r="F92" s="19">
        <f>SUMIFS('Stock Inflow'!$F$2:$F$601,'Stock Inflow'!$A$2:$A$601,$A92,'Stock Inflow'!$D$2:$D$601,$D92)</f>
        <v>172</v>
      </c>
      <c r="G92" s="19">
        <f>SUMIFS('Stock Inflow'!$E$2:$E$601,'Stock Inflow'!$A$2:$A$601,$A92,'Stock Inflow'!$D$2:$D$601,$D92)</f>
        <v>2</v>
      </c>
      <c r="H92" s="19">
        <f>SUMIFS('Stock Outflow'!$F$2:$F$601,'Stock Outflow'!$A$2:$A$601,$A92,'Stock Outflow'!$D$2:$D$601,$D92)</f>
        <v>148</v>
      </c>
      <c r="I92" s="19">
        <f>SUMIFS('Stock Outflow'!$E$2:$E$601,'Stock Outflow'!$A$2:$A$601,$A92,'Stock Outflow'!$D$2:$D$601,$D92)</f>
        <v>5</v>
      </c>
      <c r="J92" s="19">
        <f t="shared" si="6"/>
        <v>244</v>
      </c>
      <c r="K92" s="20">
        <f>INDEX('Item Master'!$F$2:$F$51,MATCH($A92,'Item Master'!$A$2:$A$51,0))</f>
        <v>150</v>
      </c>
      <c r="L92" s="20">
        <f t="shared" si="7"/>
        <v>22200</v>
      </c>
      <c r="M92" s="21">
        <f t="shared" si="8"/>
        <v>4.9333333333333336</v>
      </c>
      <c r="N92" s="19">
        <f>INDEX('Item Master'!$E$2:$E$51,MATCH($A92,'Item Master'!$A$2:$A$51,0))</f>
        <v>3</v>
      </c>
      <c r="O92" s="22">
        <f>INDEX('Product Summary'!$L$2:$L$51,MATCH($A92,'Product Summary'!$A$2:$A$51,0))</f>
        <v>9.1916666666666664</v>
      </c>
      <c r="P92" s="22">
        <f>INDEX('Product Summary'!$M$2:$M$51,MATCH($A92,'Product Summary'!$A$2:$A$51,0))</f>
        <v>24.388926940639269</v>
      </c>
      <c r="Q92" s="22">
        <f t="shared" si="9"/>
        <v>49.45945945945946</v>
      </c>
      <c r="R92" s="22">
        <f t="shared" si="10"/>
        <v>44.515758052573119</v>
      </c>
      <c r="S92" s="19" t="str">
        <f t="shared" si="11"/>
        <v>HEALTHY</v>
      </c>
    </row>
    <row r="93" spans="1:19" x14ac:dyDescent="0.3">
      <c r="A93" s="19" t="s">
        <v>85</v>
      </c>
      <c r="B93" s="19" t="s">
        <v>86</v>
      </c>
      <c r="C93" s="19" t="s">
        <v>32</v>
      </c>
      <c r="D93" s="19" t="s">
        <v>41</v>
      </c>
      <c r="E93" s="19">
        <f>SUMIFS('Stock Inflow'!$G$2:$G$601,'Stock Inflow'!$A$2:$A$601,$A93,'Stock Inflow'!$D$2:$D$601,$D93)</f>
        <v>244</v>
      </c>
      <c r="F93" s="19">
        <f>SUMIFS('Stock Inflow'!$F$2:$F$601,'Stock Inflow'!$A$2:$A$601,$A93,'Stock Inflow'!$D$2:$D$601,$D93)</f>
        <v>167</v>
      </c>
      <c r="G93" s="19">
        <f>SUMIFS('Stock Inflow'!$E$2:$E$601,'Stock Inflow'!$A$2:$A$601,$A93,'Stock Inflow'!$D$2:$D$601,$D93)</f>
        <v>3</v>
      </c>
      <c r="H93" s="19">
        <f>SUMIFS('Stock Outflow'!$F$2:$F$601,'Stock Outflow'!$A$2:$A$601,$A93,'Stock Outflow'!$D$2:$D$601,$D93)</f>
        <v>143</v>
      </c>
      <c r="I93" s="19">
        <f>SUMIFS('Stock Outflow'!$E$2:$E$601,'Stock Outflow'!$A$2:$A$601,$A93,'Stock Outflow'!$D$2:$D$601,$D93)</f>
        <v>3</v>
      </c>
      <c r="J93" s="19">
        <f t="shared" si="6"/>
        <v>268</v>
      </c>
      <c r="K93" s="20">
        <f>INDEX('Item Master'!$F$2:$F$51,MATCH($A93,'Item Master'!$A$2:$A$51,0))</f>
        <v>150</v>
      </c>
      <c r="L93" s="20">
        <f t="shared" si="7"/>
        <v>21450</v>
      </c>
      <c r="M93" s="21">
        <f t="shared" si="8"/>
        <v>4.7666666666666666</v>
      </c>
      <c r="N93" s="19">
        <f>INDEX('Item Master'!$E$2:$E$51,MATCH($A93,'Item Master'!$A$2:$A$51,0))</f>
        <v>3</v>
      </c>
      <c r="O93" s="22">
        <f>INDEX('Product Summary'!$L$2:$L$51,MATCH($A93,'Product Summary'!$A$2:$A$51,0))</f>
        <v>9.1916666666666664</v>
      </c>
      <c r="P93" s="22">
        <f>INDEX('Product Summary'!$M$2:$M$51,MATCH($A93,'Product Summary'!$A$2:$A$51,0))</f>
        <v>24.388926940639269</v>
      </c>
      <c r="Q93" s="22">
        <f t="shared" si="9"/>
        <v>56.223776223776227</v>
      </c>
      <c r="R93" s="22">
        <f t="shared" si="10"/>
        <v>51.107218124341415</v>
      </c>
      <c r="S93" s="19" t="str">
        <f t="shared" si="11"/>
        <v>HEALTHY</v>
      </c>
    </row>
    <row r="94" spans="1:19" x14ac:dyDescent="0.3">
      <c r="A94" s="19" t="s">
        <v>85</v>
      </c>
      <c r="B94" s="19" t="s">
        <v>86</v>
      </c>
      <c r="C94" s="19" t="s">
        <v>32</v>
      </c>
      <c r="D94" s="19" t="s">
        <v>43</v>
      </c>
      <c r="E94" s="19">
        <f>SUMIFS('Stock Inflow'!$G$2:$G$601,'Stock Inflow'!$A$2:$A$601,$A94,'Stock Inflow'!$D$2:$D$601,$D94)</f>
        <v>268</v>
      </c>
      <c r="F94" s="19">
        <f>SUMIFS('Stock Inflow'!$F$2:$F$601,'Stock Inflow'!$A$2:$A$601,$A94,'Stock Inflow'!$D$2:$D$601,$D94)</f>
        <v>142</v>
      </c>
      <c r="G94" s="19">
        <f>SUMIFS('Stock Inflow'!$E$2:$E$601,'Stock Inflow'!$A$2:$A$601,$A94,'Stock Inflow'!$D$2:$D$601,$D94)</f>
        <v>4</v>
      </c>
      <c r="H94" s="19">
        <f>SUMIFS('Stock Outflow'!$F$2:$F$601,'Stock Outflow'!$A$2:$A$601,$A94,'Stock Outflow'!$D$2:$D$601,$D94)</f>
        <v>145</v>
      </c>
      <c r="I94" s="19">
        <f>SUMIFS('Stock Outflow'!$E$2:$E$601,'Stock Outflow'!$A$2:$A$601,$A94,'Stock Outflow'!$D$2:$D$601,$D94)</f>
        <v>2</v>
      </c>
      <c r="J94" s="19">
        <f t="shared" si="6"/>
        <v>267</v>
      </c>
      <c r="K94" s="20">
        <f>INDEX('Item Master'!$F$2:$F$51,MATCH($A94,'Item Master'!$A$2:$A$51,0))</f>
        <v>150</v>
      </c>
      <c r="L94" s="20">
        <f t="shared" si="7"/>
        <v>21750</v>
      </c>
      <c r="M94" s="21">
        <f t="shared" si="8"/>
        <v>4.833333333333333</v>
      </c>
      <c r="N94" s="19">
        <f>INDEX('Item Master'!$E$2:$E$51,MATCH($A94,'Item Master'!$A$2:$A$51,0))</f>
        <v>3</v>
      </c>
      <c r="O94" s="22">
        <f>INDEX('Product Summary'!$L$2:$L$51,MATCH($A94,'Product Summary'!$A$2:$A$51,0))</f>
        <v>9.1916666666666664</v>
      </c>
      <c r="P94" s="22">
        <f>INDEX('Product Summary'!$M$2:$M$51,MATCH($A94,'Product Summary'!$A$2:$A$51,0))</f>
        <v>24.388926940639269</v>
      </c>
      <c r="Q94" s="22">
        <f t="shared" si="9"/>
        <v>55.241379310344833</v>
      </c>
      <c r="R94" s="22">
        <f t="shared" si="10"/>
        <v>50.195394426074635</v>
      </c>
      <c r="S94" s="19" t="str">
        <f t="shared" si="11"/>
        <v>HEALTHY</v>
      </c>
    </row>
    <row r="95" spans="1:19" x14ac:dyDescent="0.3">
      <c r="A95" s="19" t="s">
        <v>85</v>
      </c>
      <c r="B95" s="19" t="s">
        <v>86</v>
      </c>
      <c r="C95" s="19" t="s">
        <v>32</v>
      </c>
      <c r="D95" s="19" t="s">
        <v>45</v>
      </c>
      <c r="E95" s="19">
        <f>SUMIFS('Stock Inflow'!$G$2:$G$601,'Stock Inflow'!$A$2:$A$601,$A95,'Stock Inflow'!$D$2:$D$601,$D95)</f>
        <v>267</v>
      </c>
      <c r="F95" s="19">
        <f>SUMIFS('Stock Inflow'!$F$2:$F$601,'Stock Inflow'!$A$2:$A$601,$A95,'Stock Inflow'!$D$2:$D$601,$D95)</f>
        <v>239</v>
      </c>
      <c r="G95" s="19">
        <f>SUMIFS('Stock Inflow'!$E$2:$E$601,'Stock Inflow'!$A$2:$A$601,$A95,'Stock Inflow'!$D$2:$D$601,$D95)</f>
        <v>7</v>
      </c>
      <c r="H95" s="19">
        <f>SUMIFS('Stock Outflow'!$F$2:$F$601,'Stock Outflow'!$A$2:$A$601,$A95,'Stock Outflow'!$D$2:$D$601,$D95)</f>
        <v>246</v>
      </c>
      <c r="I95" s="19">
        <f>SUMIFS('Stock Outflow'!$E$2:$E$601,'Stock Outflow'!$A$2:$A$601,$A95,'Stock Outflow'!$D$2:$D$601,$D95)</f>
        <v>3</v>
      </c>
      <c r="J95" s="19">
        <f t="shared" si="6"/>
        <v>264</v>
      </c>
      <c r="K95" s="20">
        <f>INDEX('Item Master'!$F$2:$F$51,MATCH($A95,'Item Master'!$A$2:$A$51,0))</f>
        <v>150</v>
      </c>
      <c r="L95" s="20">
        <f t="shared" si="7"/>
        <v>36900</v>
      </c>
      <c r="M95" s="21">
        <f t="shared" si="8"/>
        <v>8.1999999999999993</v>
      </c>
      <c r="N95" s="19">
        <f>INDEX('Item Master'!$E$2:$E$51,MATCH($A95,'Item Master'!$A$2:$A$51,0))</f>
        <v>3</v>
      </c>
      <c r="O95" s="22">
        <f>INDEX('Product Summary'!$L$2:$L$51,MATCH($A95,'Product Summary'!$A$2:$A$51,0))</f>
        <v>9.1916666666666664</v>
      </c>
      <c r="P95" s="22">
        <f>INDEX('Product Summary'!$M$2:$M$51,MATCH($A95,'Product Summary'!$A$2:$A$51,0))</f>
        <v>24.388926940639269</v>
      </c>
      <c r="Q95" s="22">
        <f t="shared" si="9"/>
        <v>32.195121951219512</v>
      </c>
      <c r="R95" s="22">
        <f t="shared" si="10"/>
        <v>29.220862568214727</v>
      </c>
      <c r="S95" s="19" t="str">
        <f t="shared" si="11"/>
        <v>HEALTHY</v>
      </c>
    </row>
    <row r="96" spans="1:19" x14ac:dyDescent="0.3">
      <c r="A96" s="19" t="s">
        <v>85</v>
      </c>
      <c r="B96" s="19" t="s">
        <v>86</v>
      </c>
      <c r="C96" s="19" t="s">
        <v>32</v>
      </c>
      <c r="D96" s="19" t="s">
        <v>47</v>
      </c>
      <c r="E96" s="19">
        <f>SUMIFS('Stock Inflow'!$G$2:$G$601,'Stock Inflow'!$A$2:$A$601,$A96,'Stock Inflow'!$D$2:$D$601,$D96)</f>
        <v>264</v>
      </c>
      <c r="F96" s="19">
        <f>SUMIFS('Stock Inflow'!$F$2:$F$601,'Stock Inflow'!$A$2:$A$601,$A96,'Stock Inflow'!$D$2:$D$601,$D96)</f>
        <v>185</v>
      </c>
      <c r="G96" s="19">
        <f>SUMIFS('Stock Inflow'!$E$2:$E$601,'Stock Inflow'!$A$2:$A$601,$A96,'Stock Inflow'!$D$2:$D$601,$D96)</f>
        <v>3</v>
      </c>
      <c r="H96" s="19">
        <f>SUMIFS('Stock Outflow'!$F$2:$F$601,'Stock Outflow'!$A$2:$A$601,$A96,'Stock Outflow'!$D$2:$D$601,$D96)</f>
        <v>181</v>
      </c>
      <c r="I96" s="19">
        <f>SUMIFS('Stock Outflow'!$E$2:$E$601,'Stock Outflow'!$A$2:$A$601,$A96,'Stock Outflow'!$D$2:$D$601,$D96)</f>
        <v>4</v>
      </c>
      <c r="J96" s="19">
        <f t="shared" si="6"/>
        <v>267</v>
      </c>
      <c r="K96" s="20">
        <f>INDEX('Item Master'!$F$2:$F$51,MATCH($A96,'Item Master'!$A$2:$A$51,0))</f>
        <v>150</v>
      </c>
      <c r="L96" s="20">
        <f t="shared" si="7"/>
        <v>27150</v>
      </c>
      <c r="M96" s="21">
        <f t="shared" si="8"/>
        <v>6.0333333333333332</v>
      </c>
      <c r="N96" s="19">
        <f>INDEX('Item Master'!$E$2:$E$51,MATCH($A96,'Item Master'!$A$2:$A$51,0))</f>
        <v>3</v>
      </c>
      <c r="O96" s="22">
        <f>INDEX('Product Summary'!$L$2:$L$51,MATCH($A96,'Product Summary'!$A$2:$A$51,0))</f>
        <v>9.1916666666666664</v>
      </c>
      <c r="P96" s="22">
        <f>INDEX('Product Summary'!$M$2:$M$51,MATCH($A96,'Product Summary'!$A$2:$A$51,0))</f>
        <v>24.388926940639269</v>
      </c>
      <c r="Q96" s="22">
        <f t="shared" si="9"/>
        <v>44.254143646408842</v>
      </c>
      <c r="R96" s="22">
        <f t="shared" si="10"/>
        <v>40.211780065087417</v>
      </c>
      <c r="S96" s="19" t="str">
        <f t="shared" si="11"/>
        <v>HEALTHY</v>
      </c>
    </row>
    <row r="97" spans="1:19" x14ac:dyDescent="0.3">
      <c r="A97" s="19" t="s">
        <v>85</v>
      </c>
      <c r="B97" s="19" t="s">
        <v>86</v>
      </c>
      <c r="C97" s="19" t="s">
        <v>32</v>
      </c>
      <c r="D97" s="19" t="s">
        <v>49</v>
      </c>
      <c r="E97" s="19">
        <f>SUMIFS('Stock Inflow'!$G$2:$G$601,'Stock Inflow'!$A$2:$A$601,$A97,'Stock Inflow'!$D$2:$D$601,$D97)</f>
        <v>267</v>
      </c>
      <c r="F97" s="19">
        <f>SUMIFS('Stock Inflow'!$F$2:$F$601,'Stock Inflow'!$A$2:$A$601,$A97,'Stock Inflow'!$D$2:$D$601,$D97)</f>
        <v>152</v>
      </c>
      <c r="G97" s="19">
        <f>SUMIFS('Stock Inflow'!$E$2:$E$601,'Stock Inflow'!$A$2:$A$601,$A97,'Stock Inflow'!$D$2:$D$601,$D97)</f>
        <v>3</v>
      </c>
      <c r="H97" s="19">
        <f>SUMIFS('Stock Outflow'!$F$2:$F$601,'Stock Outflow'!$A$2:$A$601,$A97,'Stock Outflow'!$D$2:$D$601,$D97)</f>
        <v>148</v>
      </c>
      <c r="I97" s="19">
        <f>SUMIFS('Stock Outflow'!$E$2:$E$601,'Stock Outflow'!$A$2:$A$601,$A97,'Stock Outflow'!$D$2:$D$601,$D97)</f>
        <v>3</v>
      </c>
      <c r="J97" s="19">
        <f t="shared" si="6"/>
        <v>271</v>
      </c>
      <c r="K97" s="20">
        <f>INDEX('Item Master'!$F$2:$F$51,MATCH($A97,'Item Master'!$A$2:$A$51,0))</f>
        <v>150</v>
      </c>
      <c r="L97" s="20">
        <f t="shared" si="7"/>
        <v>22200</v>
      </c>
      <c r="M97" s="21">
        <f t="shared" si="8"/>
        <v>4.9333333333333336</v>
      </c>
      <c r="N97" s="19">
        <f>INDEX('Item Master'!$E$2:$E$51,MATCH($A97,'Item Master'!$A$2:$A$51,0))</f>
        <v>3</v>
      </c>
      <c r="O97" s="22">
        <f>INDEX('Product Summary'!$L$2:$L$51,MATCH($A97,'Product Summary'!$A$2:$A$51,0))</f>
        <v>9.1916666666666664</v>
      </c>
      <c r="P97" s="22">
        <f>INDEX('Product Summary'!$M$2:$M$51,MATCH($A97,'Product Summary'!$A$2:$A$51,0))</f>
        <v>24.388926940639269</v>
      </c>
      <c r="Q97" s="22">
        <f t="shared" si="9"/>
        <v>54.932432432432428</v>
      </c>
      <c r="R97" s="22">
        <f t="shared" si="10"/>
        <v>49.988731025546095</v>
      </c>
      <c r="S97" s="19" t="str">
        <f t="shared" si="11"/>
        <v>HEALTHY</v>
      </c>
    </row>
    <row r="98" spans="1:19" x14ac:dyDescent="0.3">
      <c r="A98" s="19" t="s">
        <v>87</v>
      </c>
      <c r="B98" s="19" t="s">
        <v>88</v>
      </c>
      <c r="C98" s="19" t="s">
        <v>32</v>
      </c>
      <c r="D98" s="19" t="s">
        <v>27</v>
      </c>
      <c r="E98" s="19">
        <f>SUMIFS('Stock Inflow'!$G$2:$G$601,'Stock Inflow'!$A$2:$A$601,$A98,'Stock Inflow'!$D$2:$D$601,$D98)</f>
        <v>166</v>
      </c>
      <c r="F98" s="19">
        <f>SUMIFS('Stock Inflow'!$F$2:$F$601,'Stock Inflow'!$A$2:$A$601,$A98,'Stock Inflow'!$D$2:$D$601,$D98)</f>
        <v>213</v>
      </c>
      <c r="G98" s="19">
        <f>SUMIFS('Stock Inflow'!$E$2:$E$601,'Stock Inflow'!$A$2:$A$601,$A98,'Stock Inflow'!$D$2:$D$601,$D98)</f>
        <v>6</v>
      </c>
      <c r="H98" s="19">
        <f>SUMIFS('Stock Outflow'!$F$2:$F$601,'Stock Outflow'!$A$2:$A$601,$A98,'Stock Outflow'!$D$2:$D$601,$D98)</f>
        <v>210</v>
      </c>
      <c r="I98" s="19">
        <f>SUMIFS('Stock Outflow'!$E$2:$E$601,'Stock Outflow'!$A$2:$A$601,$A98,'Stock Outflow'!$D$2:$D$601,$D98)</f>
        <v>4</v>
      </c>
      <c r="J98" s="19">
        <f t="shared" si="6"/>
        <v>171</v>
      </c>
      <c r="K98" s="20">
        <f>INDEX('Item Master'!$F$2:$F$51,MATCH($A98,'Item Master'!$A$2:$A$51,0))</f>
        <v>60</v>
      </c>
      <c r="L98" s="20">
        <f t="shared" si="7"/>
        <v>12600</v>
      </c>
      <c r="M98" s="21">
        <f t="shared" si="8"/>
        <v>7</v>
      </c>
      <c r="N98" s="19">
        <f>INDEX('Item Master'!$E$2:$E$51,MATCH($A98,'Item Master'!$A$2:$A$51,0))</f>
        <v>14</v>
      </c>
      <c r="O98" s="22">
        <f>INDEX('Product Summary'!$L$2:$L$51,MATCH($A98,'Product Summary'!$A$2:$A$51,0))</f>
        <v>51.722222222222229</v>
      </c>
      <c r="P98" s="22">
        <f>INDEX('Product Summary'!$M$2:$M$51,MATCH($A98,'Product Summary'!$A$2:$A$51,0))</f>
        <v>150.75783866057839</v>
      </c>
      <c r="Q98" s="22">
        <f t="shared" si="9"/>
        <v>24.428571428571427</v>
      </c>
      <c r="R98" s="22">
        <f t="shared" si="10"/>
        <v>2.8917373342030879</v>
      </c>
      <c r="S98" s="19" t="str">
        <f t="shared" si="11"/>
        <v>HEALTHY</v>
      </c>
    </row>
    <row r="99" spans="1:19" x14ac:dyDescent="0.3">
      <c r="A99" s="19" t="s">
        <v>87</v>
      </c>
      <c r="B99" s="19" t="s">
        <v>88</v>
      </c>
      <c r="C99" s="19" t="s">
        <v>32</v>
      </c>
      <c r="D99" s="19" t="s">
        <v>29</v>
      </c>
      <c r="E99" s="19">
        <f>SUMIFS('Stock Inflow'!$G$2:$G$601,'Stock Inflow'!$A$2:$A$601,$A99,'Stock Inflow'!$D$2:$D$601,$D99)</f>
        <v>171</v>
      </c>
      <c r="F99" s="19">
        <f>SUMIFS('Stock Inflow'!$F$2:$F$601,'Stock Inflow'!$A$2:$A$601,$A99,'Stock Inflow'!$D$2:$D$601,$D99)</f>
        <v>225</v>
      </c>
      <c r="G99" s="19">
        <f>SUMIFS('Stock Inflow'!$E$2:$E$601,'Stock Inflow'!$A$2:$A$601,$A99,'Stock Inflow'!$D$2:$D$601,$D99)</f>
        <v>3</v>
      </c>
      <c r="H99" s="19">
        <f>SUMIFS('Stock Outflow'!$F$2:$F$601,'Stock Outflow'!$A$2:$A$601,$A99,'Stock Outflow'!$D$2:$D$601,$D99)</f>
        <v>176</v>
      </c>
      <c r="I99" s="19">
        <f>SUMIFS('Stock Outflow'!$E$2:$E$601,'Stock Outflow'!$A$2:$A$601,$A99,'Stock Outflow'!$D$2:$D$601,$D99)</f>
        <v>2</v>
      </c>
      <c r="J99" s="19">
        <f t="shared" si="6"/>
        <v>221</v>
      </c>
      <c r="K99" s="20">
        <f>INDEX('Item Master'!$F$2:$F$51,MATCH($A99,'Item Master'!$A$2:$A$51,0))</f>
        <v>60</v>
      </c>
      <c r="L99" s="20">
        <f t="shared" si="7"/>
        <v>10560</v>
      </c>
      <c r="M99" s="21">
        <f t="shared" si="8"/>
        <v>5.8666666666666663</v>
      </c>
      <c r="N99" s="19">
        <f>INDEX('Item Master'!$E$2:$E$51,MATCH($A99,'Item Master'!$A$2:$A$51,0))</f>
        <v>14</v>
      </c>
      <c r="O99" s="22">
        <f>INDEX('Product Summary'!$L$2:$L$51,MATCH($A99,'Product Summary'!$A$2:$A$51,0))</f>
        <v>51.722222222222229</v>
      </c>
      <c r="P99" s="22">
        <f>INDEX('Product Summary'!$M$2:$M$51,MATCH($A99,'Product Summary'!$A$2:$A$51,0))</f>
        <v>150.75783866057839</v>
      </c>
      <c r="Q99" s="22">
        <f t="shared" si="9"/>
        <v>37.670454545454547</v>
      </c>
      <c r="R99" s="22">
        <f t="shared" si="10"/>
        <v>11.973095682855957</v>
      </c>
      <c r="S99" s="19" t="str">
        <f t="shared" si="11"/>
        <v>HEALTHY</v>
      </c>
    </row>
    <row r="100" spans="1:19" x14ac:dyDescent="0.3">
      <c r="A100" s="19" t="s">
        <v>87</v>
      </c>
      <c r="B100" s="19" t="s">
        <v>88</v>
      </c>
      <c r="C100" s="19" t="s">
        <v>32</v>
      </c>
      <c r="D100" s="19" t="s">
        <v>31</v>
      </c>
      <c r="E100" s="19">
        <f>SUMIFS('Stock Inflow'!$G$2:$G$601,'Stock Inflow'!$A$2:$A$601,$A100,'Stock Inflow'!$D$2:$D$601,$D100)</f>
        <v>221</v>
      </c>
      <c r="F100" s="19">
        <f>SUMIFS('Stock Inflow'!$F$2:$F$601,'Stock Inflow'!$A$2:$A$601,$A100,'Stock Inflow'!$D$2:$D$601,$D100)</f>
        <v>209</v>
      </c>
      <c r="G100" s="19">
        <f>SUMIFS('Stock Inflow'!$E$2:$E$601,'Stock Inflow'!$A$2:$A$601,$A100,'Stock Inflow'!$D$2:$D$601,$D100)</f>
        <v>2</v>
      </c>
      <c r="H100" s="19">
        <f>SUMIFS('Stock Outflow'!$F$2:$F$601,'Stock Outflow'!$A$2:$A$601,$A100,'Stock Outflow'!$D$2:$D$601,$D100)</f>
        <v>218</v>
      </c>
      <c r="I100" s="19">
        <f>SUMIFS('Stock Outflow'!$E$2:$E$601,'Stock Outflow'!$A$2:$A$601,$A100,'Stock Outflow'!$D$2:$D$601,$D100)</f>
        <v>6</v>
      </c>
      <c r="J100" s="19">
        <f t="shared" si="6"/>
        <v>208</v>
      </c>
      <c r="K100" s="20">
        <f>INDEX('Item Master'!$F$2:$F$51,MATCH($A100,'Item Master'!$A$2:$A$51,0))</f>
        <v>60</v>
      </c>
      <c r="L100" s="20">
        <f t="shared" si="7"/>
        <v>13080</v>
      </c>
      <c r="M100" s="21">
        <f t="shared" si="8"/>
        <v>7.2666666666666666</v>
      </c>
      <c r="N100" s="19">
        <f>INDEX('Item Master'!$E$2:$E$51,MATCH($A100,'Item Master'!$A$2:$A$51,0))</f>
        <v>14</v>
      </c>
      <c r="O100" s="22">
        <f>INDEX('Product Summary'!$L$2:$L$51,MATCH($A100,'Product Summary'!$A$2:$A$51,0))</f>
        <v>51.722222222222229</v>
      </c>
      <c r="P100" s="22">
        <f>INDEX('Product Summary'!$M$2:$M$51,MATCH($A100,'Product Summary'!$A$2:$A$51,0))</f>
        <v>150.75783866057839</v>
      </c>
      <c r="Q100" s="22">
        <f t="shared" si="9"/>
        <v>28.623853211009173</v>
      </c>
      <c r="R100" s="22">
        <f t="shared" si="10"/>
        <v>7.8773616522139838</v>
      </c>
      <c r="S100" s="19" t="str">
        <f t="shared" si="11"/>
        <v>HEALTHY</v>
      </c>
    </row>
    <row r="101" spans="1:19" x14ac:dyDescent="0.3">
      <c r="A101" s="19" t="s">
        <v>87</v>
      </c>
      <c r="B101" s="19" t="s">
        <v>88</v>
      </c>
      <c r="C101" s="19" t="s">
        <v>32</v>
      </c>
      <c r="D101" s="19" t="s">
        <v>33</v>
      </c>
      <c r="E101" s="19">
        <f>SUMIFS('Stock Inflow'!$G$2:$G$601,'Stock Inflow'!$A$2:$A$601,$A101,'Stock Inflow'!$D$2:$D$601,$D101)</f>
        <v>208</v>
      </c>
      <c r="F101" s="19">
        <f>SUMIFS('Stock Inflow'!$F$2:$F$601,'Stock Inflow'!$A$2:$A$601,$A101,'Stock Inflow'!$D$2:$D$601,$D101)</f>
        <v>250</v>
      </c>
      <c r="G101" s="19">
        <f>SUMIFS('Stock Inflow'!$E$2:$E$601,'Stock Inflow'!$A$2:$A$601,$A101,'Stock Inflow'!$D$2:$D$601,$D101)</f>
        <v>5</v>
      </c>
      <c r="H101" s="19">
        <f>SUMIFS('Stock Outflow'!$F$2:$F$601,'Stock Outflow'!$A$2:$A$601,$A101,'Stock Outflow'!$D$2:$D$601,$D101)</f>
        <v>207</v>
      </c>
      <c r="I101" s="19">
        <f>SUMIFS('Stock Outflow'!$E$2:$E$601,'Stock Outflow'!$A$2:$A$601,$A101,'Stock Outflow'!$D$2:$D$601,$D101)</f>
        <v>7</v>
      </c>
      <c r="J101" s="19">
        <f t="shared" si="6"/>
        <v>249</v>
      </c>
      <c r="K101" s="20">
        <f>INDEX('Item Master'!$F$2:$F$51,MATCH($A101,'Item Master'!$A$2:$A$51,0))</f>
        <v>60</v>
      </c>
      <c r="L101" s="20">
        <f t="shared" si="7"/>
        <v>12420</v>
      </c>
      <c r="M101" s="21">
        <f t="shared" si="8"/>
        <v>6.9</v>
      </c>
      <c r="N101" s="19">
        <f>INDEX('Item Master'!$E$2:$E$51,MATCH($A101,'Item Master'!$A$2:$A$51,0))</f>
        <v>14</v>
      </c>
      <c r="O101" s="22">
        <f>INDEX('Product Summary'!$L$2:$L$51,MATCH($A101,'Product Summary'!$A$2:$A$51,0))</f>
        <v>51.722222222222229</v>
      </c>
      <c r="P101" s="22">
        <f>INDEX('Product Summary'!$M$2:$M$51,MATCH($A101,'Product Summary'!$A$2:$A$51,0))</f>
        <v>150.75783866057839</v>
      </c>
      <c r="Q101" s="22">
        <f t="shared" si="9"/>
        <v>36.086956521739125</v>
      </c>
      <c r="R101" s="22">
        <f t="shared" si="10"/>
        <v>14.237994397017625</v>
      </c>
      <c r="S101" s="19" t="str">
        <f t="shared" si="11"/>
        <v>HEALTHY</v>
      </c>
    </row>
    <row r="102" spans="1:19" x14ac:dyDescent="0.3">
      <c r="A102" s="19" t="s">
        <v>87</v>
      </c>
      <c r="B102" s="19" t="s">
        <v>88</v>
      </c>
      <c r="C102" s="19" t="s">
        <v>32</v>
      </c>
      <c r="D102" s="19" t="s">
        <v>35</v>
      </c>
      <c r="E102" s="19">
        <f>SUMIFS('Stock Inflow'!$G$2:$G$601,'Stock Inflow'!$A$2:$A$601,$A102,'Stock Inflow'!$D$2:$D$601,$D102)</f>
        <v>249</v>
      </c>
      <c r="F102" s="19">
        <f>SUMIFS('Stock Inflow'!$F$2:$F$601,'Stock Inflow'!$A$2:$A$601,$A102,'Stock Inflow'!$D$2:$D$601,$D102)</f>
        <v>243</v>
      </c>
      <c r="G102" s="19">
        <f>SUMIFS('Stock Inflow'!$E$2:$E$601,'Stock Inflow'!$A$2:$A$601,$A102,'Stock Inflow'!$D$2:$D$601,$D102)</f>
        <v>4</v>
      </c>
      <c r="H102" s="19">
        <f>SUMIFS('Stock Outflow'!$F$2:$F$601,'Stock Outflow'!$A$2:$A$601,$A102,'Stock Outflow'!$D$2:$D$601,$D102)</f>
        <v>205</v>
      </c>
      <c r="I102" s="19">
        <f>SUMIFS('Stock Outflow'!$E$2:$E$601,'Stock Outflow'!$A$2:$A$601,$A102,'Stock Outflow'!$D$2:$D$601,$D102)</f>
        <v>3</v>
      </c>
      <c r="J102" s="19">
        <f t="shared" si="6"/>
        <v>288</v>
      </c>
      <c r="K102" s="20">
        <f>INDEX('Item Master'!$F$2:$F$51,MATCH($A102,'Item Master'!$A$2:$A$51,0))</f>
        <v>60</v>
      </c>
      <c r="L102" s="20">
        <f t="shared" si="7"/>
        <v>12300</v>
      </c>
      <c r="M102" s="21">
        <f t="shared" si="8"/>
        <v>6.833333333333333</v>
      </c>
      <c r="N102" s="19">
        <f>INDEX('Item Master'!$E$2:$E$51,MATCH($A102,'Item Master'!$A$2:$A$51,0))</f>
        <v>14</v>
      </c>
      <c r="O102" s="22">
        <f>INDEX('Product Summary'!$L$2:$L$51,MATCH($A102,'Product Summary'!$A$2:$A$51,0))</f>
        <v>51.722222222222229</v>
      </c>
      <c r="P102" s="22">
        <f>INDEX('Product Summary'!$M$2:$M$51,MATCH($A102,'Product Summary'!$A$2:$A$51,0))</f>
        <v>150.75783866057839</v>
      </c>
      <c r="Q102" s="22">
        <f t="shared" si="9"/>
        <v>42.146341463414636</v>
      </c>
      <c r="R102" s="22">
        <f t="shared" si="10"/>
        <v>20.084218732598284</v>
      </c>
      <c r="S102" s="19" t="str">
        <f t="shared" si="11"/>
        <v>HEALTHY</v>
      </c>
    </row>
    <row r="103" spans="1:19" x14ac:dyDescent="0.3">
      <c r="A103" s="19" t="s">
        <v>87</v>
      </c>
      <c r="B103" s="19" t="s">
        <v>88</v>
      </c>
      <c r="C103" s="19" t="s">
        <v>32</v>
      </c>
      <c r="D103" s="19" t="s">
        <v>37</v>
      </c>
      <c r="E103" s="19">
        <f>SUMIFS('Stock Inflow'!$G$2:$G$601,'Stock Inflow'!$A$2:$A$601,$A103,'Stock Inflow'!$D$2:$D$601,$D103)</f>
        <v>288</v>
      </c>
      <c r="F103" s="19">
        <f>SUMIFS('Stock Inflow'!$F$2:$F$601,'Stock Inflow'!$A$2:$A$601,$A103,'Stock Inflow'!$D$2:$D$601,$D103)</f>
        <v>210</v>
      </c>
      <c r="G103" s="19">
        <f>SUMIFS('Stock Inflow'!$E$2:$E$601,'Stock Inflow'!$A$2:$A$601,$A103,'Stock Inflow'!$D$2:$D$601,$D103)</f>
        <v>7</v>
      </c>
      <c r="H103" s="19">
        <f>SUMIFS('Stock Outflow'!$F$2:$F$601,'Stock Outflow'!$A$2:$A$601,$A103,'Stock Outflow'!$D$2:$D$601,$D103)</f>
        <v>179</v>
      </c>
      <c r="I103" s="19">
        <f>SUMIFS('Stock Outflow'!$E$2:$E$601,'Stock Outflow'!$A$2:$A$601,$A103,'Stock Outflow'!$D$2:$D$601,$D103)</f>
        <v>5</v>
      </c>
      <c r="J103" s="19">
        <f t="shared" si="6"/>
        <v>321</v>
      </c>
      <c r="K103" s="20">
        <f>INDEX('Item Master'!$F$2:$F$51,MATCH($A103,'Item Master'!$A$2:$A$51,0))</f>
        <v>60</v>
      </c>
      <c r="L103" s="20">
        <f t="shared" si="7"/>
        <v>10740</v>
      </c>
      <c r="M103" s="21">
        <f t="shared" si="8"/>
        <v>5.9666666666666668</v>
      </c>
      <c r="N103" s="19">
        <f>INDEX('Item Master'!$E$2:$E$51,MATCH($A103,'Item Master'!$A$2:$A$51,0))</f>
        <v>14</v>
      </c>
      <c r="O103" s="22">
        <f>INDEX('Product Summary'!$L$2:$L$51,MATCH($A103,'Product Summary'!$A$2:$A$51,0))</f>
        <v>51.722222222222229</v>
      </c>
      <c r="P103" s="22">
        <f>INDEX('Product Summary'!$M$2:$M$51,MATCH($A103,'Product Summary'!$A$2:$A$51,0))</f>
        <v>150.75783866057839</v>
      </c>
      <c r="Q103" s="22">
        <f t="shared" si="9"/>
        <v>53.798882681564244</v>
      </c>
      <c r="R103" s="22">
        <f t="shared" si="10"/>
        <v>28.532205811076249</v>
      </c>
      <c r="S103" s="19" t="str">
        <f t="shared" si="11"/>
        <v>HEALTHY</v>
      </c>
    </row>
    <row r="104" spans="1:19" x14ac:dyDescent="0.3">
      <c r="A104" s="19" t="s">
        <v>87</v>
      </c>
      <c r="B104" s="19" t="s">
        <v>88</v>
      </c>
      <c r="C104" s="19" t="s">
        <v>32</v>
      </c>
      <c r="D104" s="19" t="s">
        <v>39</v>
      </c>
      <c r="E104" s="19">
        <f>SUMIFS('Stock Inflow'!$G$2:$G$601,'Stock Inflow'!$A$2:$A$601,$A104,'Stock Inflow'!$D$2:$D$601,$D104)</f>
        <v>321</v>
      </c>
      <c r="F104" s="19">
        <f>SUMIFS('Stock Inflow'!$F$2:$F$601,'Stock Inflow'!$A$2:$A$601,$A104,'Stock Inflow'!$D$2:$D$601,$D104)</f>
        <v>270</v>
      </c>
      <c r="G104" s="19">
        <f>SUMIFS('Stock Inflow'!$E$2:$E$601,'Stock Inflow'!$A$2:$A$601,$A104,'Stock Inflow'!$D$2:$D$601,$D104)</f>
        <v>4</v>
      </c>
      <c r="H104" s="19">
        <f>SUMIFS('Stock Outflow'!$F$2:$F$601,'Stock Outflow'!$A$2:$A$601,$A104,'Stock Outflow'!$D$2:$D$601,$D104)</f>
        <v>223</v>
      </c>
      <c r="I104" s="19">
        <f>SUMIFS('Stock Outflow'!$E$2:$E$601,'Stock Outflow'!$A$2:$A$601,$A104,'Stock Outflow'!$D$2:$D$601,$D104)</f>
        <v>7</v>
      </c>
      <c r="J104" s="19">
        <f t="shared" si="6"/>
        <v>365</v>
      </c>
      <c r="K104" s="20">
        <f>INDEX('Item Master'!$F$2:$F$51,MATCH($A104,'Item Master'!$A$2:$A$51,0))</f>
        <v>60</v>
      </c>
      <c r="L104" s="20">
        <f t="shared" si="7"/>
        <v>13380</v>
      </c>
      <c r="M104" s="21">
        <f t="shared" si="8"/>
        <v>7.4333333333333336</v>
      </c>
      <c r="N104" s="19">
        <f>INDEX('Item Master'!$E$2:$E$51,MATCH($A104,'Item Master'!$A$2:$A$51,0))</f>
        <v>14</v>
      </c>
      <c r="O104" s="22">
        <f>INDEX('Product Summary'!$L$2:$L$51,MATCH($A104,'Product Summary'!$A$2:$A$51,0))</f>
        <v>51.722222222222229</v>
      </c>
      <c r="P104" s="22">
        <f>INDEX('Product Summary'!$M$2:$M$51,MATCH($A104,'Product Summary'!$A$2:$A$51,0))</f>
        <v>150.75783866057839</v>
      </c>
      <c r="Q104" s="22">
        <f t="shared" si="9"/>
        <v>49.10313901345291</v>
      </c>
      <c r="R104" s="22">
        <f t="shared" si="10"/>
        <v>28.821815426828017</v>
      </c>
      <c r="S104" s="19" t="str">
        <f t="shared" si="11"/>
        <v>HEALTHY</v>
      </c>
    </row>
    <row r="105" spans="1:19" x14ac:dyDescent="0.3">
      <c r="A105" s="19" t="s">
        <v>87</v>
      </c>
      <c r="B105" s="19" t="s">
        <v>88</v>
      </c>
      <c r="C105" s="19" t="s">
        <v>32</v>
      </c>
      <c r="D105" s="19" t="s">
        <v>41</v>
      </c>
      <c r="E105" s="19">
        <f>SUMIFS('Stock Inflow'!$G$2:$G$601,'Stock Inflow'!$A$2:$A$601,$A105,'Stock Inflow'!$D$2:$D$601,$D105)</f>
        <v>365</v>
      </c>
      <c r="F105" s="19">
        <f>SUMIFS('Stock Inflow'!$F$2:$F$601,'Stock Inflow'!$A$2:$A$601,$A105,'Stock Inflow'!$D$2:$D$601,$D105)</f>
        <v>230</v>
      </c>
      <c r="G105" s="19">
        <f>SUMIFS('Stock Inflow'!$E$2:$E$601,'Stock Inflow'!$A$2:$A$601,$A105,'Stock Inflow'!$D$2:$D$601,$D105)</f>
        <v>6</v>
      </c>
      <c r="H105" s="19">
        <f>SUMIFS('Stock Outflow'!$F$2:$F$601,'Stock Outflow'!$A$2:$A$601,$A105,'Stock Outflow'!$D$2:$D$601,$D105)</f>
        <v>212</v>
      </c>
      <c r="I105" s="19">
        <f>SUMIFS('Stock Outflow'!$E$2:$E$601,'Stock Outflow'!$A$2:$A$601,$A105,'Stock Outflow'!$D$2:$D$601,$D105)</f>
        <v>6</v>
      </c>
      <c r="J105" s="19">
        <f t="shared" si="6"/>
        <v>383</v>
      </c>
      <c r="K105" s="20">
        <f>INDEX('Item Master'!$F$2:$F$51,MATCH($A105,'Item Master'!$A$2:$A$51,0))</f>
        <v>60</v>
      </c>
      <c r="L105" s="20">
        <f t="shared" si="7"/>
        <v>12720</v>
      </c>
      <c r="M105" s="21">
        <f t="shared" si="8"/>
        <v>7.0666666666666664</v>
      </c>
      <c r="N105" s="19">
        <f>INDEX('Item Master'!$E$2:$E$51,MATCH($A105,'Item Master'!$A$2:$A$51,0))</f>
        <v>14</v>
      </c>
      <c r="O105" s="22">
        <f>INDEX('Product Summary'!$L$2:$L$51,MATCH($A105,'Product Summary'!$A$2:$A$51,0))</f>
        <v>51.722222222222229</v>
      </c>
      <c r="P105" s="22">
        <f>INDEX('Product Summary'!$M$2:$M$51,MATCH($A105,'Product Summary'!$A$2:$A$51,0))</f>
        <v>150.75783866057839</v>
      </c>
      <c r="Q105" s="22">
        <f t="shared" si="9"/>
        <v>54.198113207547173</v>
      </c>
      <c r="R105" s="22">
        <f t="shared" si="10"/>
        <v>32.864456793314382</v>
      </c>
      <c r="S105" s="19" t="str">
        <f t="shared" si="11"/>
        <v>HEALTHY</v>
      </c>
    </row>
    <row r="106" spans="1:19" x14ac:dyDescent="0.3">
      <c r="A106" s="19" t="s">
        <v>87</v>
      </c>
      <c r="B106" s="19" t="s">
        <v>88</v>
      </c>
      <c r="C106" s="19" t="s">
        <v>32</v>
      </c>
      <c r="D106" s="19" t="s">
        <v>43</v>
      </c>
      <c r="E106" s="19">
        <f>SUMIFS('Stock Inflow'!$G$2:$G$601,'Stock Inflow'!$A$2:$A$601,$A106,'Stock Inflow'!$D$2:$D$601,$D106)</f>
        <v>383</v>
      </c>
      <c r="F106" s="19">
        <f>SUMIFS('Stock Inflow'!$F$2:$F$601,'Stock Inflow'!$A$2:$A$601,$A106,'Stock Inflow'!$D$2:$D$601,$D106)</f>
        <v>169</v>
      </c>
      <c r="G106" s="19">
        <f>SUMIFS('Stock Inflow'!$E$2:$E$601,'Stock Inflow'!$A$2:$A$601,$A106,'Stock Inflow'!$D$2:$D$601,$D106)</f>
        <v>4</v>
      </c>
      <c r="H106" s="19">
        <f>SUMIFS('Stock Outflow'!$F$2:$F$601,'Stock Outflow'!$A$2:$A$601,$A106,'Stock Outflow'!$D$2:$D$601,$D106)</f>
        <v>177</v>
      </c>
      <c r="I106" s="19">
        <f>SUMIFS('Stock Outflow'!$E$2:$E$601,'Stock Outflow'!$A$2:$A$601,$A106,'Stock Outflow'!$D$2:$D$601,$D106)</f>
        <v>3</v>
      </c>
      <c r="J106" s="19">
        <f t="shared" si="6"/>
        <v>376</v>
      </c>
      <c r="K106" s="20">
        <f>INDEX('Item Master'!$F$2:$F$51,MATCH($A106,'Item Master'!$A$2:$A$51,0))</f>
        <v>60</v>
      </c>
      <c r="L106" s="20">
        <f t="shared" si="7"/>
        <v>10620</v>
      </c>
      <c r="M106" s="21">
        <f t="shared" si="8"/>
        <v>5.9</v>
      </c>
      <c r="N106" s="19">
        <f>INDEX('Item Master'!$E$2:$E$51,MATCH($A106,'Item Master'!$A$2:$A$51,0))</f>
        <v>14</v>
      </c>
      <c r="O106" s="22">
        <f>INDEX('Product Summary'!$L$2:$L$51,MATCH($A106,'Product Summary'!$A$2:$A$51,0))</f>
        <v>51.722222222222229</v>
      </c>
      <c r="P106" s="22">
        <f>INDEX('Product Summary'!$M$2:$M$51,MATCH($A106,'Product Summary'!$A$2:$A$51,0))</f>
        <v>150.75783866057839</v>
      </c>
      <c r="Q106" s="22">
        <f t="shared" si="9"/>
        <v>63.728813559322028</v>
      </c>
      <c r="R106" s="22">
        <f t="shared" si="10"/>
        <v>38.176637515156202</v>
      </c>
      <c r="S106" s="19" t="str">
        <f t="shared" si="11"/>
        <v>HEALTHY</v>
      </c>
    </row>
    <row r="107" spans="1:19" x14ac:dyDescent="0.3">
      <c r="A107" s="19" t="s">
        <v>87</v>
      </c>
      <c r="B107" s="19" t="s">
        <v>88</v>
      </c>
      <c r="C107" s="19" t="s">
        <v>32</v>
      </c>
      <c r="D107" s="19" t="s">
        <v>45</v>
      </c>
      <c r="E107" s="19">
        <f>SUMIFS('Stock Inflow'!$G$2:$G$601,'Stock Inflow'!$A$2:$A$601,$A107,'Stock Inflow'!$D$2:$D$601,$D107)</f>
        <v>376</v>
      </c>
      <c r="F107" s="19">
        <f>SUMIFS('Stock Inflow'!$F$2:$F$601,'Stock Inflow'!$A$2:$A$601,$A107,'Stock Inflow'!$D$2:$D$601,$D107)</f>
        <v>335</v>
      </c>
      <c r="G107" s="19">
        <f>SUMIFS('Stock Inflow'!$E$2:$E$601,'Stock Inflow'!$A$2:$A$601,$A107,'Stock Inflow'!$D$2:$D$601,$D107)</f>
        <v>11</v>
      </c>
      <c r="H107" s="19">
        <f>SUMIFS('Stock Outflow'!$F$2:$F$601,'Stock Outflow'!$A$2:$A$601,$A107,'Stock Outflow'!$D$2:$D$601,$D107)</f>
        <v>326</v>
      </c>
      <c r="I107" s="19">
        <f>SUMIFS('Stock Outflow'!$E$2:$E$601,'Stock Outflow'!$A$2:$A$601,$A107,'Stock Outflow'!$D$2:$D$601,$D107)</f>
        <v>4</v>
      </c>
      <c r="J107" s="19">
        <f t="shared" si="6"/>
        <v>392</v>
      </c>
      <c r="K107" s="20">
        <f>INDEX('Item Master'!$F$2:$F$51,MATCH($A107,'Item Master'!$A$2:$A$51,0))</f>
        <v>60</v>
      </c>
      <c r="L107" s="20">
        <f t="shared" si="7"/>
        <v>19560</v>
      </c>
      <c r="M107" s="21">
        <f t="shared" si="8"/>
        <v>10.866666666666667</v>
      </c>
      <c r="N107" s="19">
        <f>INDEX('Item Master'!$E$2:$E$51,MATCH($A107,'Item Master'!$A$2:$A$51,0))</f>
        <v>14</v>
      </c>
      <c r="O107" s="22">
        <f>INDEX('Product Summary'!$L$2:$L$51,MATCH($A107,'Product Summary'!$A$2:$A$51,0))</f>
        <v>51.722222222222229</v>
      </c>
      <c r="P107" s="22">
        <f>INDEX('Product Summary'!$M$2:$M$51,MATCH($A107,'Product Summary'!$A$2:$A$51,0))</f>
        <v>150.75783866057839</v>
      </c>
      <c r="Q107" s="22">
        <f t="shared" si="9"/>
        <v>36.073619631901842</v>
      </c>
      <c r="R107" s="22">
        <f t="shared" si="10"/>
        <v>22.200198896265793</v>
      </c>
      <c r="S107" s="19" t="str">
        <f t="shared" si="11"/>
        <v>HEALTHY</v>
      </c>
    </row>
    <row r="108" spans="1:19" x14ac:dyDescent="0.3">
      <c r="A108" s="19" t="s">
        <v>87</v>
      </c>
      <c r="B108" s="19" t="s">
        <v>88</v>
      </c>
      <c r="C108" s="19" t="s">
        <v>32</v>
      </c>
      <c r="D108" s="19" t="s">
        <v>47</v>
      </c>
      <c r="E108" s="19">
        <f>SUMIFS('Stock Inflow'!$G$2:$G$601,'Stock Inflow'!$A$2:$A$601,$A108,'Stock Inflow'!$D$2:$D$601,$D108)</f>
        <v>392</v>
      </c>
      <c r="F108" s="19">
        <f>SUMIFS('Stock Inflow'!$F$2:$F$601,'Stock Inflow'!$A$2:$A$601,$A108,'Stock Inflow'!$D$2:$D$601,$D108)</f>
        <v>317</v>
      </c>
      <c r="G108" s="19">
        <f>SUMIFS('Stock Inflow'!$E$2:$E$601,'Stock Inflow'!$A$2:$A$601,$A108,'Stock Inflow'!$D$2:$D$601,$D108)</f>
        <v>6</v>
      </c>
      <c r="H108" s="19">
        <f>SUMIFS('Stock Outflow'!$F$2:$F$601,'Stock Outflow'!$A$2:$A$601,$A108,'Stock Outflow'!$D$2:$D$601,$D108)</f>
        <v>252</v>
      </c>
      <c r="I108" s="19">
        <f>SUMIFS('Stock Outflow'!$E$2:$E$601,'Stock Outflow'!$A$2:$A$601,$A108,'Stock Outflow'!$D$2:$D$601,$D108)</f>
        <v>9</v>
      </c>
      <c r="J108" s="19">
        <f t="shared" si="6"/>
        <v>454</v>
      </c>
      <c r="K108" s="20">
        <f>INDEX('Item Master'!$F$2:$F$51,MATCH($A108,'Item Master'!$A$2:$A$51,0))</f>
        <v>60</v>
      </c>
      <c r="L108" s="20">
        <f t="shared" si="7"/>
        <v>15120</v>
      </c>
      <c r="M108" s="21">
        <f t="shared" si="8"/>
        <v>8.4</v>
      </c>
      <c r="N108" s="19">
        <f>INDEX('Item Master'!$E$2:$E$51,MATCH($A108,'Item Master'!$A$2:$A$51,0))</f>
        <v>14</v>
      </c>
      <c r="O108" s="22">
        <f>INDEX('Product Summary'!$L$2:$L$51,MATCH($A108,'Product Summary'!$A$2:$A$51,0))</f>
        <v>51.722222222222229</v>
      </c>
      <c r="P108" s="22">
        <f>INDEX('Product Summary'!$M$2:$M$51,MATCH($A108,'Product Summary'!$A$2:$A$51,0))</f>
        <v>150.75783866057839</v>
      </c>
      <c r="Q108" s="22">
        <f t="shared" si="9"/>
        <v>54.047619047619044</v>
      </c>
      <c r="R108" s="22">
        <f t="shared" si="10"/>
        <v>36.100257302312095</v>
      </c>
      <c r="S108" s="19" t="str">
        <f t="shared" si="11"/>
        <v>HEALTHY</v>
      </c>
    </row>
    <row r="109" spans="1:19" x14ac:dyDescent="0.3">
      <c r="A109" s="19" t="s">
        <v>87</v>
      </c>
      <c r="B109" s="19" t="s">
        <v>88</v>
      </c>
      <c r="C109" s="19" t="s">
        <v>32</v>
      </c>
      <c r="D109" s="19" t="s">
        <v>49</v>
      </c>
      <c r="E109" s="19">
        <f>SUMIFS('Stock Inflow'!$G$2:$G$601,'Stock Inflow'!$A$2:$A$601,$A109,'Stock Inflow'!$D$2:$D$601,$D109)</f>
        <v>454</v>
      </c>
      <c r="F109" s="19">
        <f>SUMIFS('Stock Inflow'!$F$2:$F$601,'Stock Inflow'!$A$2:$A$601,$A109,'Stock Inflow'!$D$2:$D$601,$D109)</f>
        <v>190</v>
      </c>
      <c r="G109" s="19">
        <f>SUMIFS('Stock Inflow'!$E$2:$E$601,'Stock Inflow'!$A$2:$A$601,$A109,'Stock Inflow'!$D$2:$D$601,$D109)</f>
        <v>7</v>
      </c>
      <c r="H109" s="19">
        <f>SUMIFS('Stock Outflow'!$F$2:$F$601,'Stock Outflow'!$A$2:$A$601,$A109,'Stock Outflow'!$D$2:$D$601,$D109)</f>
        <v>197</v>
      </c>
      <c r="I109" s="19">
        <f>SUMIFS('Stock Outflow'!$E$2:$E$601,'Stock Outflow'!$A$2:$A$601,$A109,'Stock Outflow'!$D$2:$D$601,$D109)</f>
        <v>3</v>
      </c>
      <c r="J109" s="19">
        <f t="shared" si="6"/>
        <v>451</v>
      </c>
      <c r="K109" s="20">
        <f>INDEX('Item Master'!$F$2:$F$51,MATCH($A109,'Item Master'!$A$2:$A$51,0))</f>
        <v>60</v>
      </c>
      <c r="L109" s="20">
        <f t="shared" si="7"/>
        <v>11820</v>
      </c>
      <c r="M109" s="21">
        <f t="shared" si="8"/>
        <v>6.5666666666666664</v>
      </c>
      <c r="N109" s="19">
        <f>INDEX('Item Master'!$E$2:$E$51,MATCH($A109,'Item Master'!$A$2:$A$51,0))</f>
        <v>14</v>
      </c>
      <c r="O109" s="22">
        <f>INDEX('Product Summary'!$L$2:$L$51,MATCH($A109,'Product Summary'!$A$2:$A$51,0))</f>
        <v>51.722222222222229</v>
      </c>
      <c r="P109" s="22">
        <f>INDEX('Product Summary'!$M$2:$M$51,MATCH($A109,'Product Summary'!$A$2:$A$51,0))</f>
        <v>150.75783866057839</v>
      </c>
      <c r="Q109" s="22">
        <f t="shared" si="9"/>
        <v>68.680203045685275</v>
      </c>
      <c r="R109" s="22">
        <f t="shared" si="10"/>
        <v>45.722156549150505</v>
      </c>
      <c r="S109" s="19" t="str">
        <f t="shared" si="11"/>
        <v>HEALTHY</v>
      </c>
    </row>
    <row r="110" spans="1:19" x14ac:dyDescent="0.3">
      <c r="A110" s="19" t="s">
        <v>89</v>
      </c>
      <c r="B110" s="19" t="s">
        <v>90</v>
      </c>
      <c r="C110" s="19" t="s">
        <v>32</v>
      </c>
      <c r="D110" s="19" t="s">
        <v>27</v>
      </c>
      <c r="E110" s="19">
        <f>SUMIFS('Stock Inflow'!$G$2:$G$601,'Stock Inflow'!$A$2:$A$601,$A110,'Stock Inflow'!$D$2:$D$601,$D110)</f>
        <v>346</v>
      </c>
      <c r="F110" s="19">
        <f>SUMIFS('Stock Inflow'!$F$2:$F$601,'Stock Inflow'!$A$2:$A$601,$A110,'Stock Inflow'!$D$2:$D$601,$D110)</f>
        <v>173</v>
      </c>
      <c r="G110" s="19">
        <f>SUMIFS('Stock Inflow'!$E$2:$E$601,'Stock Inflow'!$A$2:$A$601,$A110,'Stock Inflow'!$D$2:$D$601,$D110)</f>
        <v>4</v>
      </c>
      <c r="H110" s="19">
        <f>SUMIFS('Stock Outflow'!$F$2:$F$601,'Stock Outflow'!$A$2:$A$601,$A110,'Stock Outflow'!$D$2:$D$601,$D110)</f>
        <v>174</v>
      </c>
      <c r="I110" s="19">
        <f>SUMIFS('Stock Outflow'!$E$2:$E$601,'Stock Outflow'!$A$2:$A$601,$A110,'Stock Outflow'!$D$2:$D$601,$D110)</f>
        <v>4</v>
      </c>
      <c r="J110" s="19">
        <f t="shared" si="6"/>
        <v>345</v>
      </c>
      <c r="K110" s="20">
        <f>INDEX('Item Master'!$F$2:$F$51,MATCH($A110,'Item Master'!$A$2:$A$51,0))</f>
        <v>200</v>
      </c>
      <c r="L110" s="20">
        <f t="shared" si="7"/>
        <v>34800</v>
      </c>
      <c r="M110" s="21">
        <f t="shared" si="8"/>
        <v>5.8</v>
      </c>
      <c r="N110" s="19">
        <f>INDEX('Item Master'!$E$2:$E$51,MATCH($A110,'Item Master'!$A$2:$A$51,0))</f>
        <v>7</v>
      </c>
      <c r="O110" s="22">
        <f>INDEX('Product Summary'!$L$2:$L$51,MATCH($A110,'Product Summary'!$A$2:$A$51,0))</f>
        <v>18.880555555555553</v>
      </c>
      <c r="P110" s="22">
        <f>INDEX('Product Summary'!$M$2:$M$51,MATCH($A110,'Product Summary'!$A$2:$A$51,0))</f>
        <v>62.625761035007606</v>
      </c>
      <c r="Q110" s="22">
        <f t="shared" si="9"/>
        <v>59.482758620689658</v>
      </c>
      <c r="R110" s="22">
        <f t="shared" si="10"/>
        <v>48.685213614653861</v>
      </c>
      <c r="S110" s="19" t="str">
        <f t="shared" si="11"/>
        <v>HEALTHY</v>
      </c>
    </row>
    <row r="111" spans="1:19" x14ac:dyDescent="0.3">
      <c r="A111" s="19" t="s">
        <v>89</v>
      </c>
      <c r="B111" s="19" t="s">
        <v>90</v>
      </c>
      <c r="C111" s="19" t="s">
        <v>32</v>
      </c>
      <c r="D111" s="19" t="s">
        <v>29</v>
      </c>
      <c r="E111" s="19">
        <f>SUMIFS('Stock Inflow'!$G$2:$G$601,'Stock Inflow'!$A$2:$A$601,$A111,'Stock Inflow'!$D$2:$D$601,$D111)</f>
        <v>345</v>
      </c>
      <c r="F111" s="19">
        <f>SUMIFS('Stock Inflow'!$F$2:$F$601,'Stock Inflow'!$A$2:$A$601,$A111,'Stock Inflow'!$D$2:$D$601,$D111)</f>
        <v>167</v>
      </c>
      <c r="G111" s="19">
        <f>SUMIFS('Stock Inflow'!$E$2:$E$601,'Stock Inflow'!$A$2:$A$601,$A111,'Stock Inflow'!$D$2:$D$601,$D111)</f>
        <v>6</v>
      </c>
      <c r="H111" s="19">
        <f>SUMIFS('Stock Outflow'!$F$2:$F$601,'Stock Outflow'!$A$2:$A$601,$A111,'Stock Outflow'!$D$2:$D$601,$D111)</f>
        <v>161</v>
      </c>
      <c r="I111" s="19">
        <f>SUMIFS('Stock Outflow'!$E$2:$E$601,'Stock Outflow'!$A$2:$A$601,$A111,'Stock Outflow'!$D$2:$D$601,$D111)</f>
        <v>0</v>
      </c>
      <c r="J111" s="19">
        <f t="shared" si="6"/>
        <v>357</v>
      </c>
      <c r="K111" s="20">
        <f>INDEX('Item Master'!$F$2:$F$51,MATCH($A111,'Item Master'!$A$2:$A$51,0))</f>
        <v>200</v>
      </c>
      <c r="L111" s="20">
        <f t="shared" si="7"/>
        <v>32200</v>
      </c>
      <c r="M111" s="21">
        <f t="shared" si="8"/>
        <v>5.3666666666666663</v>
      </c>
      <c r="N111" s="19">
        <f>INDEX('Item Master'!$E$2:$E$51,MATCH($A111,'Item Master'!$A$2:$A$51,0))</f>
        <v>7</v>
      </c>
      <c r="O111" s="22">
        <f>INDEX('Product Summary'!$L$2:$L$51,MATCH($A111,'Product Summary'!$A$2:$A$51,0))</f>
        <v>18.880555555555553</v>
      </c>
      <c r="P111" s="22">
        <f>INDEX('Product Summary'!$M$2:$M$51,MATCH($A111,'Product Summary'!$A$2:$A$51,0))</f>
        <v>62.625761035007606</v>
      </c>
      <c r="Q111" s="22">
        <f t="shared" si="9"/>
        <v>66.521739130434781</v>
      </c>
      <c r="R111" s="22">
        <f t="shared" si="10"/>
        <v>54.852342664284301</v>
      </c>
      <c r="S111" s="19" t="str">
        <f t="shared" si="11"/>
        <v>HEALTHY</v>
      </c>
    </row>
    <row r="112" spans="1:19" x14ac:dyDescent="0.3">
      <c r="A112" s="19" t="s">
        <v>89</v>
      </c>
      <c r="B112" s="19" t="s">
        <v>90</v>
      </c>
      <c r="C112" s="19" t="s">
        <v>32</v>
      </c>
      <c r="D112" s="19" t="s">
        <v>31</v>
      </c>
      <c r="E112" s="19">
        <f>SUMIFS('Stock Inflow'!$G$2:$G$601,'Stock Inflow'!$A$2:$A$601,$A112,'Stock Inflow'!$D$2:$D$601,$D112)</f>
        <v>357</v>
      </c>
      <c r="F112" s="19">
        <f>SUMIFS('Stock Inflow'!$F$2:$F$601,'Stock Inflow'!$A$2:$A$601,$A112,'Stock Inflow'!$D$2:$D$601,$D112)</f>
        <v>165</v>
      </c>
      <c r="G112" s="19">
        <f>SUMIFS('Stock Inflow'!$E$2:$E$601,'Stock Inflow'!$A$2:$A$601,$A112,'Stock Inflow'!$D$2:$D$601,$D112)</f>
        <v>2</v>
      </c>
      <c r="H112" s="19">
        <f>SUMIFS('Stock Outflow'!$F$2:$F$601,'Stock Outflow'!$A$2:$A$601,$A112,'Stock Outflow'!$D$2:$D$601,$D112)</f>
        <v>157</v>
      </c>
      <c r="I112" s="19">
        <f>SUMIFS('Stock Outflow'!$E$2:$E$601,'Stock Outflow'!$A$2:$A$601,$A112,'Stock Outflow'!$D$2:$D$601,$D112)</f>
        <v>1</v>
      </c>
      <c r="J112" s="19">
        <f t="shared" si="6"/>
        <v>366</v>
      </c>
      <c r="K112" s="20">
        <f>INDEX('Item Master'!$F$2:$F$51,MATCH($A112,'Item Master'!$A$2:$A$51,0))</f>
        <v>200</v>
      </c>
      <c r="L112" s="20">
        <f t="shared" si="7"/>
        <v>31400</v>
      </c>
      <c r="M112" s="21">
        <f t="shared" si="8"/>
        <v>5.2333333333333334</v>
      </c>
      <c r="N112" s="19">
        <f>INDEX('Item Master'!$E$2:$E$51,MATCH($A112,'Item Master'!$A$2:$A$51,0))</f>
        <v>7</v>
      </c>
      <c r="O112" s="22">
        <f>INDEX('Product Summary'!$L$2:$L$51,MATCH($A112,'Product Summary'!$A$2:$A$51,0))</f>
        <v>18.880555555555553</v>
      </c>
      <c r="P112" s="22">
        <f>INDEX('Product Summary'!$M$2:$M$51,MATCH($A112,'Product Summary'!$A$2:$A$51,0))</f>
        <v>62.625761035007606</v>
      </c>
      <c r="Q112" s="22">
        <f t="shared" si="9"/>
        <v>69.936305732484072</v>
      </c>
      <c r="R112" s="22">
        <f t="shared" si="10"/>
        <v>57.969599802227847</v>
      </c>
      <c r="S112" s="19" t="str">
        <f t="shared" si="11"/>
        <v>HEALTHY</v>
      </c>
    </row>
    <row r="113" spans="1:19" x14ac:dyDescent="0.3">
      <c r="A113" s="19" t="s">
        <v>89</v>
      </c>
      <c r="B113" s="19" t="s">
        <v>90</v>
      </c>
      <c r="C113" s="19" t="s">
        <v>32</v>
      </c>
      <c r="D113" s="19" t="s">
        <v>33</v>
      </c>
      <c r="E113" s="19">
        <f>SUMIFS('Stock Inflow'!$G$2:$G$601,'Stock Inflow'!$A$2:$A$601,$A113,'Stock Inflow'!$D$2:$D$601,$D113)</f>
        <v>366</v>
      </c>
      <c r="F113" s="19">
        <f>SUMIFS('Stock Inflow'!$F$2:$F$601,'Stock Inflow'!$A$2:$A$601,$A113,'Stock Inflow'!$D$2:$D$601,$D113)</f>
        <v>177</v>
      </c>
      <c r="G113" s="19">
        <f>SUMIFS('Stock Inflow'!$E$2:$E$601,'Stock Inflow'!$A$2:$A$601,$A113,'Stock Inflow'!$D$2:$D$601,$D113)</f>
        <v>4</v>
      </c>
      <c r="H113" s="19">
        <f>SUMIFS('Stock Outflow'!$F$2:$F$601,'Stock Outflow'!$A$2:$A$601,$A113,'Stock Outflow'!$D$2:$D$601,$D113)</f>
        <v>171</v>
      </c>
      <c r="I113" s="19">
        <f>SUMIFS('Stock Outflow'!$E$2:$E$601,'Stock Outflow'!$A$2:$A$601,$A113,'Stock Outflow'!$D$2:$D$601,$D113)</f>
        <v>0</v>
      </c>
      <c r="J113" s="19">
        <f t="shared" si="6"/>
        <v>376</v>
      </c>
      <c r="K113" s="20">
        <f>INDEX('Item Master'!$F$2:$F$51,MATCH($A113,'Item Master'!$A$2:$A$51,0))</f>
        <v>200</v>
      </c>
      <c r="L113" s="20">
        <f t="shared" si="7"/>
        <v>34200</v>
      </c>
      <c r="M113" s="21">
        <f t="shared" si="8"/>
        <v>5.7</v>
      </c>
      <c r="N113" s="19">
        <f>INDEX('Item Master'!$E$2:$E$51,MATCH($A113,'Item Master'!$A$2:$A$51,0))</f>
        <v>7</v>
      </c>
      <c r="O113" s="22">
        <f>INDEX('Product Summary'!$L$2:$L$51,MATCH($A113,'Product Summary'!$A$2:$A$51,0))</f>
        <v>18.880555555555553</v>
      </c>
      <c r="P113" s="22">
        <f>INDEX('Product Summary'!$M$2:$M$51,MATCH($A113,'Product Summary'!$A$2:$A$51,0))</f>
        <v>62.625761035007606</v>
      </c>
      <c r="Q113" s="22">
        <f t="shared" si="9"/>
        <v>65.964912280701753</v>
      </c>
      <c r="R113" s="22">
        <f t="shared" si="10"/>
        <v>54.977936660524982</v>
      </c>
      <c r="S113" s="19" t="str">
        <f t="shared" si="11"/>
        <v>HEALTHY</v>
      </c>
    </row>
    <row r="114" spans="1:19" x14ac:dyDescent="0.3">
      <c r="A114" s="19" t="s">
        <v>89</v>
      </c>
      <c r="B114" s="19" t="s">
        <v>90</v>
      </c>
      <c r="C114" s="19" t="s">
        <v>32</v>
      </c>
      <c r="D114" s="19" t="s">
        <v>35</v>
      </c>
      <c r="E114" s="19">
        <f>SUMIFS('Stock Inflow'!$G$2:$G$601,'Stock Inflow'!$A$2:$A$601,$A114,'Stock Inflow'!$D$2:$D$601,$D114)</f>
        <v>376</v>
      </c>
      <c r="F114" s="19">
        <f>SUMIFS('Stock Inflow'!$F$2:$F$601,'Stock Inflow'!$A$2:$A$601,$A114,'Stock Inflow'!$D$2:$D$601,$D114)</f>
        <v>203</v>
      </c>
      <c r="G114" s="19">
        <f>SUMIFS('Stock Inflow'!$E$2:$E$601,'Stock Inflow'!$A$2:$A$601,$A114,'Stock Inflow'!$D$2:$D$601,$D114)</f>
        <v>6</v>
      </c>
      <c r="H114" s="19">
        <f>SUMIFS('Stock Outflow'!$F$2:$F$601,'Stock Outflow'!$A$2:$A$601,$A114,'Stock Outflow'!$D$2:$D$601,$D114)</f>
        <v>192</v>
      </c>
      <c r="I114" s="19">
        <f>SUMIFS('Stock Outflow'!$E$2:$E$601,'Stock Outflow'!$A$2:$A$601,$A114,'Stock Outflow'!$D$2:$D$601,$D114)</f>
        <v>6</v>
      </c>
      <c r="J114" s="19">
        <f t="shared" si="6"/>
        <v>387</v>
      </c>
      <c r="K114" s="20">
        <f>INDEX('Item Master'!$F$2:$F$51,MATCH($A114,'Item Master'!$A$2:$A$51,0))</f>
        <v>200</v>
      </c>
      <c r="L114" s="20">
        <f t="shared" si="7"/>
        <v>38400</v>
      </c>
      <c r="M114" s="21">
        <f t="shared" si="8"/>
        <v>6.4</v>
      </c>
      <c r="N114" s="19">
        <f>INDEX('Item Master'!$E$2:$E$51,MATCH($A114,'Item Master'!$A$2:$A$51,0))</f>
        <v>7</v>
      </c>
      <c r="O114" s="22">
        <f>INDEX('Product Summary'!$L$2:$L$51,MATCH($A114,'Product Summary'!$A$2:$A$51,0))</f>
        <v>18.880555555555553</v>
      </c>
      <c r="P114" s="22">
        <f>INDEX('Product Summary'!$M$2:$M$51,MATCH($A114,'Product Summary'!$A$2:$A$51,0))</f>
        <v>62.625761035007606</v>
      </c>
      <c r="Q114" s="22">
        <f t="shared" si="9"/>
        <v>60.46875</v>
      </c>
      <c r="R114" s="22">
        <f t="shared" si="10"/>
        <v>50.683474838280063</v>
      </c>
      <c r="S114" s="19" t="str">
        <f t="shared" si="11"/>
        <v>HEALTHY</v>
      </c>
    </row>
    <row r="115" spans="1:19" x14ac:dyDescent="0.3">
      <c r="A115" s="19" t="s">
        <v>89</v>
      </c>
      <c r="B115" s="19" t="s">
        <v>90</v>
      </c>
      <c r="C115" s="19" t="s">
        <v>32</v>
      </c>
      <c r="D115" s="19" t="s">
        <v>37</v>
      </c>
      <c r="E115" s="19">
        <f>SUMIFS('Stock Inflow'!$G$2:$G$601,'Stock Inflow'!$A$2:$A$601,$A115,'Stock Inflow'!$D$2:$D$601,$D115)</f>
        <v>387</v>
      </c>
      <c r="F115" s="19">
        <f>SUMIFS('Stock Inflow'!$F$2:$F$601,'Stock Inflow'!$A$2:$A$601,$A115,'Stock Inflow'!$D$2:$D$601,$D115)</f>
        <v>188</v>
      </c>
      <c r="G115" s="19">
        <f>SUMIFS('Stock Inflow'!$E$2:$E$601,'Stock Inflow'!$A$2:$A$601,$A115,'Stock Inflow'!$D$2:$D$601,$D115)</f>
        <v>4</v>
      </c>
      <c r="H115" s="19">
        <f>SUMIFS('Stock Outflow'!$F$2:$F$601,'Stock Outflow'!$A$2:$A$601,$A115,'Stock Outflow'!$D$2:$D$601,$D115)</f>
        <v>150</v>
      </c>
      <c r="I115" s="19">
        <f>SUMIFS('Stock Outflow'!$E$2:$E$601,'Stock Outflow'!$A$2:$A$601,$A115,'Stock Outflow'!$D$2:$D$601,$D115)</f>
        <v>3</v>
      </c>
      <c r="J115" s="19">
        <f t="shared" si="6"/>
        <v>426</v>
      </c>
      <c r="K115" s="20">
        <f>INDEX('Item Master'!$F$2:$F$51,MATCH($A115,'Item Master'!$A$2:$A$51,0))</f>
        <v>200</v>
      </c>
      <c r="L115" s="20">
        <f t="shared" si="7"/>
        <v>30000</v>
      </c>
      <c r="M115" s="21">
        <f t="shared" si="8"/>
        <v>5</v>
      </c>
      <c r="N115" s="19">
        <f>INDEX('Item Master'!$E$2:$E$51,MATCH($A115,'Item Master'!$A$2:$A$51,0))</f>
        <v>7</v>
      </c>
      <c r="O115" s="22">
        <f>INDEX('Product Summary'!$L$2:$L$51,MATCH($A115,'Product Summary'!$A$2:$A$51,0))</f>
        <v>18.880555555555553</v>
      </c>
      <c r="P115" s="22">
        <f>INDEX('Product Summary'!$M$2:$M$51,MATCH($A115,'Product Summary'!$A$2:$A$51,0))</f>
        <v>62.625761035007606</v>
      </c>
      <c r="Q115" s="22">
        <f t="shared" si="9"/>
        <v>85.2</v>
      </c>
      <c r="R115" s="22">
        <f t="shared" si="10"/>
        <v>72.674847792998477</v>
      </c>
      <c r="S115" s="19" t="str">
        <f t="shared" si="11"/>
        <v>HEALTHY</v>
      </c>
    </row>
    <row r="116" spans="1:19" x14ac:dyDescent="0.3">
      <c r="A116" s="19" t="s">
        <v>89</v>
      </c>
      <c r="B116" s="19" t="s">
        <v>90</v>
      </c>
      <c r="C116" s="19" t="s">
        <v>32</v>
      </c>
      <c r="D116" s="19" t="s">
        <v>39</v>
      </c>
      <c r="E116" s="19">
        <f>SUMIFS('Stock Inflow'!$G$2:$G$601,'Stock Inflow'!$A$2:$A$601,$A116,'Stock Inflow'!$D$2:$D$601,$D116)</f>
        <v>426</v>
      </c>
      <c r="F116" s="19">
        <f>SUMIFS('Stock Inflow'!$F$2:$F$601,'Stock Inflow'!$A$2:$A$601,$A116,'Stock Inflow'!$D$2:$D$601,$D116)</f>
        <v>202</v>
      </c>
      <c r="G116" s="19">
        <f>SUMIFS('Stock Inflow'!$E$2:$E$601,'Stock Inflow'!$A$2:$A$601,$A116,'Stock Inflow'!$D$2:$D$601,$D116)</f>
        <v>4</v>
      </c>
      <c r="H116" s="19">
        <f>SUMIFS('Stock Outflow'!$F$2:$F$601,'Stock Outflow'!$A$2:$A$601,$A116,'Stock Outflow'!$D$2:$D$601,$D116)</f>
        <v>198</v>
      </c>
      <c r="I116" s="19">
        <f>SUMIFS('Stock Outflow'!$E$2:$E$601,'Stock Outflow'!$A$2:$A$601,$A116,'Stock Outflow'!$D$2:$D$601,$D116)</f>
        <v>5</v>
      </c>
      <c r="J116" s="19">
        <f t="shared" si="6"/>
        <v>429</v>
      </c>
      <c r="K116" s="20">
        <f>INDEX('Item Master'!$F$2:$F$51,MATCH($A116,'Item Master'!$A$2:$A$51,0))</f>
        <v>200</v>
      </c>
      <c r="L116" s="20">
        <f t="shared" si="7"/>
        <v>39600</v>
      </c>
      <c r="M116" s="21">
        <f t="shared" si="8"/>
        <v>6.6</v>
      </c>
      <c r="N116" s="19">
        <f>INDEX('Item Master'!$E$2:$E$51,MATCH($A116,'Item Master'!$A$2:$A$51,0))</f>
        <v>7</v>
      </c>
      <c r="O116" s="22">
        <f>INDEX('Product Summary'!$L$2:$L$51,MATCH($A116,'Product Summary'!$A$2:$A$51,0))</f>
        <v>18.880555555555553</v>
      </c>
      <c r="P116" s="22">
        <f>INDEX('Product Summary'!$M$2:$M$51,MATCH($A116,'Product Summary'!$A$2:$A$51,0))</f>
        <v>62.625761035007606</v>
      </c>
      <c r="Q116" s="22">
        <f t="shared" si="9"/>
        <v>65</v>
      </c>
      <c r="R116" s="22">
        <f t="shared" si="10"/>
        <v>55.511248328029154</v>
      </c>
      <c r="S116" s="19" t="str">
        <f t="shared" si="11"/>
        <v>HEALTHY</v>
      </c>
    </row>
    <row r="117" spans="1:19" x14ac:dyDescent="0.3">
      <c r="A117" s="19" t="s">
        <v>89</v>
      </c>
      <c r="B117" s="19" t="s">
        <v>90</v>
      </c>
      <c r="C117" s="19" t="s">
        <v>32</v>
      </c>
      <c r="D117" s="19" t="s">
        <v>41</v>
      </c>
      <c r="E117" s="19">
        <f>SUMIFS('Stock Inflow'!$G$2:$G$601,'Stock Inflow'!$A$2:$A$601,$A117,'Stock Inflow'!$D$2:$D$601,$D117)</f>
        <v>429</v>
      </c>
      <c r="F117" s="19">
        <f>SUMIFS('Stock Inflow'!$F$2:$F$601,'Stock Inflow'!$A$2:$A$601,$A117,'Stock Inflow'!$D$2:$D$601,$D117)</f>
        <v>215</v>
      </c>
      <c r="G117" s="19">
        <f>SUMIFS('Stock Inflow'!$E$2:$E$601,'Stock Inflow'!$A$2:$A$601,$A117,'Stock Inflow'!$D$2:$D$601,$D117)</f>
        <v>6</v>
      </c>
      <c r="H117" s="19">
        <f>SUMIFS('Stock Outflow'!$F$2:$F$601,'Stock Outflow'!$A$2:$A$601,$A117,'Stock Outflow'!$D$2:$D$601,$D117)</f>
        <v>193</v>
      </c>
      <c r="I117" s="19">
        <f>SUMIFS('Stock Outflow'!$E$2:$E$601,'Stock Outflow'!$A$2:$A$601,$A117,'Stock Outflow'!$D$2:$D$601,$D117)</f>
        <v>5</v>
      </c>
      <c r="J117" s="19">
        <f t="shared" si="6"/>
        <v>452</v>
      </c>
      <c r="K117" s="20">
        <f>INDEX('Item Master'!$F$2:$F$51,MATCH($A117,'Item Master'!$A$2:$A$51,0))</f>
        <v>200</v>
      </c>
      <c r="L117" s="20">
        <f t="shared" si="7"/>
        <v>38600</v>
      </c>
      <c r="M117" s="21">
        <f t="shared" si="8"/>
        <v>6.4333333333333336</v>
      </c>
      <c r="N117" s="19">
        <f>INDEX('Item Master'!$E$2:$E$51,MATCH($A117,'Item Master'!$A$2:$A$51,0))</f>
        <v>7</v>
      </c>
      <c r="O117" s="22">
        <f>INDEX('Product Summary'!$L$2:$L$51,MATCH($A117,'Product Summary'!$A$2:$A$51,0))</f>
        <v>18.880555555555553</v>
      </c>
      <c r="P117" s="22">
        <f>INDEX('Product Summary'!$M$2:$M$51,MATCH($A117,'Product Summary'!$A$2:$A$51,0))</f>
        <v>62.625761035007606</v>
      </c>
      <c r="Q117" s="22">
        <f t="shared" si="9"/>
        <v>70.259067357512947</v>
      </c>
      <c r="R117" s="22">
        <f t="shared" si="10"/>
        <v>60.524493103366694</v>
      </c>
      <c r="S117" s="19" t="str">
        <f t="shared" si="11"/>
        <v>HEALTHY</v>
      </c>
    </row>
    <row r="118" spans="1:19" x14ac:dyDescent="0.3">
      <c r="A118" s="19" t="s">
        <v>89</v>
      </c>
      <c r="B118" s="19" t="s">
        <v>90</v>
      </c>
      <c r="C118" s="19" t="s">
        <v>32</v>
      </c>
      <c r="D118" s="19" t="s">
        <v>43</v>
      </c>
      <c r="E118" s="19">
        <f>SUMIFS('Stock Inflow'!$G$2:$G$601,'Stock Inflow'!$A$2:$A$601,$A118,'Stock Inflow'!$D$2:$D$601,$D118)</f>
        <v>452</v>
      </c>
      <c r="F118" s="19">
        <f>SUMIFS('Stock Inflow'!$F$2:$F$601,'Stock Inflow'!$A$2:$A$601,$A118,'Stock Inflow'!$D$2:$D$601,$D118)</f>
        <v>215</v>
      </c>
      <c r="G118" s="19">
        <f>SUMIFS('Stock Inflow'!$E$2:$E$601,'Stock Inflow'!$A$2:$A$601,$A118,'Stock Inflow'!$D$2:$D$601,$D118)</f>
        <v>4</v>
      </c>
      <c r="H118" s="19">
        <f>SUMIFS('Stock Outflow'!$F$2:$F$601,'Stock Outflow'!$A$2:$A$601,$A118,'Stock Outflow'!$D$2:$D$601,$D118)</f>
        <v>196</v>
      </c>
      <c r="I118" s="19">
        <f>SUMIFS('Stock Outflow'!$E$2:$E$601,'Stock Outflow'!$A$2:$A$601,$A118,'Stock Outflow'!$D$2:$D$601,$D118)</f>
        <v>3</v>
      </c>
      <c r="J118" s="19">
        <f t="shared" si="6"/>
        <v>472</v>
      </c>
      <c r="K118" s="20">
        <f>INDEX('Item Master'!$F$2:$F$51,MATCH($A118,'Item Master'!$A$2:$A$51,0))</f>
        <v>200</v>
      </c>
      <c r="L118" s="20">
        <f t="shared" si="7"/>
        <v>39200</v>
      </c>
      <c r="M118" s="21">
        <f t="shared" si="8"/>
        <v>6.5333333333333332</v>
      </c>
      <c r="N118" s="19">
        <f>INDEX('Item Master'!$E$2:$E$51,MATCH($A118,'Item Master'!$A$2:$A$51,0))</f>
        <v>7</v>
      </c>
      <c r="O118" s="22">
        <f>INDEX('Product Summary'!$L$2:$L$51,MATCH($A118,'Product Summary'!$A$2:$A$51,0))</f>
        <v>18.880555555555553</v>
      </c>
      <c r="P118" s="22">
        <f>INDEX('Product Summary'!$M$2:$M$51,MATCH($A118,'Product Summary'!$A$2:$A$51,0))</f>
        <v>62.625761035007606</v>
      </c>
      <c r="Q118" s="22">
        <f t="shared" si="9"/>
        <v>72.244897959183675</v>
      </c>
      <c r="R118" s="22">
        <f t="shared" si="10"/>
        <v>62.659322290560063</v>
      </c>
      <c r="S118" s="19" t="str">
        <f t="shared" si="11"/>
        <v>HEALTHY</v>
      </c>
    </row>
    <row r="119" spans="1:19" x14ac:dyDescent="0.3">
      <c r="A119" s="19" t="s">
        <v>89</v>
      </c>
      <c r="B119" s="19" t="s">
        <v>90</v>
      </c>
      <c r="C119" s="19" t="s">
        <v>32</v>
      </c>
      <c r="D119" s="19" t="s">
        <v>45</v>
      </c>
      <c r="E119" s="19">
        <f>SUMIFS('Stock Inflow'!$G$2:$G$601,'Stock Inflow'!$A$2:$A$601,$A119,'Stock Inflow'!$D$2:$D$601,$D119)</f>
        <v>472</v>
      </c>
      <c r="F119" s="19">
        <f>SUMIFS('Stock Inflow'!$F$2:$F$601,'Stock Inflow'!$A$2:$A$601,$A119,'Stock Inflow'!$D$2:$D$601,$D119)</f>
        <v>316</v>
      </c>
      <c r="G119" s="19">
        <f>SUMIFS('Stock Inflow'!$E$2:$E$601,'Stock Inflow'!$A$2:$A$601,$A119,'Stock Inflow'!$D$2:$D$601,$D119)</f>
        <v>9</v>
      </c>
      <c r="H119" s="19">
        <f>SUMIFS('Stock Outflow'!$F$2:$F$601,'Stock Outflow'!$A$2:$A$601,$A119,'Stock Outflow'!$D$2:$D$601,$D119)</f>
        <v>271</v>
      </c>
      <c r="I119" s="19">
        <f>SUMIFS('Stock Outflow'!$E$2:$E$601,'Stock Outflow'!$A$2:$A$601,$A119,'Stock Outflow'!$D$2:$D$601,$D119)</f>
        <v>7</v>
      </c>
      <c r="J119" s="19">
        <f t="shared" si="6"/>
        <v>519</v>
      </c>
      <c r="K119" s="20">
        <f>INDEX('Item Master'!$F$2:$F$51,MATCH($A119,'Item Master'!$A$2:$A$51,0))</f>
        <v>200</v>
      </c>
      <c r="L119" s="20">
        <f t="shared" si="7"/>
        <v>54200</v>
      </c>
      <c r="M119" s="21">
        <f t="shared" si="8"/>
        <v>9.0333333333333332</v>
      </c>
      <c r="N119" s="19">
        <f>INDEX('Item Master'!$E$2:$E$51,MATCH($A119,'Item Master'!$A$2:$A$51,0))</f>
        <v>7</v>
      </c>
      <c r="O119" s="22">
        <f>INDEX('Product Summary'!$L$2:$L$51,MATCH($A119,'Product Summary'!$A$2:$A$51,0))</f>
        <v>18.880555555555553</v>
      </c>
      <c r="P119" s="22">
        <f>INDEX('Product Summary'!$M$2:$M$51,MATCH($A119,'Product Summary'!$A$2:$A$51,0))</f>
        <v>62.625761035007606</v>
      </c>
      <c r="Q119" s="22">
        <f t="shared" si="9"/>
        <v>57.453874538745389</v>
      </c>
      <c r="R119" s="22">
        <f t="shared" si="10"/>
        <v>50.521133464759309</v>
      </c>
      <c r="S119" s="19" t="str">
        <f t="shared" si="11"/>
        <v>HEALTHY</v>
      </c>
    </row>
    <row r="120" spans="1:19" x14ac:dyDescent="0.3">
      <c r="A120" s="19" t="s">
        <v>89</v>
      </c>
      <c r="B120" s="19" t="s">
        <v>90</v>
      </c>
      <c r="C120" s="19" t="s">
        <v>32</v>
      </c>
      <c r="D120" s="19" t="s">
        <v>47</v>
      </c>
      <c r="E120" s="19">
        <f>SUMIFS('Stock Inflow'!$G$2:$G$601,'Stock Inflow'!$A$2:$A$601,$A120,'Stock Inflow'!$D$2:$D$601,$D120)</f>
        <v>519</v>
      </c>
      <c r="F120" s="19">
        <f>SUMIFS('Stock Inflow'!$F$2:$F$601,'Stock Inflow'!$A$2:$A$601,$A120,'Stock Inflow'!$D$2:$D$601,$D120)</f>
        <v>281</v>
      </c>
      <c r="G120" s="19">
        <f>SUMIFS('Stock Inflow'!$E$2:$E$601,'Stock Inflow'!$A$2:$A$601,$A120,'Stock Inflow'!$D$2:$D$601,$D120)</f>
        <v>9</v>
      </c>
      <c r="H120" s="19">
        <f>SUMIFS('Stock Outflow'!$F$2:$F$601,'Stock Outflow'!$A$2:$A$601,$A120,'Stock Outflow'!$D$2:$D$601,$D120)</f>
        <v>222</v>
      </c>
      <c r="I120" s="19">
        <f>SUMIFS('Stock Outflow'!$E$2:$E$601,'Stock Outflow'!$A$2:$A$601,$A120,'Stock Outflow'!$D$2:$D$601,$D120)</f>
        <v>5</v>
      </c>
      <c r="J120" s="19">
        <f t="shared" si="6"/>
        <v>582</v>
      </c>
      <c r="K120" s="20">
        <f>INDEX('Item Master'!$F$2:$F$51,MATCH($A120,'Item Master'!$A$2:$A$51,0))</f>
        <v>200</v>
      </c>
      <c r="L120" s="20">
        <f t="shared" si="7"/>
        <v>44400</v>
      </c>
      <c r="M120" s="21">
        <f t="shared" si="8"/>
        <v>7.4</v>
      </c>
      <c r="N120" s="19">
        <f>INDEX('Item Master'!$E$2:$E$51,MATCH($A120,'Item Master'!$A$2:$A$51,0))</f>
        <v>7</v>
      </c>
      <c r="O120" s="22">
        <f>INDEX('Product Summary'!$L$2:$L$51,MATCH($A120,'Product Summary'!$A$2:$A$51,0))</f>
        <v>18.880555555555553</v>
      </c>
      <c r="P120" s="22">
        <f>INDEX('Product Summary'!$M$2:$M$51,MATCH($A120,'Product Summary'!$A$2:$A$51,0))</f>
        <v>62.625761035007606</v>
      </c>
      <c r="Q120" s="22">
        <f t="shared" si="9"/>
        <v>78.648648648648646</v>
      </c>
      <c r="R120" s="22">
        <f t="shared" si="10"/>
        <v>70.185707968242212</v>
      </c>
      <c r="S120" s="19" t="str">
        <f t="shared" si="11"/>
        <v>HEALTHY</v>
      </c>
    </row>
    <row r="121" spans="1:19" x14ac:dyDescent="0.3">
      <c r="A121" s="19" t="s">
        <v>89</v>
      </c>
      <c r="B121" s="19" t="s">
        <v>90</v>
      </c>
      <c r="C121" s="19" t="s">
        <v>32</v>
      </c>
      <c r="D121" s="19" t="s">
        <v>49</v>
      </c>
      <c r="E121" s="19">
        <f>SUMIFS('Stock Inflow'!$G$2:$G$601,'Stock Inflow'!$A$2:$A$601,$A121,'Stock Inflow'!$D$2:$D$601,$D121)</f>
        <v>582</v>
      </c>
      <c r="F121" s="19">
        <f>SUMIFS('Stock Inflow'!$F$2:$F$601,'Stock Inflow'!$A$2:$A$601,$A121,'Stock Inflow'!$D$2:$D$601,$D121)</f>
        <v>223</v>
      </c>
      <c r="G121" s="19">
        <f>SUMIFS('Stock Inflow'!$E$2:$E$601,'Stock Inflow'!$A$2:$A$601,$A121,'Stock Inflow'!$D$2:$D$601,$D121)</f>
        <v>6</v>
      </c>
      <c r="H121" s="19">
        <f>SUMIFS('Stock Outflow'!$F$2:$F$601,'Stock Outflow'!$A$2:$A$601,$A121,'Stock Outflow'!$D$2:$D$601,$D121)</f>
        <v>196</v>
      </c>
      <c r="I121" s="19">
        <f>SUMIFS('Stock Outflow'!$E$2:$E$601,'Stock Outflow'!$A$2:$A$601,$A121,'Stock Outflow'!$D$2:$D$601,$D121)</f>
        <v>1</v>
      </c>
      <c r="J121" s="19">
        <f t="shared" si="6"/>
        <v>614</v>
      </c>
      <c r="K121" s="20">
        <f>INDEX('Item Master'!$F$2:$F$51,MATCH($A121,'Item Master'!$A$2:$A$51,0))</f>
        <v>200</v>
      </c>
      <c r="L121" s="20">
        <f t="shared" si="7"/>
        <v>39200</v>
      </c>
      <c r="M121" s="21">
        <f t="shared" si="8"/>
        <v>6.5333333333333332</v>
      </c>
      <c r="N121" s="19">
        <f>INDEX('Item Master'!$E$2:$E$51,MATCH($A121,'Item Master'!$A$2:$A$51,0))</f>
        <v>7</v>
      </c>
      <c r="O121" s="22">
        <f>INDEX('Product Summary'!$L$2:$L$51,MATCH($A121,'Product Summary'!$A$2:$A$51,0))</f>
        <v>18.880555555555553</v>
      </c>
      <c r="P121" s="22">
        <f>INDEX('Product Summary'!$M$2:$M$51,MATCH($A121,'Product Summary'!$A$2:$A$51,0))</f>
        <v>62.625761035007606</v>
      </c>
      <c r="Q121" s="22">
        <f t="shared" si="9"/>
        <v>93.979591836734699</v>
      </c>
      <c r="R121" s="22">
        <f t="shared" si="10"/>
        <v>84.394016168111079</v>
      </c>
      <c r="S121" s="19" t="str">
        <f t="shared" si="11"/>
        <v>HEALTHY</v>
      </c>
    </row>
    <row r="122" spans="1:19" x14ac:dyDescent="0.3">
      <c r="A122" s="19" t="s">
        <v>91</v>
      </c>
      <c r="B122" s="19" t="s">
        <v>92</v>
      </c>
      <c r="C122" s="19" t="s">
        <v>36</v>
      </c>
      <c r="D122" s="19" t="s">
        <v>27</v>
      </c>
      <c r="E122" s="19">
        <f>SUMIFS('Stock Inflow'!$G$2:$G$601,'Stock Inflow'!$A$2:$A$601,$A122,'Stock Inflow'!$D$2:$D$601,$D122)</f>
        <v>316</v>
      </c>
      <c r="F122" s="19">
        <f>SUMIFS('Stock Inflow'!$F$2:$F$601,'Stock Inflow'!$A$2:$A$601,$A122,'Stock Inflow'!$D$2:$D$601,$D122)</f>
        <v>61</v>
      </c>
      <c r="G122" s="19">
        <f>SUMIFS('Stock Inflow'!$E$2:$E$601,'Stock Inflow'!$A$2:$A$601,$A122,'Stock Inflow'!$D$2:$D$601,$D122)</f>
        <v>1</v>
      </c>
      <c r="H122" s="19">
        <f>SUMIFS('Stock Outflow'!$F$2:$F$601,'Stock Outflow'!$A$2:$A$601,$A122,'Stock Outflow'!$D$2:$D$601,$D122)</f>
        <v>61</v>
      </c>
      <c r="I122" s="19">
        <f>SUMIFS('Stock Outflow'!$E$2:$E$601,'Stock Outflow'!$A$2:$A$601,$A122,'Stock Outflow'!$D$2:$D$601,$D122)</f>
        <v>1</v>
      </c>
      <c r="J122" s="19">
        <f t="shared" si="6"/>
        <v>316</v>
      </c>
      <c r="K122" s="20">
        <f>INDEX('Item Master'!$F$2:$F$51,MATCH($A122,'Item Master'!$A$2:$A$51,0))</f>
        <v>400</v>
      </c>
      <c r="L122" s="20">
        <f t="shared" si="7"/>
        <v>24400</v>
      </c>
      <c r="M122" s="21">
        <f t="shared" si="8"/>
        <v>2.0333333333333332</v>
      </c>
      <c r="N122" s="19">
        <f>INDEX('Item Master'!$E$2:$E$51,MATCH($A122,'Item Master'!$A$2:$A$51,0))</f>
        <v>10</v>
      </c>
      <c r="O122" s="22">
        <f>INDEX('Product Summary'!$L$2:$L$51,MATCH($A122,'Product Summary'!$A$2:$A$51,0))</f>
        <v>16.333333333333332</v>
      </c>
      <c r="P122" s="22">
        <f>INDEX('Product Summary'!$M$2:$M$51,MATCH($A122,'Product Summary'!$A$2:$A$51,0))</f>
        <v>40.004566210045667</v>
      </c>
      <c r="Q122" s="22">
        <f t="shared" si="9"/>
        <v>155.40983606557378</v>
      </c>
      <c r="R122" s="22">
        <f t="shared" si="10"/>
        <v>135.73545924096115</v>
      </c>
      <c r="S122" s="19" t="str">
        <f t="shared" si="11"/>
        <v>OVERSTOCK</v>
      </c>
    </row>
    <row r="123" spans="1:19" x14ac:dyDescent="0.3">
      <c r="A123" s="19" t="s">
        <v>91</v>
      </c>
      <c r="B123" s="19" t="s">
        <v>92</v>
      </c>
      <c r="C123" s="19" t="s">
        <v>36</v>
      </c>
      <c r="D123" s="19" t="s">
        <v>29</v>
      </c>
      <c r="E123" s="19">
        <f>SUMIFS('Stock Inflow'!$G$2:$G$601,'Stock Inflow'!$A$2:$A$601,$A123,'Stock Inflow'!$D$2:$D$601,$D123)</f>
        <v>316</v>
      </c>
      <c r="F123" s="19">
        <f>SUMIFS('Stock Inflow'!$F$2:$F$601,'Stock Inflow'!$A$2:$A$601,$A123,'Stock Inflow'!$D$2:$D$601,$D123)</f>
        <v>80</v>
      </c>
      <c r="G123" s="19">
        <f>SUMIFS('Stock Inflow'!$E$2:$E$601,'Stock Inflow'!$A$2:$A$601,$A123,'Stock Inflow'!$D$2:$D$601,$D123)</f>
        <v>1</v>
      </c>
      <c r="H123" s="19">
        <f>SUMIFS('Stock Outflow'!$F$2:$F$601,'Stock Outflow'!$A$2:$A$601,$A123,'Stock Outflow'!$D$2:$D$601,$D123)</f>
        <v>64</v>
      </c>
      <c r="I123" s="19">
        <f>SUMIFS('Stock Outflow'!$E$2:$E$601,'Stock Outflow'!$A$2:$A$601,$A123,'Stock Outflow'!$D$2:$D$601,$D123)</f>
        <v>2</v>
      </c>
      <c r="J123" s="19">
        <f t="shared" si="6"/>
        <v>331</v>
      </c>
      <c r="K123" s="20">
        <f>INDEX('Item Master'!$F$2:$F$51,MATCH($A123,'Item Master'!$A$2:$A$51,0))</f>
        <v>400</v>
      </c>
      <c r="L123" s="20">
        <f t="shared" si="7"/>
        <v>25600</v>
      </c>
      <c r="M123" s="21">
        <f t="shared" si="8"/>
        <v>2.1333333333333333</v>
      </c>
      <c r="N123" s="19">
        <f>INDEX('Item Master'!$E$2:$E$51,MATCH($A123,'Item Master'!$A$2:$A$51,0))</f>
        <v>10</v>
      </c>
      <c r="O123" s="22">
        <f>INDEX('Product Summary'!$L$2:$L$51,MATCH($A123,'Product Summary'!$A$2:$A$51,0))</f>
        <v>16.333333333333332</v>
      </c>
      <c r="P123" s="22">
        <f>INDEX('Product Summary'!$M$2:$M$51,MATCH($A123,'Product Summary'!$A$2:$A$51,0))</f>
        <v>40.004566210045667</v>
      </c>
      <c r="Q123" s="22">
        <f t="shared" si="9"/>
        <v>155.15625</v>
      </c>
      <c r="R123" s="22">
        <f t="shared" si="10"/>
        <v>136.4041095890411</v>
      </c>
      <c r="S123" s="19" t="str">
        <f t="shared" si="11"/>
        <v>OVERSTOCK</v>
      </c>
    </row>
    <row r="124" spans="1:19" x14ac:dyDescent="0.3">
      <c r="A124" s="19" t="s">
        <v>91</v>
      </c>
      <c r="B124" s="19" t="s">
        <v>92</v>
      </c>
      <c r="C124" s="19" t="s">
        <v>36</v>
      </c>
      <c r="D124" s="19" t="s">
        <v>31</v>
      </c>
      <c r="E124" s="19">
        <f>SUMIFS('Stock Inflow'!$G$2:$G$601,'Stock Inflow'!$A$2:$A$601,$A124,'Stock Inflow'!$D$2:$D$601,$D124)</f>
        <v>331</v>
      </c>
      <c r="F124" s="19">
        <f>SUMIFS('Stock Inflow'!$F$2:$F$601,'Stock Inflow'!$A$2:$A$601,$A124,'Stock Inflow'!$D$2:$D$601,$D124)</f>
        <v>80</v>
      </c>
      <c r="G124" s="19">
        <f>SUMIFS('Stock Inflow'!$E$2:$E$601,'Stock Inflow'!$A$2:$A$601,$A124,'Stock Inflow'!$D$2:$D$601,$D124)</f>
        <v>2</v>
      </c>
      <c r="H124" s="19">
        <f>SUMIFS('Stock Outflow'!$F$2:$F$601,'Stock Outflow'!$A$2:$A$601,$A124,'Stock Outflow'!$D$2:$D$601,$D124)</f>
        <v>65</v>
      </c>
      <c r="I124" s="19">
        <f>SUMIFS('Stock Outflow'!$E$2:$E$601,'Stock Outflow'!$A$2:$A$601,$A124,'Stock Outflow'!$D$2:$D$601,$D124)</f>
        <v>2</v>
      </c>
      <c r="J124" s="19">
        <f t="shared" si="6"/>
        <v>346</v>
      </c>
      <c r="K124" s="20">
        <f>INDEX('Item Master'!$F$2:$F$51,MATCH($A124,'Item Master'!$A$2:$A$51,0))</f>
        <v>400</v>
      </c>
      <c r="L124" s="20">
        <f t="shared" si="7"/>
        <v>26000</v>
      </c>
      <c r="M124" s="21">
        <f t="shared" si="8"/>
        <v>2.1666666666666665</v>
      </c>
      <c r="N124" s="19">
        <f>INDEX('Item Master'!$E$2:$E$51,MATCH($A124,'Item Master'!$A$2:$A$51,0))</f>
        <v>10</v>
      </c>
      <c r="O124" s="22">
        <f>INDEX('Product Summary'!$L$2:$L$51,MATCH($A124,'Product Summary'!$A$2:$A$51,0))</f>
        <v>16.333333333333332</v>
      </c>
      <c r="P124" s="22">
        <f>INDEX('Product Summary'!$M$2:$M$51,MATCH($A124,'Product Summary'!$A$2:$A$51,0))</f>
        <v>40.004566210045667</v>
      </c>
      <c r="Q124" s="22">
        <f t="shared" si="9"/>
        <v>159.69230769230771</v>
      </c>
      <c r="R124" s="22">
        <f t="shared" si="10"/>
        <v>141.22866174920972</v>
      </c>
      <c r="S124" s="19" t="str">
        <f t="shared" si="11"/>
        <v>OVERSTOCK</v>
      </c>
    </row>
    <row r="125" spans="1:19" x14ac:dyDescent="0.3">
      <c r="A125" s="19" t="s">
        <v>91</v>
      </c>
      <c r="B125" s="19" t="s">
        <v>92</v>
      </c>
      <c r="C125" s="19" t="s">
        <v>36</v>
      </c>
      <c r="D125" s="19" t="s">
        <v>33</v>
      </c>
      <c r="E125" s="19">
        <f>SUMIFS('Stock Inflow'!$G$2:$G$601,'Stock Inflow'!$A$2:$A$601,$A125,'Stock Inflow'!$D$2:$D$601,$D125)</f>
        <v>346</v>
      </c>
      <c r="F125" s="19">
        <f>SUMIFS('Stock Inflow'!$F$2:$F$601,'Stock Inflow'!$A$2:$A$601,$A125,'Stock Inflow'!$D$2:$D$601,$D125)</f>
        <v>74</v>
      </c>
      <c r="G125" s="19">
        <f>SUMIFS('Stock Inflow'!$E$2:$E$601,'Stock Inflow'!$A$2:$A$601,$A125,'Stock Inflow'!$D$2:$D$601,$D125)</f>
        <v>1</v>
      </c>
      <c r="H125" s="19">
        <f>SUMIFS('Stock Outflow'!$F$2:$F$601,'Stock Outflow'!$A$2:$A$601,$A125,'Stock Outflow'!$D$2:$D$601,$D125)</f>
        <v>58</v>
      </c>
      <c r="I125" s="19">
        <f>SUMIFS('Stock Outflow'!$E$2:$E$601,'Stock Outflow'!$A$2:$A$601,$A125,'Stock Outflow'!$D$2:$D$601,$D125)</f>
        <v>0</v>
      </c>
      <c r="J125" s="19">
        <f t="shared" si="6"/>
        <v>363</v>
      </c>
      <c r="K125" s="20">
        <f>INDEX('Item Master'!$F$2:$F$51,MATCH($A125,'Item Master'!$A$2:$A$51,0))</f>
        <v>400</v>
      </c>
      <c r="L125" s="20">
        <f t="shared" si="7"/>
        <v>23200</v>
      </c>
      <c r="M125" s="21">
        <f t="shared" si="8"/>
        <v>1.9333333333333333</v>
      </c>
      <c r="N125" s="19">
        <f>INDEX('Item Master'!$E$2:$E$51,MATCH($A125,'Item Master'!$A$2:$A$51,0))</f>
        <v>10</v>
      </c>
      <c r="O125" s="22">
        <f>INDEX('Product Summary'!$L$2:$L$51,MATCH($A125,'Product Summary'!$A$2:$A$51,0))</f>
        <v>16.333333333333332</v>
      </c>
      <c r="P125" s="22">
        <f>INDEX('Product Summary'!$M$2:$M$51,MATCH($A125,'Product Summary'!$A$2:$A$51,0))</f>
        <v>40.004566210045667</v>
      </c>
      <c r="Q125" s="22">
        <f t="shared" si="9"/>
        <v>187.75862068965517</v>
      </c>
      <c r="R125" s="22">
        <f t="shared" si="10"/>
        <v>167.06660368445915</v>
      </c>
      <c r="S125" s="19" t="str">
        <f t="shared" si="11"/>
        <v>OVERSTOCK</v>
      </c>
    </row>
    <row r="126" spans="1:19" x14ac:dyDescent="0.3">
      <c r="A126" s="19" t="s">
        <v>91</v>
      </c>
      <c r="B126" s="19" t="s">
        <v>92</v>
      </c>
      <c r="C126" s="19" t="s">
        <v>36</v>
      </c>
      <c r="D126" s="19" t="s">
        <v>35</v>
      </c>
      <c r="E126" s="19">
        <f>SUMIFS('Stock Inflow'!$G$2:$G$601,'Stock Inflow'!$A$2:$A$601,$A126,'Stock Inflow'!$D$2:$D$601,$D126)</f>
        <v>363</v>
      </c>
      <c r="F126" s="19">
        <f>SUMIFS('Stock Inflow'!$F$2:$F$601,'Stock Inflow'!$A$2:$A$601,$A126,'Stock Inflow'!$D$2:$D$601,$D126)</f>
        <v>70</v>
      </c>
      <c r="G126" s="19">
        <f>SUMIFS('Stock Inflow'!$E$2:$E$601,'Stock Inflow'!$A$2:$A$601,$A126,'Stock Inflow'!$D$2:$D$601,$D126)</f>
        <v>1</v>
      </c>
      <c r="H126" s="19">
        <f>SUMIFS('Stock Outflow'!$F$2:$F$601,'Stock Outflow'!$A$2:$A$601,$A126,'Stock Outflow'!$D$2:$D$601,$D126)</f>
        <v>76</v>
      </c>
      <c r="I126" s="19">
        <f>SUMIFS('Stock Outflow'!$E$2:$E$601,'Stock Outflow'!$A$2:$A$601,$A126,'Stock Outflow'!$D$2:$D$601,$D126)</f>
        <v>1</v>
      </c>
      <c r="J126" s="19">
        <f t="shared" si="6"/>
        <v>357</v>
      </c>
      <c r="K126" s="20">
        <f>INDEX('Item Master'!$F$2:$F$51,MATCH($A126,'Item Master'!$A$2:$A$51,0))</f>
        <v>400</v>
      </c>
      <c r="L126" s="20">
        <f t="shared" si="7"/>
        <v>30400</v>
      </c>
      <c r="M126" s="21">
        <f t="shared" si="8"/>
        <v>2.5333333333333332</v>
      </c>
      <c r="N126" s="19">
        <f>INDEX('Item Master'!$E$2:$E$51,MATCH($A126,'Item Master'!$A$2:$A$51,0))</f>
        <v>10</v>
      </c>
      <c r="O126" s="22">
        <f>INDEX('Product Summary'!$L$2:$L$51,MATCH($A126,'Product Summary'!$A$2:$A$51,0))</f>
        <v>16.333333333333332</v>
      </c>
      <c r="P126" s="22">
        <f>INDEX('Product Summary'!$M$2:$M$51,MATCH($A126,'Product Summary'!$A$2:$A$51,0))</f>
        <v>40.004566210045667</v>
      </c>
      <c r="Q126" s="22">
        <f t="shared" si="9"/>
        <v>140.92105263157896</v>
      </c>
      <c r="R126" s="22">
        <f t="shared" si="10"/>
        <v>125.12977649603462</v>
      </c>
      <c r="S126" s="19" t="str">
        <f t="shared" si="11"/>
        <v>HEALTHY</v>
      </c>
    </row>
    <row r="127" spans="1:19" x14ac:dyDescent="0.3">
      <c r="A127" s="19" t="s">
        <v>91</v>
      </c>
      <c r="B127" s="19" t="s">
        <v>92</v>
      </c>
      <c r="C127" s="19" t="s">
        <v>36</v>
      </c>
      <c r="D127" s="19" t="s">
        <v>37</v>
      </c>
      <c r="E127" s="19">
        <f>SUMIFS('Stock Inflow'!$G$2:$G$601,'Stock Inflow'!$A$2:$A$601,$A127,'Stock Inflow'!$D$2:$D$601,$D127)</f>
        <v>357</v>
      </c>
      <c r="F127" s="19">
        <f>SUMIFS('Stock Inflow'!$F$2:$F$601,'Stock Inflow'!$A$2:$A$601,$A127,'Stock Inflow'!$D$2:$D$601,$D127)</f>
        <v>85</v>
      </c>
      <c r="G127" s="19">
        <f>SUMIFS('Stock Inflow'!$E$2:$E$601,'Stock Inflow'!$A$2:$A$601,$A127,'Stock Inflow'!$D$2:$D$601,$D127)</f>
        <v>1</v>
      </c>
      <c r="H127" s="19">
        <f>SUMIFS('Stock Outflow'!$F$2:$F$601,'Stock Outflow'!$A$2:$A$601,$A127,'Stock Outflow'!$D$2:$D$601,$D127)</f>
        <v>74</v>
      </c>
      <c r="I127" s="19">
        <f>SUMIFS('Stock Outflow'!$E$2:$E$601,'Stock Outflow'!$A$2:$A$601,$A127,'Stock Outflow'!$D$2:$D$601,$D127)</f>
        <v>1</v>
      </c>
      <c r="J127" s="19">
        <f t="shared" si="6"/>
        <v>368</v>
      </c>
      <c r="K127" s="20">
        <f>INDEX('Item Master'!$F$2:$F$51,MATCH($A127,'Item Master'!$A$2:$A$51,0))</f>
        <v>400</v>
      </c>
      <c r="L127" s="20">
        <f t="shared" si="7"/>
        <v>29600</v>
      </c>
      <c r="M127" s="21">
        <f t="shared" si="8"/>
        <v>2.4666666666666668</v>
      </c>
      <c r="N127" s="19">
        <f>INDEX('Item Master'!$E$2:$E$51,MATCH($A127,'Item Master'!$A$2:$A$51,0))</f>
        <v>10</v>
      </c>
      <c r="O127" s="22">
        <f>INDEX('Product Summary'!$L$2:$L$51,MATCH($A127,'Product Summary'!$A$2:$A$51,0))</f>
        <v>16.333333333333332</v>
      </c>
      <c r="P127" s="22">
        <f>INDEX('Product Summary'!$M$2:$M$51,MATCH($A127,'Product Summary'!$A$2:$A$51,0))</f>
        <v>40.004566210045667</v>
      </c>
      <c r="Q127" s="22">
        <f t="shared" si="9"/>
        <v>149.18918918918919</v>
      </c>
      <c r="R127" s="22">
        <f t="shared" si="10"/>
        <v>132.97112180673824</v>
      </c>
      <c r="S127" s="19" t="str">
        <f t="shared" si="11"/>
        <v>HEALTHY</v>
      </c>
    </row>
    <row r="128" spans="1:19" x14ac:dyDescent="0.3">
      <c r="A128" s="19" t="s">
        <v>91</v>
      </c>
      <c r="B128" s="19" t="s">
        <v>92</v>
      </c>
      <c r="C128" s="19" t="s">
        <v>36</v>
      </c>
      <c r="D128" s="19" t="s">
        <v>39</v>
      </c>
      <c r="E128" s="19">
        <f>SUMIFS('Stock Inflow'!$G$2:$G$601,'Stock Inflow'!$A$2:$A$601,$A128,'Stock Inflow'!$D$2:$D$601,$D128)</f>
        <v>368</v>
      </c>
      <c r="F128" s="19">
        <f>SUMIFS('Stock Inflow'!$F$2:$F$601,'Stock Inflow'!$A$2:$A$601,$A128,'Stock Inflow'!$D$2:$D$601,$D128)</f>
        <v>75</v>
      </c>
      <c r="G128" s="19">
        <f>SUMIFS('Stock Inflow'!$E$2:$E$601,'Stock Inflow'!$A$2:$A$601,$A128,'Stock Inflow'!$D$2:$D$601,$D128)</f>
        <v>1</v>
      </c>
      <c r="H128" s="19">
        <f>SUMIFS('Stock Outflow'!$F$2:$F$601,'Stock Outflow'!$A$2:$A$601,$A128,'Stock Outflow'!$D$2:$D$601,$D128)</f>
        <v>59</v>
      </c>
      <c r="I128" s="19">
        <f>SUMIFS('Stock Outflow'!$E$2:$E$601,'Stock Outflow'!$A$2:$A$601,$A128,'Stock Outflow'!$D$2:$D$601,$D128)</f>
        <v>1</v>
      </c>
      <c r="J128" s="19">
        <f t="shared" si="6"/>
        <v>384</v>
      </c>
      <c r="K128" s="20">
        <f>INDEX('Item Master'!$F$2:$F$51,MATCH($A128,'Item Master'!$A$2:$A$51,0))</f>
        <v>400</v>
      </c>
      <c r="L128" s="20">
        <f t="shared" si="7"/>
        <v>23600</v>
      </c>
      <c r="M128" s="21">
        <f t="shared" si="8"/>
        <v>1.9666666666666666</v>
      </c>
      <c r="N128" s="19">
        <f>INDEX('Item Master'!$E$2:$E$51,MATCH($A128,'Item Master'!$A$2:$A$51,0))</f>
        <v>10</v>
      </c>
      <c r="O128" s="22">
        <f>INDEX('Product Summary'!$L$2:$L$51,MATCH($A128,'Product Summary'!$A$2:$A$51,0))</f>
        <v>16.333333333333332</v>
      </c>
      <c r="P128" s="22">
        <f>INDEX('Product Summary'!$M$2:$M$51,MATCH($A128,'Product Summary'!$A$2:$A$51,0))</f>
        <v>40.004566210045667</v>
      </c>
      <c r="Q128" s="22">
        <f t="shared" si="9"/>
        <v>195.25423728813561</v>
      </c>
      <c r="R128" s="22">
        <f t="shared" si="10"/>
        <v>174.91293243557001</v>
      </c>
      <c r="S128" s="19" t="str">
        <f t="shared" si="11"/>
        <v>OVERSTOCK</v>
      </c>
    </row>
    <row r="129" spans="1:19" x14ac:dyDescent="0.3">
      <c r="A129" s="19" t="s">
        <v>91</v>
      </c>
      <c r="B129" s="19" t="s">
        <v>92</v>
      </c>
      <c r="C129" s="19" t="s">
        <v>36</v>
      </c>
      <c r="D129" s="19" t="s">
        <v>41</v>
      </c>
      <c r="E129" s="19">
        <f>SUMIFS('Stock Inflow'!$G$2:$G$601,'Stock Inflow'!$A$2:$A$601,$A129,'Stock Inflow'!$D$2:$D$601,$D129)</f>
        <v>384</v>
      </c>
      <c r="F129" s="19">
        <f>SUMIFS('Stock Inflow'!$F$2:$F$601,'Stock Inflow'!$A$2:$A$601,$A129,'Stock Inflow'!$D$2:$D$601,$D129)</f>
        <v>73</v>
      </c>
      <c r="G129" s="19">
        <f>SUMIFS('Stock Inflow'!$E$2:$E$601,'Stock Inflow'!$A$2:$A$601,$A129,'Stock Inflow'!$D$2:$D$601,$D129)</f>
        <v>2</v>
      </c>
      <c r="H129" s="19">
        <f>SUMIFS('Stock Outflow'!$F$2:$F$601,'Stock Outflow'!$A$2:$A$601,$A129,'Stock Outflow'!$D$2:$D$601,$D129)</f>
        <v>64</v>
      </c>
      <c r="I129" s="19">
        <f>SUMIFS('Stock Outflow'!$E$2:$E$601,'Stock Outflow'!$A$2:$A$601,$A129,'Stock Outflow'!$D$2:$D$601,$D129)</f>
        <v>2</v>
      </c>
      <c r="J129" s="19">
        <f t="shared" si="6"/>
        <v>393</v>
      </c>
      <c r="K129" s="20">
        <f>INDEX('Item Master'!$F$2:$F$51,MATCH($A129,'Item Master'!$A$2:$A$51,0))</f>
        <v>400</v>
      </c>
      <c r="L129" s="20">
        <f t="shared" si="7"/>
        <v>25600</v>
      </c>
      <c r="M129" s="21">
        <f t="shared" si="8"/>
        <v>2.1333333333333333</v>
      </c>
      <c r="N129" s="19">
        <f>INDEX('Item Master'!$E$2:$E$51,MATCH($A129,'Item Master'!$A$2:$A$51,0))</f>
        <v>10</v>
      </c>
      <c r="O129" s="22">
        <f>INDEX('Product Summary'!$L$2:$L$51,MATCH($A129,'Product Summary'!$A$2:$A$51,0))</f>
        <v>16.333333333333332</v>
      </c>
      <c r="P129" s="22">
        <f>INDEX('Product Summary'!$M$2:$M$51,MATCH($A129,'Product Summary'!$A$2:$A$51,0))</f>
        <v>40.004566210045667</v>
      </c>
      <c r="Q129" s="22">
        <f t="shared" si="9"/>
        <v>184.21875</v>
      </c>
      <c r="R129" s="22">
        <f t="shared" si="10"/>
        <v>165.4666095890411</v>
      </c>
      <c r="S129" s="19" t="str">
        <f t="shared" si="11"/>
        <v>OVERSTOCK</v>
      </c>
    </row>
    <row r="130" spans="1:19" x14ac:dyDescent="0.3">
      <c r="A130" s="19" t="s">
        <v>91</v>
      </c>
      <c r="B130" s="19" t="s">
        <v>92</v>
      </c>
      <c r="C130" s="19" t="s">
        <v>36</v>
      </c>
      <c r="D130" s="19" t="s">
        <v>43</v>
      </c>
      <c r="E130" s="19">
        <f>SUMIFS('Stock Inflow'!$G$2:$G$601,'Stock Inflow'!$A$2:$A$601,$A130,'Stock Inflow'!$D$2:$D$601,$D130)</f>
        <v>393</v>
      </c>
      <c r="F130" s="19">
        <f>SUMIFS('Stock Inflow'!$F$2:$F$601,'Stock Inflow'!$A$2:$A$601,$A130,'Stock Inflow'!$D$2:$D$601,$D130)</f>
        <v>70</v>
      </c>
      <c r="G130" s="19">
        <f>SUMIFS('Stock Inflow'!$E$2:$E$601,'Stock Inflow'!$A$2:$A$601,$A130,'Stock Inflow'!$D$2:$D$601,$D130)</f>
        <v>1</v>
      </c>
      <c r="H130" s="19">
        <f>SUMIFS('Stock Outflow'!$F$2:$F$601,'Stock Outflow'!$A$2:$A$601,$A130,'Stock Outflow'!$D$2:$D$601,$D130)</f>
        <v>73</v>
      </c>
      <c r="I130" s="19">
        <f>SUMIFS('Stock Outflow'!$E$2:$E$601,'Stock Outflow'!$A$2:$A$601,$A130,'Stock Outflow'!$D$2:$D$601,$D130)</f>
        <v>1</v>
      </c>
      <c r="J130" s="19">
        <f t="shared" ref="J130:J193" si="12">E130+F130+G130-H130-I130</f>
        <v>390</v>
      </c>
      <c r="K130" s="20">
        <f>INDEX('Item Master'!$F$2:$F$51,MATCH($A130,'Item Master'!$A$2:$A$51,0))</f>
        <v>400</v>
      </c>
      <c r="L130" s="20">
        <f t="shared" ref="L130:L193" si="13">H130*K130</f>
        <v>29200</v>
      </c>
      <c r="M130" s="21">
        <f t="shared" ref="M130:M193" si="14">H130/30</f>
        <v>2.4333333333333331</v>
      </c>
      <c r="N130" s="19">
        <f>INDEX('Item Master'!$E$2:$E$51,MATCH($A130,'Item Master'!$A$2:$A$51,0))</f>
        <v>10</v>
      </c>
      <c r="O130" s="22">
        <f>INDEX('Product Summary'!$L$2:$L$51,MATCH($A130,'Product Summary'!$A$2:$A$51,0))</f>
        <v>16.333333333333332</v>
      </c>
      <c r="P130" s="22">
        <f>INDEX('Product Summary'!$M$2:$M$51,MATCH($A130,'Product Summary'!$A$2:$A$51,0))</f>
        <v>40.004566210045667</v>
      </c>
      <c r="Q130" s="22">
        <f t="shared" ref="Q130:Q193" si="15">IF(M130=0,"",J130/M130)</f>
        <v>160.27397260273975</v>
      </c>
      <c r="R130" s="22">
        <f t="shared" ref="R130:R193" si="16">IF(M130=0,"",IF(J130&lt;=P130,0,(J130-P130)/M130))</f>
        <v>143.83373991367989</v>
      </c>
      <c r="S130" s="19" t="str">
        <f t="shared" ref="S130:S193" si="17">IF(J130&lt;=P130,"REORDER NOW",IF(IFERROR(Q130,0)&gt;150,"OVERSTOCK","HEALTHY"))</f>
        <v>OVERSTOCK</v>
      </c>
    </row>
    <row r="131" spans="1:19" x14ac:dyDescent="0.3">
      <c r="A131" s="19" t="s">
        <v>91</v>
      </c>
      <c r="B131" s="19" t="s">
        <v>92</v>
      </c>
      <c r="C131" s="19" t="s">
        <v>36</v>
      </c>
      <c r="D131" s="19" t="s">
        <v>45</v>
      </c>
      <c r="E131" s="19">
        <f>SUMIFS('Stock Inflow'!$G$2:$G$601,'Stock Inflow'!$A$2:$A$601,$A131,'Stock Inflow'!$D$2:$D$601,$D131)</f>
        <v>390</v>
      </c>
      <c r="F131" s="19">
        <f>SUMIFS('Stock Inflow'!$F$2:$F$601,'Stock Inflow'!$A$2:$A$601,$A131,'Stock Inflow'!$D$2:$D$601,$D131)</f>
        <v>137</v>
      </c>
      <c r="G131" s="19">
        <f>SUMIFS('Stock Inflow'!$E$2:$E$601,'Stock Inflow'!$A$2:$A$601,$A131,'Stock Inflow'!$D$2:$D$601,$D131)</f>
        <v>5</v>
      </c>
      <c r="H131" s="19">
        <f>SUMIFS('Stock Outflow'!$F$2:$F$601,'Stock Outflow'!$A$2:$A$601,$A131,'Stock Outflow'!$D$2:$D$601,$D131)</f>
        <v>121</v>
      </c>
      <c r="I131" s="19">
        <f>SUMIFS('Stock Outflow'!$E$2:$E$601,'Stock Outflow'!$A$2:$A$601,$A131,'Stock Outflow'!$D$2:$D$601,$D131)</f>
        <v>2</v>
      </c>
      <c r="J131" s="19">
        <f t="shared" si="12"/>
        <v>409</v>
      </c>
      <c r="K131" s="20">
        <f>INDEX('Item Master'!$F$2:$F$51,MATCH($A131,'Item Master'!$A$2:$A$51,0))</f>
        <v>400</v>
      </c>
      <c r="L131" s="20">
        <f t="shared" si="13"/>
        <v>48400</v>
      </c>
      <c r="M131" s="21">
        <f t="shared" si="14"/>
        <v>4.0333333333333332</v>
      </c>
      <c r="N131" s="19">
        <f>INDEX('Item Master'!$E$2:$E$51,MATCH($A131,'Item Master'!$A$2:$A$51,0))</f>
        <v>10</v>
      </c>
      <c r="O131" s="22">
        <f>INDEX('Product Summary'!$L$2:$L$51,MATCH($A131,'Product Summary'!$A$2:$A$51,0))</f>
        <v>16.333333333333332</v>
      </c>
      <c r="P131" s="22">
        <f>INDEX('Product Summary'!$M$2:$M$51,MATCH($A131,'Product Summary'!$A$2:$A$51,0))</f>
        <v>40.004566210045667</v>
      </c>
      <c r="Q131" s="22">
        <f t="shared" si="15"/>
        <v>101.40495867768595</v>
      </c>
      <c r="R131" s="22">
        <f t="shared" si="16"/>
        <v>91.486471187591988</v>
      </c>
      <c r="S131" s="19" t="str">
        <f t="shared" si="17"/>
        <v>HEALTHY</v>
      </c>
    </row>
    <row r="132" spans="1:19" x14ac:dyDescent="0.3">
      <c r="A132" s="19" t="s">
        <v>91</v>
      </c>
      <c r="B132" s="19" t="s">
        <v>92</v>
      </c>
      <c r="C132" s="19" t="s">
        <v>36</v>
      </c>
      <c r="D132" s="19" t="s">
        <v>47</v>
      </c>
      <c r="E132" s="19">
        <f>SUMIFS('Stock Inflow'!$G$2:$G$601,'Stock Inflow'!$A$2:$A$601,$A132,'Stock Inflow'!$D$2:$D$601,$D132)</f>
        <v>409</v>
      </c>
      <c r="F132" s="19">
        <f>SUMIFS('Stock Inflow'!$F$2:$F$601,'Stock Inflow'!$A$2:$A$601,$A132,'Stock Inflow'!$D$2:$D$601,$D132)</f>
        <v>85</v>
      </c>
      <c r="G132" s="19">
        <f>SUMIFS('Stock Inflow'!$E$2:$E$601,'Stock Inflow'!$A$2:$A$601,$A132,'Stock Inflow'!$D$2:$D$601,$D132)</f>
        <v>2</v>
      </c>
      <c r="H132" s="19">
        <f>SUMIFS('Stock Outflow'!$F$2:$F$601,'Stock Outflow'!$A$2:$A$601,$A132,'Stock Outflow'!$D$2:$D$601,$D132)</f>
        <v>87</v>
      </c>
      <c r="I132" s="19">
        <f>SUMIFS('Stock Outflow'!$E$2:$E$601,'Stock Outflow'!$A$2:$A$601,$A132,'Stock Outflow'!$D$2:$D$601,$D132)</f>
        <v>2</v>
      </c>
      <c r="J132" s="19">
        <f t="shared" si="12"/>
        <v>407</v>
      </c>
      <c r="K132" s="20">
        <f>INDEX('Item Master'!$F$2:$F$51,MATCH($A132,'Item Master'!$A$2:$A$51,0))</f>
        <v>400</v>
      </c>
      <c r="L132" s="20">
        <f t="shared" si="13"/>
        <v>34800</v>
      </c>
      <c r="M132" s="21">
        <f t="shared" si="14"/>
        <v>2.9</v>
      </c>
      <c r="N132" s="19">
        <f>INDEX('Item Master'!$E$2:$E$51,MATCH($A132,'Item Master'!$A$2:$A$51,0))</f>
        <v>10</v>
      </c>
      <c r="O132" s="22">
        <f>INDEX('Product Summary'!$L$2:$L$51,MATCH($A132,'Product Summary'!$A$2:$A$51,0))</f>
        <v>16.333333333333332</v>
      </c>
      <c r="P132" s="22">
        <f>INDEX('Product Summary'!$M$2:$M$51,MATCH($A132,'Product Summary'!$A$2:$A$51,0))</f>
        <v>40.004566210045667</v>
      </c>
      <c r="Q132" s="22">
        <f t="shared" si="15"/>
        <v>140.34482758620689</v>
      </c>
      <c r="R132" s="22">
        <f t="shared" si="16"/>
        <v>126.55014958274288</v>
      </c>
      <c r="S132" s="19" t="str">
        <f t="shared" si="17"/>
        <v>HEALTHY</v>
      </c>
    </row>
    <row r="133" spans="1:19" x14ac:dyDescent="0.3">
      <c r="A133" s="19" t="s">
        <v>91</v>
      </c>
      <c r="B133" s="19" t="s">
        <v>92</v>
      </c>
      <c r="C133" s="19" t="s">
        <v>36</v>
      </c>
      <c r="D133" s="19" t="s">
        <v>49</v>
      </c>
      <c r="E133" s="19">
        <f>SUMIFS('Stock Inflow'!$G$2:$G$601,'Stock Inflow'!$A$2:$A$601,$A133,'Stock Inflow'!$D$2:$D$601,$D133)</f>
        <v>407</v>
      </c>
      <c r="F133" s="19">
        <f>SUMIFS('Stock Inflow'!$F$2:$F$601,'Stock Inflow'!$A$2:$A$601,$A133,'Stock Inflow'!$D$2:$D$601,$D133)</f>
        <v>73</v>
      </c>
      <c r="G133" s="19">
        <f>SUMIFS('Stock Inflow'!$E$2:$E$601,'Stock Inflow'!$A$2:$A$601,$A133,'Stock Inflow'!$D$2:$D$601,$D133)</f>
        <v>1</v>
      </c>
      <c r="H133" s="19">
        <f>SUMIFS('Stock Outflow'!$F$2:$F$601,'Stock Outflow'!$A$2:$A$601,$A133,'Stock Outflow'!$D$2:$D$601,$D133)</f>
        <v>62</v>
      </c>
      <c r="I133" s="19">
        <f>SUMIFS('Stock Outflow'!$E$2:$E$601,'Stock Outflow'!$A$2:$A$601,$A133,'Stock Outflow'!$D$2:$D$601,$D133)</f>
        <v>1</v>
      </c>
      <c r="J133" s="19">
        <f t="shared" si="12"/>
        <v>418</v>
      </c>
      <c r="K133" s="20">
        <f>INDEX('Item Master'!$F$2:$F$51,MATCH($A133,'Item Master'!$A$2:$A$51,0))</f>
        <v>400</v>
      </c>
      <c r="L133" s="20">
        <f t="shared" si="13"/>
        <v>24800</v>
      </c>
      <c r="M133" s="21">
        <f t="shared" si="14"/>
        <v>2.0666666666666669</v>
      </c>
      <c r="N133" s="19">
        <f>INDEX('Item Master'!$E$2:$E$51,MATCH($A133,'Item Master'!$A$2:$A$51,0))</f>
        <v>10</v>
      </c>
      <c r="O133" s="22">
        <f>INDEX('Product Summary'!$L$2:$L$51,MATCH($A133,'Product Summary'!$A$2:$A$51,0))</f>
        <v>16.333333333333332</v>
      </c>
      <c r="P133" s="22">
        <f>INDEX('Product Summary'!$M$2:$M$51,MATCH($A133,'Product Summary'!$A$2:$A$51,0))</f>
        <v>40.004566210045667</v>
      </c>
      <c r="Q133" s="22">
        <f t="shared" si="15"/>
        <v>202.25806451612902</v>
      </c>
      <c r="R133" s="22">
        <f t="shared" si="16"/>
        <v>182.90101634997788</v>
      </c>
      <c r="S133" s="19" t="str">
        <f t="shared" si="17"/>
        <v>OVERSTOCK</v>
      </c>
    </row>
    <row r="134" spans="1:19" x14ac:dyDescent="0.3">
      <c r="A134" s="19" t="s">
        <v>94</v>
      </c>
      <c r="B134" s="19" t="s">
        <v>95</v>
      </c>
      <c r="C134" s="19" t="s">
        <v>36</v>
      </c>
      <c r="D134" s="19" t="s">
        <v>27</v>
      </c>
      <c r="E134" s="19">
        <f>SUMIFS('Stock Inflow'!$G$2:$G$601,'Stock Inflow'!$A$2:$A$601,$A134,'Stock Inflow'!$D$2:$D$601,$D134)</f>
        <v>101</v>
      </c>
      <c r="F134" s="19">
        <f>SUMIFS('Stock Inflow'!$F$2:$F$601,'Stock Inflow'!$A$2:$A$601,$A134,'Stock Inflow'!$D$2:$D$601,$D134)</f>
        <v>124</v>
      </c>
      <c r="G134" s="19">
        <f>SUMIFS('Stock Inflow'!$E$2:$E$601,'Stock Inflow'!$A$2:$A$601,$A134,'Stock Inflow'!$D$2:$D$601,$D134)</f>
        <v>2</v>
      </c>
      <c r="H134" s="19">
        <f>SUMIFS('Stock Outflow'!$F$2:$F$601,'Stock Outflow'!$A$2:$A$601,$A134,'Stock Outflow'!$D$2:$D$601,$D134)</f>
        <v>116</v>
      </c>
      <c r="I134" s="19">
        <f>SUMIFS('Stock Outflow'!$E$2:$E$601,'Stock Outflow'!$A$2:$A$601,$A134,'Stock Outflow'!$D$2:$D$601,$D134)</f>
        <v>2</v>
      </c>
      <c r="J134" s="19">
        <f t="shared" si="12"/>
        <v>109</v>
      </c>
      <c r="K134" s="20">
        <f>INDEX('Item Master'!$F$2:$F$51,MATCH($A134,'Item Master'!$A$2:$A$51,0))</f>
        <v>1100</v>
      </c>
      <c r="L134" s="20">
        <f t="shared" si="13"/>
        <v>127600</v>
      </c>
      <c r="M134" s="21">
        <f t="shared" si="14"/>
        <v>3.8666666666666667</v>
      </c>
      <c r="N134" s="19">
        <f>INDEX('Item Master'!$E$2:$E$51,MATCH($A134,'Item Master'!$A$2:$A$51,0))</f>
        <v>5</v>
      </c>
      <c r="O134" s="22">
        <f>INDEX('Product Summary'!$L$2:$L$51,MATCH($A134,'Product Summary'!$A$2:$A$51,0))</f>
        <v>13.888888888888891</v>
      </c>
      <c r="P134" s="22">
        <f>INDEX('Product Summary'!$M$2:$M$51,MATCH($A134,'Product Summary'!$A$2:$A$51,0))</f>
        <v>35.861491628614921</v>
      </c>
      <c r="Q134" s="22">
        <f t="shared" si="15"/>
        <v>28.189655172413794</v>
      </c>
      <c r="R134" s="22">
        <f t="shared" si="16"/>
        <v>18.915131475358212</v>
      </c>
      <c r="S134" s="19" t="str">
        <f t="shared" si="17"/>
        <v>HEALTHY</v>
      </c>
    </row>
    <row r="135" spans="1:19" x14ac:dyDescent="0.3">
      <c r="A135" s="19" t="s">
        <v>94</v>
      </c>
      <c r="B135" s="19" t="s">
        <v>95</v>
      </c>
      <c r="C135" s="19" t="s">
        <v>36</v>
      </c>
      <c r="D135" s="19" t="s">
        <v>29</v>
      </c>
      <c r="E135" s="19">
        <f>SUMIFS('Stock Inflow'!$G$2:$G$601,'Stock Inflow'!$A$2:$A$601,$A135,'Stock Inflow'!$D$2:$D$601,$D135)</f>
        <v>109</v>
      </c>
      <c r="F135" s="19">
        <f>SUMIFS('Stock Inflow'!$F$2:$F$601,'Stock Inflow'!$A$2:$A$601,$A135,'Stock Inflow'!$D$2:$D$601,$D135)</f>
        <v>144</v>
      </c>
      <c r="G135" s="19">
        <f>SUMIFS('Stock Inflow'!$E$2:$E$601,'Stock Inflow'!$A$2:$A$601,$A135,'Stock Inflow'!$D$2:$D$601,$D135)</f>
        <v>4</v>
      </c>
      <c r="H135" s="19">
        <f>SUMIFS('Stock Outflow'!$F$2:$F$601,'Stock Outflow'!$A$2:$A$601,$A135,'Stock Outflow'!$D$2:$D$601,$D135)</f>
        <v>116</v>
      </c>
      <c r="I135" s="19">
        <f>SUMIFS('Stock Outflow'!$E$2:$E$601,'Stock Outflow'!$A$2:$A$601,$A135,'Stock Outflow'!$D$2:$D$601,$D135)</f>
        <v>0</v>
      </c>
      <c r="J135" s="19">
        <f t="shared" si="12"/>
        <v>141</v>
      </c>
      <c r="K135" s="20">
        <f>INDEX('Item Master'!$F$2:$F$51,MATCH($A135,'Item Master'!$A$2:$A$51,0))</f>
        <v>1100</v>
      </c>
      <c r="L135" s="20">
        <f t="shared" si="13"/>
        <v>127600</v>
      </c>
      <c r="M135" s="21">
        <f t="shared" si="14"/>
        <v>3.8666666666666667</v>
      </c>
      <c r="N135" s="19">
        <f>INDEX('Item Master'!$E$2:$E$51,MATCH($A135,'Item Master'!$A$2:$A$51,0))</f>
        <v>5</v>
      </c>
      <c r="O135" s="22">
        <f>INDEX('Product Summary'!$L$2:$L$51,MATCH($A135,'Product Summary'!$A$2:$A$51,0))</f>
        <v>13.888888888888891</v>
      </c>
      <c r="P135" s="22">
        <f>INDEX('Product Summary'!$M$2:$M$51,MATCH($A135,'Product Summary'!$A$2:$A$51,0))</f>
        <v>35.861491628614921</v>
      </c>
      <c r="Q135" s="22">
        <f t="shared" si="15"/>
        <v>36.46551724137931</v>
      </c>
      <c r="R135" s="22">
        <f t="shared" si="16"/>
        <v>27.190993544323728</v>
      </c>
      <c r="S135" s="19" t="str">
        <f t="shared" si="17"/>
        <v>HEALTHY</v>
      </c>
    </row>
    <row r="136" spans="1:19" x14ac:dyDescent="0.3">
      <c r="A136" s="19" t="s">
        <v>94</v>
      </c>
      <c r="B136" s="19" t="s">
        <v>95</v>
      </c>
      <c r="C136" s="19" t="s">
        <v>36</v>
      </c>
      <c r="D136" s="19" t="s">
        <v>31</v>
      </c>
      <c r="E136" s="19">
        <f>SUMIFS('Stock Inflow'!$G$2:$G$601,'Stock Inflow'!$A$2:$A$601,$A136,'Stock Inflow'!$D$2:$D$601,$D136)</f>
        <v>141</v>
      </c>
      <c r="F136" s="19">
        <f>SUMIFS('Stock Inflow'!$F$2:$F$601,'Stock Inflow'!$A$2:$A$601,$A136,'Stock Inflow'!$D$2:$D$601,$D136)</f>
        <v>160</v>
      </c>
      <c r="G136" s="19">
        <f>SUMIFS('Stock Inflow'!$E$2:$E$601,'Stock Inflow'!$A$2:$A$601,$A136,'Stock Inflow'!$D$2:$D$601,$D136)</f>
        <v>5</v>
      </c>
      <c r="H136" s="19">
        <f>SUMIFS('Stock Outflow'!$F$2:$F$601,'Stock Outflow'!$A$2:$A$601,$A136,'Stock Outflow'!$D$2:$D$601,$D136)</f>
        <v>139</v>
      </c>
      <c r="I136" s="19">
        <f>SUMIFS('Stock Outflow'!$E$2:$E$601,'Stock Outflow'!$A$2:$A$601,$A136,'Stock Outflow'!$D$2:$D$601,$D136)</f>
        <v>3</v>
      </c>
      <c r="J136" s="19">
        <f t="shared" si="12"/>
        <v>164</v>
      </c>
      <c r="K136" s="20">
        <f>INDEX('Item Master'!$F$2:$F$51,MATCH($A136,'Item Master'!$A$2:$A$51,0))</f>
        <v>1100</v>
      </c>
      <c r="L136" s="20">
        <f t="shared" si="13"/>
        <v>152900</v>
      </c>
      <c r="M136" s="21">
        <f t="shared" si="14"/>
        <v>4.6333333333333337</v>
      </c>
      <c r="N136" s="19">
        <f>INDEX('Item Master'!$E$2:$E$51,MATCH($A136,'Item Master'!$A$2:$A$51,0))</f>
        <v>5</v>
      </c>
      <c r="O136" s="22">
        <f>INDEX('Product Summary'!$L$2:$L$51,MATCH($A136,'Product Summary'!$A$2:$A$51,0))</f>
        <v>13.888888888888891</v>
      </c>
      <c r="P136" s="22">
        <f>INDEX('Product Summary'!$M$2:$M$51,MATCH($A136,'Product Summary'!$A$2:$A$51,0))</f>
        <v>35.861491628614921</v>
      </c>
      <c r="Q136" s="22">
        <f t="shared" si="15"/>
        <v>35.39568345323741</v>
      </c>
      <c r="R136" s="22">
        <f t="shared" si="16"/>
        <v>27.65579317368023</v>
      </c>
      <c r="S136" s="19" t="str">
        <f t="shared" si="17"/>
        <v>HEALTHY</v>
      </c>
    </row>
    <row r="137" spans="1:19" x14ac:dyDescent="0.3">
      <c r="A137" s="19" t="s">
        <v>94</v>
      </c>
      <c r="B137" s="19" t="s">
        <v>95</v>
      </c>
      <c r="C137" s="19" t="s">
        <v>36</v>
      </c>
      <c r="D137" s="19" t="s">
        <v>33</v>
      </c>
      <c r="E137" s="19">
        <f>SUMIFS('Stock Inflow'!$G$2:$G$601,'Stock Inflow'!$A$2:$A$601,$A137,'Stock Inflow'!$D$2:$D$601,$D137)</f>
        <v>164</v>
      </c>
      <c r="F137" s="19">
        <f>SUMIFS('Stock Inflow'!$F$2:$F$601,'Stock Inflow'!$A$2:$A$601,$A137,'Stock Inflow'!$D$2:$D$601,$D137)</f>
        <v>143</v>
      </c>
      <c r="G137" s="19">
        <f>SUMIFS('Stock Inflow'!$E$2:$E$601,'Stock Inflow'!$A$2:$A$601,$A137,'Stock Inflow'!$D$2:$D$601,$D137)</f>
        <v>5</v>
      </c>
      <c r="H137" s="19">
        <f>SUMIFS('Stock Outflow'!$F$2:$F$601,'Stock Outflow'!$A$2:$A$601,$A137,'Stock Outflow'!$D$2:$D$601,$D137)</f>
        <v>120</v>
      </c>
      <c r="I137" s="19">
        <f>SUMIFS('Stock Outflow'!$E$2:$E$601,'Stock Outflow'!$A$2:$A$601,$A137,'Stock Outflow'!$D$2:$D$601,$D137)</f>
        <v>1</v>
      </c>
      <c r="J137" s="19">
        <f t="shared" si="12"/>
        <v>191</v>
      </c>
      <c r="K137" s="20">
        <f>INDEX('Item Master'!$F$2:$F$51,MATCH($A137,'Item Master'!$A$2:$A$51,0))</f>
        <v>1100</v>
      </c>
      <c r="L137" s="20">
        <f t="shared" si="13"/>
        <v>132000</v>
      </c>
      <c r="M137" s="21">
        <f t="shared" si="14"/>
        <v>4</v>
      </c>
      <c r="N137" s="19">
        <f>INDEX('Item Master'!$E$2:$E$51,MATCH($A137,'Item Master'!$A$2:$A$51,0))</f>
        <v>5</v>
      </c>
      <c r="O137" s="22">
        <f>INDEX('Product Summary'!$L$2:$L$51,MATCH($A137,'Product Summary'!$A$2:$A$51,0))</f>
        <v>13.888888888888891</v>
      </c>
      <c r="P137" s="22">
        <f>INDEX('Product Summary'!$M$2:$M$51,MATCH($A137,'Product Summary'!$A$2:$A$51,0))</f>
        <v>35.861491628614921</v>
      </c>
      <c r="Q137" s="22">
        <f t="shared" si="15"/>
        <v>47.75</v>
      </c>
      <c r="R137" s="22">
        <f t="shared" si="16"/>
        <v>38.784627092846272</v>
      </c>
      <c r="S137" s="19" t="str">
        <f t="shared" si="17"/>
        <v>HEALTHY</v>
      </c>
    </row>
    <row r="138" spans="1:19" x14ac:dyDescent="0.3">
      <c r="A138" s="19" t="s">
        <v>94</v>
      </c>
      <c r="B138" s="19" t="s">
        <v>95</v>
      </c>
      <c r="C138" s="19" t="s">
        <v>36</v>
      </c>
      <c r="D138" s="19" t="s">
        <v>35</v>
      </c>
      <c r="E138" s="19">
        <f>SUMIFS('Stock Inflow'!$G$2:$G$601,'Stock Inflow'!$A$2:$A$601,$A138,'Stock Inflow'!$D$2:$D$601,$D138)</f>
        <v>191</v>
      </c>
      <c r="F138" s="19">
        <f>SUMIFS('Stock Inflow'!$F$2:$F$601,'Stock Inflow'!$A$2:$A$601,$A138,'Stock Inflow'!$D$2:$D$601,$D138)</f>
        <v>148</v>
      </c>
      <c r="G138" s="19">
        <f>SUMIFS('Stock Inflow'!$E$2:$E$601,'Stock Inflow'!$A$2:$A$601,$A138,'Stock Inflow'!$D$2:$D$601,$D138)</f>
        <v>3</v>
      </c>
      <c r="H138" s="19">
        <f>SUMIFS('Stock Outflow'!$F$2:$F$601,'Stock Outflow'!$A$2:$A$601,$A138,'Stock Outflow'!$D$2:$D$601,$D138)</f>
        <v>133</v>
      </c>
      <c r="I138" s="19">
        <f>SUMIFS('Stock Outflow'!$E$2:$E$601,'Stock Outflow'!$A$2:$A$601,$A138,'Stock Outflow'!$D$2:$D$601,$D138)</f>
        <v>2</v>
      </c>
      <c r="J138" s="19">
        <f t="shared" si="12"/>
        <v>207</v>
      </c>
      <c r="K138" s="20">
        <f>INDEX('Item Master'!$F$2:$F$51,MATCH($A138,'Item Master'!$A$2:$A$51,0))</f>
        <v>1100</v>
      </c>
      <c r="L138" s="20">
        <f t="shared" si="13"/>
        <v>146300</v>
      </c>
      <c r="M138" s="21">
        <f t="shared" si="14"/>
        <v>4.4333333333333336</v>
      </c>
      <c r="N138" s="19">
        <f>INDEX('Item Master'!$E$2:$E$51,MATCH($A138,'Item Master'!$A$2:$A$51,0))</f>
        <v>5</v>
      </c>
      <c r="O138" s="22">
        <f>INDEX('Product Summary'!$L$2:$L$51,MATCH($A138,'Product Summary'!$A$2:$A$51,0))</f>
        <v>13.888888888888891</v>
      </c>
      <c r="P138" s="22">
        <f>INDEX('Product Summary'!$M$2:$M$51,MATCH($A138,'Product Summary'!$A$2:$A$51,0))</f>
        <v>35.861491628614921</v>
      </c>
      <c r="Q138" s="22">
        <f t="shared" si="15"/>
        <v>46.691729323308266</v>
      </c>
      <c r="R138" s="22">
        <f t="shared" si="16"/>
        <v>38.602671061214679</v>
      </c>
      <c r="S138" s="19" t="str">
        <f t="shared" si="17"/>
        <v>HEALTHY</v>
      </c>
    </row>
    <row r="139" spans="1:19" x14ac:dyDescent="0.3">
      <c r="A139" s="19" t="s">
        <v>94</v>
      </c>
      <c r="B139" s="19" t="s">
        <v>95</v>
      </c>
      <c r="C139" s="19" t="s">
        <v>36</v>
      </c>
      <c r="D139" s="19" t="s">
        <v>37</v>
      </c>
      <c r="E139" s="19">
        <f>SUMIFS('Stock Inflow'!$G$2:$G$601,'Stock Inflow'!$A$2:$A$601,$A139,'Stock Inflow'!$D$2:$D$601,$D139)</f>
        <v>207</v>
      </c>
      <c r="F139" s="19">
        <f>SUMIFS('Stock Inflow'!$F$2:$F$601,'Stock Inflow'!$A$2:$A$601,$A139,'Stock Inflow'!$D$2:$D$601,$D139)</f>
        <v>131</v>
      </c>
      <c r="G139" s="19">
        <f>SUMIFS('Stock Inflow'!$E$2:$E$601,'Stock Inflow'!$A$2:$A$601,$A139,'Stock Inflow'!$D$2:$D$601,$D139)</f>
        <v>5</v>
      </c>
      <c r="H139" s="19">
        <f>SUMIFS('Stock Outflow'!$F$2:$F$601,'Stock Outflow'!$A$2:$A$601,$A139,'Stock Outflow'!$D$2:$D$601,$D139)</f>
        <v>130</v>
      </c>
      <c r="I139" s="19">
        <f>SUMIFS('Stock Outflow'!$E$2:$E$601,'Stock Outflow'!$A$2:$A$601,$A139,'Stock Outflow'!$D$2:$D$601,$D139)</f>
        <v>3</v>
      </c>
      <c r="J139" s="19">
        <f t="shared" si="12"/>
        <v>210</v>
      </c>
      <c r="K139" s="20">
        <f>INDEX('Item Master'!$F$2:$F$51,MATCH($A139,'Item Master'!$A$2:$A$51,0))</f>
        <v>1100</v>
      </c>
      <c r="L139" s="20">
        <f t="shared" si="13"/>
        <v>143000</v>
      </c>
      <c r="M139" s="21">
        <f t="shared" si="14"/>
        <v>4.333333333333333</v>
      </c>
      <c r="N139" s="19">
        <f>INDEX('Item Master'!$E$2:$E$51,MATCH($A139,'Item Master'!$A$2:$A$51,0))</f>
        <v>5</v>
      </c>
      <c r="O139" s="22">
        <f>INDEX('Product Summary'!$L$2:$L$51,MATCH($A139,'Product Summary'!$A$2:$A$51,0))</f>
        <v>13.888888888888891</v>
      </c>
      <c r="P139" s="22">
        <f>INDEX('Product Summary'!$M$2:$M$51,MATCH($A139,'Product Summary'!$A$2:$A$51,0))</f>
        <v>35.861491628614921</v>
      </c>
      <c r="Q139" s="22">
        <f t="shared" si="15"/>
        <v>48.461538461538467</v>
      </c>
      <c r="R139" s="22">
        <f t="shared" si="16"/>
        <v>40.185809624165792</v>
      </c>
      <c r="S139" s="19" t="str">
        <f t="shared" si="17"/>
        <v>HEALTHY</v>
      </c>
    </row>
    <row r="140" spans="1:19" x14ac:dyDescent="0.3">
      <c r="A140" s="19" t="s">
        <v>94</v>
      </c>
      <c r="B140" s="19" t="s">
        <v>95</v>
      </c>
      <c r="C140" s="19" t="s">
        <v>36</v>
      </c>
      <c r="D140" s="19" t="s">
        <v>39</v>
      </c>
      <c r="E140" s="19">
        <f>SUMIFS('Stock Inflow'!$G$2:$G$601,'Stock Inflow'!$A$2:$A$601,$A140,'Stock Inflow'!$D$2:$D$601,$D140)</f>
        <v>210</v>
      </c>
      <c r="F140" s="19">
        <f>SUMIFS('Stock Inflow'!$F$2:$F$601,'Stock Inflow'!$A$2:$A$601,$A140,'Stock Inflow'!$D$2:$D$601,$D140)</f>
        <v>134</v>
      </c>
      <c r="G140" s="19">
        <f>SUMIFS('Stock Inflow'!$E$2:$E$601,'Stock Inflow'!$A$2:$A$601,$A140,'Stock Inflow'!$D$2:$D$601,$D140)</f>
        <v>2</v>
      </c>
      <c r="H140" s="19">
        <f>SUMIFS('Stock Outflow'!$F$2:$F$601,'Stock Outflow'!$A$2:$A$601,$A140,'Stock Outflow'!$D$2:$D$601,$D140)</f>
        <v>107</v>
      </c>
      <c r="I140" s="19">
        <f>SUMIFS('Stock Outflow'!$E$2:$E$601,'Stock Outflow'!$A$2:$A$601,$A140,'Stock Outflow'!$D$2:$D$601,$D140)</f>
        <v>2</v>
      </c>
      <c r="J140" s="19">
        <f t="shared" si="12"/>
        <v>237</v>
      </c>
      <c r="K140" s="20">
        <f>INDEX('Item Master'!$F$2:$F$51,MATCH($A140,'Item Master'!$A$2:$A$51,0))</f>
        <v>1100</v>
      </c>
      <c r="L140" s="20">
        <f t="shared" si="13"/>
        <v>117700</v>
      </c>
      <c r="M140" s="21">
        <f t="shared" si="14"/>
        <v>3.5666666666666669</v>
      </c>
      <c r="N140" s="19">
        <f>INDEX('Item Master'!$E$2:$E$51,MATCH($A140,'Item Master'!$A$2:$A$51,0))</f>
        <v>5</v>
      </c>
      <c r="O140" s="22">
        <f>INDEX('Product Summary'!$L$2:$L$51,MATCH($A140,'Product Summary'!$A$2:$A$51,0))</f>
        <v>13.888888888888891</v>
      </c>
      <c r="P140" s="22">
        <f>INDEX('Product Summary'!$M$2:$M$51,MATCH($A140,'Product Summary'!$A$2:$A$51,0))</f>
        <v>35.861491628614921</v>
      </c>
      <c r="Q140" s="22">
        <f t="shared" si="15"/>
        <v>66.44859813084112</v>
      </c>
      <c r="R140" s="22">
        <f t="shared" si="16"/>
        <v>56.393974309734133</v>
      </c>
      <c r="S140" s="19" t="str">
        <f t="shared" si="17"/>
        <v>HEALTHY</v>
      </c>
    </row>
    <row r="141" spans="1:19" x14ac:dyDescent="0.3">
      <c r="A141" s="19" t="s">
        <v>94</v>
      </c>
      <c r="B141" s="19" t="s">
        <v>95</v>
      </c>
      <c r="C141" s="19" t="s">
        <v>36</v>
      </c>
      <c r="D141" s="19" t="s">
        <v>41</v>
      </c>
      <c r="E141" s="19">
        <f>SUMIFS('Stock Inflow'!$G$2:$G$601,'Stock Inflow'!$A$2:$A$601,$A141,'Stock Inflow'!$D$2:$D$601,$D141)</f>
        <v>237</v>
      </c>
      <c r="F141" s="19">
        <f>SUMIFS('Stock Inflow'!$F$2:$F$601,'Stock Inflow'!$A$2:$A$601,$A141,'Stock Inflow'!$D$2:$D$601,$D141)</f>
        <v>133</v>
      </c>
      <c r="G141" s="19">
        <f>SUMIFS('Stock Inflow'!$E$2:$E$601,'Stock Inflow'!$A$2:$A$601,$A141,'Stock Inflow'!$D$2:$D$601,$D141)</f>
        <v>1</v>
      </c>
      <c r="H141" s="19">
        <f>SUMIFS('Stock Outflow'!$F$2:$F$601,'Stock Outflow'!$A$2:$A$601,$A141,'Stock Outflow'!$D$2:$D$601,$D141)</f>
        <v>126</v>
      </c>
      <c r="I141" s="19">
        <f>SUMIFS('Stock Outflow'!$E$2:$E$601,'Stock Outflow'!$A$2:$A$601,$A141,'Stock Outflow'!$D$2:$D$601,$D141)</f>
        <v>3</v>
      </c>
      <c r="J141" s="19">
        <f t="shared" si="12"/>
        <v>242</v>
      </c>
      <c r="K141" s="20">
        <f>INDEX('Item Master'!$F$2:$F$51,MATCH($A141,'Item Master'!$A$2:$A$51,0))</f>
        <v>1100</v>
      </c>
      <c r="L141" s="20">
        <f t="shared" si="13"/>
        <v>138600</v>
      </c>
      <c r="M141" s="21">
        <f t="shared" si="14"/>
        <v>4.2</v>
      </c>
      <c r="N141" s="19">
        <f>INDEX('Item Master'!$E$2:$E$51,MATCH($A141,'Item Master'!$A$2:$A$51,0))</f>
        <v>5</v>
      </c>
      <c r="O141" s="22">
        <f>INDEX('Product Summary'!$L$2:$L$51,MATCH($A141,'Product Summary'!$A$2:$A$51,0))</f>
        <v>13.888888888888891</v>
      </c>
      <c r="P141" s="22">
        <f>INDEX('Product Summary'!$M$2:$M$51,MATCH($A141,'Product Summary'!$A$2:$A$51,0))</f>
        <v>35.861491628614921</v>
      </c>
      <c r="Q141" s="22">
        <f t="shared" si="15"/>
        <v>57.619047619047613</v>
      </c>
      <c r="R141" s="22">
        <f t="shared" si="16"/>
        <v>49.080597231282162</v>
      </c>
      <c r="S141" s="19" t="str">
        <f t="shared" si="17"/>
        <v>HEALTHY</v>
      </c>
    </row>
    <row r="142" spans="1:19" x14ac:dyDescent="0.3">
      <c r="A142" s="19" t="s">
        <v>94</v>
      </c>
      <c r="B142" s="19" t="s">
        <v>95</v>
      </c>
      <c r="C142" s="19" t="s">
        <v>36</v>
      </c>
      <c r="D142" s="19" t="s">
        <v>43</v>
      </c>
      <c r="E142" s="19">
        <f>SUMIFS('Stock Inflow'!$G$2:$G$601,'Stock Inflow'!$A$2:$A$601,$A142,'Stock Inflow'!$D$2:$D$601,$D142)</f>
        <v>242</v>
      </c>
      <c r="F142" s="19">
        <f>SUMIFS('Stock Inflow'!$F$2:$F$601,'Stock Inflow'!$A$2:$A$601,$A142,'Stock Inflow'!$D$2:$D$601,$D142)</f>
        <v>108</v>
      </c>
      <c r="G142" s="19">
        <f>SUMIFS('Stock Inflow'!$E$2:$E$601,'Stock Inflow'!$A$2:$A$601,$A142,'Stock Inflow'!$D$2:$D$601,$D142)</f>
        <v>4</v>
      </c>
      <c r="H142" s="19">
        <f>SUMIFS('Stock Outflow'!$F$2:$F$601,'Stock Outflow'!$A$2:$A$601,$A142,'Stock Outflow'!$D$2:$D$601,$D142)</f>
        <v>110</v>
      </c>
      <c r="I142" s="19">
        <f>SUMIFS('Stock Outflow'!$E$2:$E$601,'Stock Outflow'!$A$2:$A$601,$A142,'Stock Outflow'!$D$2:$D$601,$D142)</f>
        <v>1</v>
      </c>
      <c r="J142" s="19">
        <f t="shared" si="12"/>
        <v>243</v>
      </c>
      <c r="K142" s="20">
        <f>INDEX('Item Master'!$F$2:$F$51,MATCH($A142,'Item Master'!$A$2:$A$51,0))</f>
        <v>1100</v>
      </c>
      <c r="L142" s="20">
        <f t="shared" si="13"/>
        <v>121000</v>
      </c>
      <c r="M142" s="21">
        <f t="shared" si="14"/>
        <v>3.6666666666666665</v>
      </c>
      <c r="N142" s="19">
        <f>INDEX('Item Master'!$E$2:$E$51,MATCH($A142,'Item Master'!$A$2:$A$51,0))</f>
        <v>5</v>
      </c>
      <c r="O142" s="22">
        <f>INDEX('Product Summary'!$L$2:$L$51,MATCH($A142,'Product Summary'!$A$2:$A$51,0))</f>
        <v>13.888888888888891</v>
      </c>
      <c r="P142" s="22">
        <f>INDEX('Product Summary'!$M$2:$M$51,MATCH($A142,'Product Summary'!$A$2:$A$51,0))</f>
        <v>35.861491628614921</v>
      </c>
      <c r="Q142" s="22">
        <f t="shared" si="15"/>
        <v>66.27272727272728</v>
      </c>
      <c r="R142" s="22">
        <f t="shared" si="16"/>
        <v>56.49232046492321</v>
      </c>
      <c r="S142" s="19" t="str">
        <f t="shared" si="17"/>
        <v>HEALTHY</v>
      </c>
    </row>
    <row r="143" spans="1:19" x14ac:dyDescent="0.3">
      <c r="A143" s="19" t="s">
        <v>94</v>
      </c>
      <c r="B143" s="19" t="s">
        <v>95</v>
      </c>
      <c r="C143" s="19" t="s">
        <v>36</v>
      </c>
      <c r="D143" s="19" t="s">
        <v>45</v>
      </c>
      <c r="E143" s="19">
        <f>SUMIFS('Stock Inflow'!$G$2:$G$601,'Stock Inflow'!$A$2:$A$601,$A143,'Stock Inflow'!$D$2:$D$601,$D143)</f>
        <v>243</v>
      </c>
      <c r="F143" s="19">
        <f>SUMIFS('Stock Inflow'!$F$2:$F$601,'Stock Inflow'!$A$2:$A$601,$A143,'Stock Inflow'!$D$2:$D$601,$D143)</f>
        <v>256</v>
      </c>
      <c r="G143" s="19">
        <f>SUMIFS('Stock Inflow'!$E$2:$E$601,'Stock Inflow'!$A$2:$A$601,$A143,'Stock Inflow'!$D$2:$D$601,$D143)</f>
        <v>4</v>
      </c>
      <c r="H143" s="19">
        <f>SUMIFS('Stock Outflow'!$F$2:$F$601,'Stock Outflow'!$A$2:$A$601,$A143,'Stock Outflow'!$D$2:$D$601,$D143)</f>
        <v>217</v>
      </c>
      <c r="I143" s="19">
        <f>SUMIFS('Stock Outflow'!$E$2:$E$601,'Stock Outflow'!$A$2:$A$601,$A143,'Stock Outflow'!$D$2:$D$601,$D143)</f>
        <v>0</v>
      </c>
      <c r="J143" s="19">
        <f t="shared" si="12"/>
        <v>286</v>
      </c>
      <c r="K143" s="20">
        <f>INDEX('Item Master'!$F$2:$F$51,MATCH($A143,'Item Master'!$A$2:$A$51,0))</f>
        <v>1100</v>
      </c>
      <c r="L143" s="20">
        <f t="shared" si="13"/>
        <v>238700</v>
      </c>
      <c r="M143" s="21">
        <f t="shared" si="14"/>
        <v>7.2333333333333334</v>
      </c>
      <c r="N143" s="19">
        <f>INDEX('Item Master'!$E$2:$E$51,MATCH($A143,'Item Master'!$A$2:$A$51,0))</f>
        <v>5</v>
      </c>
      <c r="O143" s="22">
        <f>INDEX('Product Summary'!$L$2:$L$51,MATCH($A143,'Product Summary'!$A$2:$A$51,0))</f>
        <v>13.888888888888891</v>
      </c>
      <c r="P143" s="22">
        <f>INDEX('Product Summary'!$M$2:$M$51,MATCH($A143,'Product Summary'!$A$2:$A$51,0))</f>
        <v>35.861491628614921</v>
      </c>
      <c r="Q143" s="22">
        <f t="shared" si="15"/>
        <v>39.539170506912441</v>
      </c>
      <c r="R143" s="22">
        <f t="shared" si="16"/>
        <v>34.581360604338954</v>
      </c>
      <c r="S143" s="19" t="str">
        <f t="shared" si="17"/>
        <v>HEALTHY</v>
      </c>
    </row>
    <row r="144" spans="1:19" x14ac:dyDescent="0.3">
      <c r="A144" s="19" t="s">
        <v>94</v>
      </c>
      <c r="B144" s="19" t="s">
        <v>95</v>
      </c>
      <c r="C144" s="19" t="s">
        <v>36</v>
      </c>
      <c r="D144" s="19" t="s">
        <v>47</v>
      </c>
      <c r="E144" s="19">
        <f>SUMIFS('Stock Inflow'!$G$2:$G$601,'Stock Inflow'!$A$2:$A$601,$A144,'Stock Inflow'!$D$2:$D$601,$D144)</f>
        <v>286</v>
      </c>
      <c r="F144" s="19">
        <f>SUMIFS('Stock Inflow'!$F$2:$F$601,'Stock Inflow'!$A$2:$A$601,$A144,'Stock Inflow'!$D$2:$D$601,$D144)</f>
        <v>149</v>
      </c>
      <c r="G144" s="19">
        <f>SUMIFS('Stock Inflow'!$E$2:$E$601,'Stock Inflow'!$A$2:$A$601,$A144,'Stock Inflow'!$D$2:$D$601,$D144)</f>
        <v>5</v>
      </c>
      <c r="H144" s="19">
        <f>SUMIFS('Stock Outflow'!$F$2:$F$601,'Stock Outflow'!$A$2:$A$601,$A144,'Stock Outflow'!$D$2:$D$601,$D144)</f>
        <v>159</v>
      </c>
      <c r="I144" s="19">
        <f>SUMIFS('Stock Outflow'!$E$2:$E$601,'Stock Outflow'!$A$2:$A$601,$A144,'Stock Outflow'!$D$2:$D$601,$D144)</f>
        <v>2</v>
      </c>
      <c r="J144" s="19">
        <f t="shared" si="12"/>
        <v>279</v>
      </c>
      <c r="K144" s="20">
        <f>INDEX('Item Master'!$F$2:$F$51,MATCH($A144,'Item Master'!$A$2:$A$51,0))</f>
        <v>1100</v>
      </c>
      <c r="L144" s="20">
        <f t="shared" si="13"/>
        <v>174900</v>
      </c>
      <c r="M144" s="21">
        <f t="shared" si="14"/>
        <v>5.3</v>
      </c>
      <c r="N144" s="19">
        <f>INDEX('Item Master'!$E$2:$E$51,MATCH($A144,'Item Master'!$A$2:$A$51,0))</f>
        <v>5</v>
      </c>
      <c r="O144" s="22">
        <f>INDEX('Product Summary'!$L$2:$L$51,MATCH($A144,'Product Summary'!$A$2:$A$51,0))</f>
        <v>13.888888888888891</v>
      </c>
      <c r="P144" s="22">
        <f>INDEX('Product Summary'!$M$2:$M$51,MATCH($A144,'Product Summary'!$A$2:$A$51,0))</f>
        <v>35.861491628614921</v>
      </c>
      <c r="Q144" s="22">
        <f t="shared" si="15"/>
        <v>52.641509433962263</v>
      </c>
      <c r="R144" s="22">
        <f t="shared" si="16"/>
        <v>45.875190258751907</v>
      </c>
      <c r="S144" s="19" t="str">
        <f t="shared" si="17"/>
        <v>HEALTHY</v>
      </c>
    </row>
    <row r="145" spans="1:19" x14ac:dyDescent="0.3">
      <c r="A145" s="19" t="s">
        <v>94</v>
      </c>
      <c r="B145" s="19" t="s">
        <v>95</v>
      </c>
      <c r="C145" s="19" t="s">
        <v>36</v>
      </c>
      <c r="D145" s="19" t="s">
        <v>49</v>
      </c>
      <c r="E145" s="19">
        <f>SUMIFS('Stock Inflow'!$G$2:$G$601,'Stock Inflow'!$A$2:$A$601,$A145,'Stock Inflow'!$D$2:$D$601,$D145)</f>
        <v>279</v>
      </c>
      <c r="F145" s="19">
        <f>SUMIFS('Stock Inflow'!$F$2:$F$601,'Stock Inflow'!$A$2:$A$601,$A145,'Stock Inflow'!$D$2:$D$601,$D145)</f>
        <v>154</v>
      </c>
      <c r="G145" s="19">
        <f>SUMIFS('Stock Inflow'!$E$2:$E$601,'Stock Inflow'!$A$2:$A$601,$A145,'Stock Inflow'!$D$2:$D$601,$D145)</f>
        <v>4</v>
      </c>
      <c r="H145" s="19">
        <f>SUMIFS('Stock Outflow'!$F$2:$F$601,'Stock Outflow'!$A$2:$A$601,$A145,'Stock Outflow'!$D$2:$D$601,$D145)</f>
        <v>131</v>
      </c>
      <c r="I145" s="19">
        <f>SUMIFS('Stock Outflow'!$E$2:$E$601,'Stock Outflow'!$A$2:$A$601,$A145,'Stock Outflow'!$D$2:$D$601,$D145)</f>
        <v>2</v>
      </c>
      <c r="J145" s="19">
        <f t="shared" si="12"/>
        <v>304</v>
      </c>
      <c r="K145" s="20">
        <f>INDEX('Item Master'!$F$2:$F$51,MATCH($A145,'Item Master'!$A$2:$A$51,0))</f>
        <v>1100</v>
      </c>
      <c r="L145" s="20">
        <f t="shared" si="13"/>
        <v>144100</v>
      </c>
      <c r="M145" s="21">
        <f t="shared" si="14"/>
        <v>4.3666666666666663</v>
      </c>
      <c r="N145" s="19">
        <f>INDEX('Item Master'!$E$2:$E$51,MATCH($A145,'Item Master'!$A$2:$A$51,0))</f>
        <v>5</v>
      </c>
      <c r="O145" s="22">
        <f>INDEX('Product Summary'!$L$2:$L$51,MATCH($A145,'Product Summary'!$A$2:$A$51,0))</f>
        <v>13.888888888888891</v>
      </c>
      <c r="P145" s="22">
        <f>INDEX('Product Summary'!$M$2:$M$51,MATCH($A145,'Product Summary'!$A$2:$A$51,0))</f>
        <v>35.861491628614921</v>
      </c>
      <c r="Q145" s="22">
        <f t="shared" si="15"/>
        <v>69.618320610687036</v>
      </c>
      <c r="R145" s="22">
        <f t="shared" si="16"/>
        <v>61.405765275889713</v>
      </c>
      <c r="S145" s="19" t="str">
        <f t="shared" si="17"/>
        <v>HEALTHY</v>
      </c>
    </row>
    <row r="146" spans="1:19" x14ac:dyDescent="0.3">
      <c r="A146" s="19" t="s">
        <v>96</v>
      </c>
      <c r="B146" s="19" t="s">
        <v>97</v>
      </c>
      <c r="C146" s="19" t="s">
        <v>36</v>
      </c>
      <c r="D146" s="19" t="s">
        <v>27</v>
      </c>
      <c r="E146" s="19">
        <f>SUMIFS('Stock Inflow'!$G$2:$G$601,'Stock Inflow'!$A$2:$A$601,$A146,'Stock Inflow'!$D$2:$D$601,$D146)</f>
        <v>230</v>
      </c>
      <c r="F146" s="19">
        <f>SUMIFS('Stock Inflow'!$F$2:$F$601,'Stock Inflow'!$A$2:$A$601,$A146,'Stock Inflow'!$D$2:$D$601,$D146)</f>
        <v>66</v>
      </c>
      <c r="G146" s="19">
        <f>SUMIFS('Stock Inflow'!$E$2:$E$601,'Stock Inflow'!$A$2:$A$601,$A146,'Stock Inflow'!$D$2:$D$601,$D146)</f>
        <v>1</v>
      </c>
      <c r="H146" s="19">
        <f>SUMIFS('Stock Outflow'!$F$2:$F$601,'Stock Outflow'!$A$2:$A$601,$A146,'Stock Outflow'!$D$2:$D$601,$D146)</f>
        <v>56</v>
      </c>
      <c r="I146" s="19">
        <f>SUMIFS('Stock Outflow'!$E$2:$E$601,'Stock Outflow'!$A$2:$A$601,$A146,'Stock Outflow'!$D$2:$D$601,$D146)</f>
        <v>1</v>
      </c>
      <c r="J146" s="19">
        <f t="shared" si="12"/>
        <v>240</v>
      </c>
      <c r="K146" s="20">
        <f>INDEX('Item Master'!$F$2:$F$51,MATCH($A146,'Item Master'!$A$2:$A$51,0))</f>
        <v>700</v>
      </c>
      <c r="L146" s="20">
        <f t="shared" si="13"/>
        <v>39200</v>
      </c>
      <c r="M146" s="21">
        <f t="shared" si="14"/>
        <v>1.8666666666666667</v>
      </c>
      <c r="N146" s="19">
        <f>INDEX('Item Master'!$E$2:$E$51,MATCH($A146,'Item Master'!$A$2:$A$51,0))</f>
        <v>5</v>
      </c>
      <c r="O146" s="22">
        <f>INDEX('Product Summary'!$L$2:$L$51,MATCH($A146,'Product Summary'!$A$2:$A$51,0))</f>
        <v>5.6805555555555562</v>
      </c>
      <c r="P146" s="22">
        <f>INDEX('Product Summary'!$M$2:$M$51,MATCH($A146,'Product Summary'!$A$2:$A$51,0))</f>
        <v>16.023021308980212</v>
      </c>
      <c r="Q146" s="22">
        <f t="shared" si="15"/>
        <v>128.57142857142856</v>
      </c>
      <c r="R146" s="22">
        <f t="shared" si="16"/>
        <v>119.98766715590345</v>
      </c>
      <c r="S146" s="19" t="str">
        <f t="shared" si="17"/>
        <v>HEALTHY</v>
      </c>
    </row>
    <row r="147" spans="1:19" x14ac:dyDescent="0.3">
      <c r="A147" s="19" t="s">
        <v>96</v>
      </c>
      <c r="B147" s="19" t="s">
        <v>97</v>
      </c>
      <c r="C147" s="19" t="s">
        <v>36</v>
      </c>
      <c r="D147" s="19" t="s">
        <v>29</v>
      </c>
      <c r="E147" s="19">
        <f>SUMIFS('Stock Inflow'!$G$2:$G$601,'Stock Inflow'!$A$2:$A$601,$A147,'Stock Inflow'!$D$2:$D$601,$D147)</f>
        <v>240</v>
      </c>
      <c r="F147" s="19">
        <f>SUMIFS('Stock Inflow'!$F$2:$F$601,'Stock Inflow'!$A$2:$A$601,$A147,'Stock Inflow'!$D$2:$D$601,$D147)</f>
        <v>68</v>
      </c>
      <c r="G147" s="19">
        <f>SUMIFS('Stock Inflow'!$E$2:$E$601,'Stock Inflow'!$A$2:$A$601,$A147,'Stock Inflow'!$D$2:$D$601,$D147)</f>
        <v>1</v>
      </c>
      <c r="H147" s="19">
        <f>SUMIFS('Stock Outflow'!$F$2:$F$601,'Stock Outflow'!$A$2:$A$601,$A147,'Stock Outflow'!$D$2:$D$601,$D147)</f>
        <v>61</v>
      </c>
      <c r="I147" s="19">
        <f>SUMIFS('Stock Outflow'!$E$2:$E$601,'Stock Outflow'!$A$2:$A$601,$A147,'Stock Outflow'!$D$2:$D$601,$D147)</f>
        <v>2</v>
      </c>
      <c r="J147" s="19">
        <f t="shared" si="12"/>
        <v>246</v>
      </c>
      <c r="K147" s="20">
        <f>INDEX('Item Master'!$F$2:$F$51,MATCH($A147,'Item Master'!$A$2:$A$51,0))</f>
        <v>700</v>
      </c>
      <c r="L147" s="20">
        <f t="shared" si="13"/>
        <v>42700</v>
      </c>
      <c r="M147" s="21">
        <f t="shared" si="14"/>
        <v>2.0333333333333332</v>
      </c>
      <c r="N147" s="19">
        <f>INDEX('Item Master'!$E$2:$E$51,MATCH($A147,'Item Master'!$A$2:$A$51,0))</f>
        <v>5</v>
      </c>
      <c r="O147" s="22">
        <f>INDEX('Product Summary'!$L$2:$L$51,MATCH($A147,'Product Summary'!$A$2:$A$51,0))</f>
        <v>5.6805555555555562</v>
      </c>
      <c r="P147" s="22">
        <f>INDEX('Product Summary'!$M$2:$M$51,MATCH($A147,'Product Summary'!$A$2:$A$51,0))</f>
        <v>16.023021308980212</v>
      </c>
      <c r="Q147" s="22">
        <f t="shared" si="15"/>
        <v>120.98360655737706</v>
      </c>
      <c r="R147" s="22">
        <f t="shared" si="16"/>
        <v>113.10343214312449</v>
      </c>
      <c r="S147" s="19" t="str">
        <f t="shared" si="17"/>
        <v>HEALTHY</v>
      </c>
    </row>
    <row r="148" spans="1:19" x14ac:dyDescent="0.3">
      <c r="A148" s="19" t="s">
        <v>96</v>
      </c>
      <c r="B148" s="19" t="s">
        <v>97</v>
      </c>
      <c r="C148" s="19" t="s">
        <v>36</v>
      </c>
      <c r="D148" s="19" t="s">
        <v>31</v>
      </c>
      <c r="E148" s="19">
        <f>SUMIFS('Stock Inflow'!$G$2:$G$601,'Stock Inflow'!$A$2:$A$601,$A148,'Stock Inflow'!$D$2:$D$601,$D148)</f>
        <v>246</v>
      </c>
      <c r="F148" s="19">
        <f>SUMIFS('Stock Inflow'!$F$2:$F$601,'Stock Inflow'!$A$2:$A$601,$A148,'Stock Inflow'!$D$2:$D$601,$D148)</f>
        <v>69</v>
      </c>
      <c r="G148" s="19">
        <f>SUMIFS('Stock Inflow'!$E$2:$E$601,'Stock Inflow'!$A$2:$A$601,$A148,'Stock Inflow'!$D$2:$D$601,$D148)</f>
        <v>1</v>
      </c>
      <c r="H148" s="19">
        <f>SUMIFS('Stock Outflow'!$F$2:$F$601,'Stock Outflow'!$A$2:$A$601,$A148,'Stock Outflow'!$D$2:$D$601,$D148)</f>
        <v>58</v>
      </c>
      <c r="I148" s="19">
        <f>SUMIFS('Stock Outflow'!$E$2:$E$601,'Stock Outflow'!$A$2:$A$601,$A148,'Stock Outflow'!$D$2:$D$601,$D148)</f>
        <v>1</v>
      </c>
      <c r="J148" s="19">
        <f t="shared" si="12"/>
        <v>257</v>
      </c>
      <c r="K148" s="20">
        <f>INDEX('Item Master'!$F$2:$F$51,MATCH($A148,'Item Master'!$A$2:$A$51,0))</f>
        <v>700</v>
      </c>
      <c r="L148" s="20">
        <f t="shared" si="13"/>
        <v>40600</v>
      </c>
      <c r="M148" s="21">
        <f t="shared" si="14"/>
        <v>1.9333333333333333</v>
      </c>
      <c r="N148" s="19">
        <f>INDEX('Item Master'!$E$2:$E$51,MATCH($A148,'Item Master'!$A$2:$A$51,0))</f>
        <v>5</v>
      </c>
      <c r="O148" s="22">
        <f>INDEX('Product Summary'!$L$2:$L$51,MATCH($A148,'Product Summary'!$A$2:$A$51,0))</f>
        <v>5.6805555555555562</v>
      </c>
      <c r="P148" s="22">
        <f>INDEX('Product Summary'!$M$2:$M$51,MATCH($A148,'Product Summary'!$A$2:$A$51,0))</f>
        <v>16.023021308980212</v>
      </c>
      <c r="Q148" s="22">
        <f t="shared" si="15"/>
        <v>132.93103448275863</v>
      </c>
      <c r="R148" s="22">
        <f t="shared" si="16"/>
        <v>124.64326484018264</v>
      </c>
      <c r="S148" s="19" t="str">
        <f t="shared" si="17"/>
        <v>HEALTHY</v>
      </c>
    </row>
    <row r="149" spans="1:19" x14ac:dyDescent="0.3">
      <c r="A149" s="19" t="s">
        <v>96</v>
      </c>
      <c r="B149" s="19" t="s">
        <v>97</v>
      </c>
      <c r="C149" s="19" t="s">
        <v>36</v>
      </c>
      <c r="D149" s="19" t="s">
        <v>33</v>
      </c>
      <c r="E149" s="19">
        <f>SUMIFS('Stock Inflow'!$G$2:$G$601,'Stock Inflow'!$A$2:$A$601,$A149,'Stock Inflow'!$D$2:$D$601,$D149)</f>
        <v>257</v>
      </c>
      <c r="F149" s="19">
        <f>SUMIFS('Stock Inflow'!$F$2:$F$601,'Stock Inflow'!$A$2:$A$601,$A149,'Stock Inflow'!$D$2:$D$601,$D149)</f>
        <v>53</v>
      </c>
      <c r="G149" s="19">
        <f>SUMIFS('Stock Inflow'!$E$2:$E$601,'Stock Inflow'!$A$2:$A$601,$A149,'Stock Inflow'!$D$2:$D$601,$D149)</f>
        <v>1</v>
      </c>
      <c r="H149" s="19">
        <f>SUMIFS('Stock Outflow'!$F$2:$F$601,'Stock Outflow'!$A$2:$A$601,$A149,'Stock Outflow'!$D$2:$D$601,$D149)</f>
        <v>54</v>
      </c>
      <c r="I149" s="19">
        <f>SUMIFS('Stock Outflow'!$E$2:$E$601,'Stock Outflow'!$A$2:$A$601,$A149,'Stock Outflow'!$D$2:$D$601,$D149)</f>
        <v>1</v>
      </c>
      <c r="J149" s="19">
        <f t="shared" si="12"/>
        <v>256</v>
      </c>
      <c r="K149" s="20">
        <f>INDEX('Item Master'!$F$2:$F$51,MATCH($A149,'Item Master'!$A$2:$A$51,0))</f>
        <v>700</v>
      </c>
      <c r="L149" s="20">
        <f t="shared" si="13"/>
        <v>37800</v>
      </c>
      <c r="M149" s="21">
        <f t="shared" si="14"/>
        <v>1.8</v>
      </c>
      <c r="N149" s="19">
        <f>INDEX('Item Master'!$E$2:$E$51,MATCH($A149,'Item Master'!$A$2:$A$51,0))</f>
        <v>5</v>
      </c>
      <c r="O149" s="22">
        <f>INDEX('Product Summary'!$L$2:$L$51,MATCH($A149,'Product Summary'!$A$2:$A$51,0))</f>
        <v>5.6805555555555562</v>
      </c>
      <c r="P149" s="22">
        <f>INDEX('Product Summary'!$M$2:$M$51,MATCH($A149,'Product Summary'!$A$2:$A$51,0))</f>
        <v>16.023021308980212</v>
      </c>
      <c r="Q149" s="22">
        <f t="shared" si="15"/>
        <v>142.22222222222223</v>
      </c>
      <c r="R149" s="22">
        <f t="shared" si="16"/>
        <v>133.32054371723322</v>
      </c>
      <c r="S149" s="19" t="str">
        <f t="shared" si="17"/>
        <v>HEALTHY</v>
      </c>
    </row>
    <row r="150" spans="1:19" x14ac:dyDescent="0.3">
      <c r="A150" s="19" t="s">
        <v>96</v>
      </c>
      <c r="B150" s="19" t="s">
        <v>97</v>
      </c>
      <c r="C150" s="19" t="s">
        <v>36</v>
      </c>
      <c r="D150" s="19" t="s">
        <v>35</v>
      </c>
      <c r="E150" s="19">
        <f>SUMIFS('Stock Inflow'!$G$2:$G$601,'Stock Inflow'!$A$2:$A$601,$A150,'Stock Inflow'!$D$2:$D$601,$D150)</f>
        <v>256</v>
      </c>
      <c r="F150" s="19">
        <f>SUMIFS('Stock Inflow'!$F$2:$F$601,'Stock Inflow'!$A$2:$A$601,$A150,'Stock Inflow'!$D$2:$D$601,$D150)</f>
        <v>64</v>
      </c>
      <c r="G150" s="19">
        <f>SUMIFS('Stock Inflow'!$E$2:$E$601,'Stock Inflow'!$A$2:$A$601,$A150,'Stock Inflow'!$D$2:$D$601,$D150)</f>
        <v>1</v>
      </c>
      <c r="H150" s="19">
        <f>SUMIFS('Stock Outflow'!$F$2:$F$601,'Stock Outflow'!$A$2:$A$601,$A150,'Stock Outflow'!$D$2:$D$601,$D150)</f>
        <v>66</v>
      </c>
      <c r="I150" s="19">
        <f>SUMIFS('Stock Outflow'!$E$2:$E$601,'Stock Outflow'!$A$2:$A$601,$A150,'Stock Outflow'!$D$2:$D$601,$D150)</f>
        <v>1</v>
      </c>
      <c r="J150" s="19">
        <f t="shared" si="12"/>
        <v>254</v>
      </c>
      <c r="K150" s="20">
        <f>INDEX('Item Master'!$F$2:$F$51,MATCH($A150,'Item Master'!$A$2:$A$51,0))</f>
        <v>700</v>
      </c>
      <c r="L150" s="20">
        <f t="shared" si="13"/>
        <v>46200</v>
      </c>
      <c r="M150" s="21">
        <f t="shared" si="14"/>
        <v>2.2000000000000002</v>
      </c>
      <c r="N150" s="19">
        <f>INDEX('Item Master'!$E$2:$E$51,MATCH($A150,'Item Master'!$A$2:$A$51,0))</f>
        <v>5</v>
      </c>
      <c r="O150" s="22">
        <f>INDEX('Product Summary'!$L$2:$L$51,MATCH($A150,'Product Summary'!$A$2:$A$51,0))</f>
        <v>5.6805555555555562</v>
      </c>
      <c r="P150" s="22">
        <f>INDEX('Product Summary'!$M$2:$M$51,MATCH($A150,'Product Summary'!$A$2:$A$51,0))</f>
        <v>16.023021308980212</v>
      </c>
      <c r="Q150" s="22">
        <f t="shared" si="15"/>
        <v>115.45454545454544</v>
      </c>
      <c r="R150" s="22">
        <f t="shared" si="16"/>
        <v>108.17135395046353</v>
      </c>
      <c r="S150" s="19" t="str">
        <f t="shared" si="17"/>
        <v>HEALTHY</v>
      </c>
    </row>
    <row r="151" spans="1:19" x14ac:dyDescent="0.3">
      <c r="A151" s="19" t="s">
        <v>96</v>
      </c>
      <c r="B151" s="19" t="s">
        <v>97</v>
      </c>
      <c r="C151" s="19" t="s">
        <v>36</v>
      </c>
      <c r="D151" s="19" t="s">
        <v>37</v>
      </c>
      <c r="E151" s="19">
        <f>SUMIFS('Stock Inflow'!$G$2:$G$601,'Stock Inflow'!$A$2:$A$601,$A151,'Stock Inflow'!$D$2:$D$601,$D151)</f>
        <v>254</v>
      </c>
      <c r="F151" s="19">
        <f>SUMIFS('Stock Inflow'!$F$2:$F$601,'Stock Inflow'!$A$2:$A$601,$A151,'Stock Inflow'!$D$2:$D$601,$D151)</f>
        <v>84</v>
      </c>
      <c r="G151" s="19">
        <f>SUMIFS('Stock Inflow'!$E$2:$E$601,'Stock Inflow'!$A$2:$A$601,$A151,'Stock Inflow'!$D$2:$D$601,$D151)</f>
        <v>2</v>
      </c>
      <c r="H151" s="19">
        <f>SUMIFS('Stock Outflow'!$F$2:$F$601,'Stock Outflow'!$A$2:$A$601,$A151,'Stock Outflow'!$D$2:$D$601,$D151)</f>
        <v>65</v>
      </c>
      <c r="I151" s="19">
        <f>SUMIFS('Stock Outflow'!$E$2:$E$601,'Stock Outflow'!$A$2:$A$601,$A151,'Stock Outflow'!$D$2:$D$601,$D151)</f>
        <v>1</v>
      </c>
      <c r="J151" s="19">
        <f t="shared" si="12"/>
        <v>274</v>
      </c>
      <c r="K151" s="20">
        <f>INDEX('Item Master'!$F$2:$F$51,MATCH($A151,'Item Master'!$A$2:$A$51,0))</f>
        <v>700</v>
      </c>
      <c r="L151" s="20">
        <f t="shared" si="13"/>
        <v>45500</v>
      </c>
      <c r="M151" s="21">
        <f t="shared" si="14"/>
        <v>2.1666666666666665</v>
      </c>
      <c r="N151" s="19">
        <f>INDEX('Item Master'!$E$2:$E$51,MATCH($A151,'Item Master'!$A$2:$A$51,0))</f>
        <v>5</v>
      </c>
      <c r="O151" s="22">
        <f>INDEX('Product Summary'!$L$2:$L$51,MATCH($A151,'Product Summary'!$A$2:$A$51,0))</f>
        <v>5.6805555555555562</v>
      </c>
      <c r="P151" s="22">
        <f>INDEX('Product Summary'!$M$2:$M$51,MATCH($A151,'Product Summary'!$A$2:$A$51,0))</f>
        <v>16.023021308980212</v>
      </c>
      <c r="Q151" s="22">
        <f t="shared" si="15"/>
        <v>126.46153846153847</v>
      </c>
      <c r="R151" s="22">
        <f t="shared" si="16"/>
        <v>119.06629785739375</v>
      </c>
      <c r="S151" s="19" t="str">
        <f t="shared" si="17"/>
        <v>HEALTHY</v>
      </c>
    </row>
    <row r="152" spans="1:19" x14ac:dyDescent="0.3">
      <c r="A152" s="19" t="s">
        <v>96</v>
      </c>
      <c r="B152" s="19" t="s">
        <v>97</v>
      </c>
      <c r="C152" s="19" t="s">
        <v>36</v>
      </c>
      <c r="D152" s="19" t="s">
        <v>39</v>
      </c>
      <c r="E152" s="19">
        <f>SUMIFS('Stock Inflow'!$G$2:$G$601,'Stock Inflow'!$A$2:$A$601,$A152,'Stock Inflow'!$D$2:$D$601,$D152)</f>
        <v>274</v>
      </c>
      <c r="F152" s="19">
        <f>SUMIFS('Stock Inflow'!$F$2:$F$601,'Stock Inflow'!$A$2:$A$601,$A152,'Stock Inflow'!$D$2:$D$601,$D152)</f>
        <v>53</v>
      </c>
      <c r="G152" s="19">
        <f>SUMIFS('Stock Inflow'!$E$2:$E$601,'Stock Inflow'!$A$2:$A$601,$A152,'Stock Inflow'!$D$2:$D$601,$D152)</f>
        <v>1</v>
      </c>
      <c r="H152" s="19">
        <f>SUMIFS('Stock Outflow'!$F$2:$F$601,'Stock Outflow'!$A$2:$A$601,$A152,'Stock Outflow'!$D$2:$D$601,$D152)</f>
        <v>54</v>
      </c>
      <c r="I152" s="19">
        <f>SUMIFS('Stock Outflow'!$E$2:$E$601,'Stock Outflow'!$A$2:$A$601,$A152,'Stock Outflow'!$D$2:$D$601,$D152)</f>
        <v>0</v>
      </c>
      <c r="J152" s="19">
        <f t="shared" si="12"/>
        <v>274</v>
      </c>
      <c r="K152" s="20">
        <f>INDEX('Item Master'!$F$2:$F$51,MATCH($A152,'Item Master'!$A$2:$A$51,0))</f>
        <v>700</v>
      </c>
      <c r="L152" s="20">
        <f t="shared" si="13"/>
        <v>37800</v>
      </c>
      <c r="M152" s="21">
        <f t="shared" si="14"/>
        <v>1.8</v>
      </c>
      <c r="N152" s="19">
        <f>INDEX('Item Master'!$E$2:$E$51,MATCH($A152,'Item Master'!$A$2:$A$51,0))</f>
        <v>5</v>
      </c>
      <c r="O152" s="22">
        <f>INDEX('Product Summary'!$L$2:$L$51,MATCH($A152,'Product Summary'!$A$2:$A$51,0))</f>
        <v>5.6805555555555562</v>
      </c>
      <c r="P152" s="22">
        <f>INDEX('Product Summary'!$M$2:$M$51,MATCH($A152,'Product Summary'!$A$2:$A$51,0))</f>
        <v>16.023021308980212</v>
      </c>
      <c r="Q152" s="22">
        <f t="shared" si="15"/>
        <v>152.22222222222223</v>
      </c>
      <c r="R152" s="22">
        <f t="shared" si="16"/>
        <v>143.32054371723322</v>
      </c>
      <c r="S152" s="19" t="str">
        <f t="shared" si="17"/>
        <v>OVERSTOCK</v>
      </c>
    </row>
    <row r="153" spans="1:19" x14ac:dyDescent="0.3">
      <c r="A153" s="19" t="s">
        <v>96</v>
      </c>
      <c r="B153" s="19" t="s">
        <v>97</v>
      </c>
      <c r="C153" s="19" t="s">
        <v>36</v>
      </c>
      <c r="D153" s="19" t="s">
        <v>41</v>
      </c>
      <c r="E153" s="19">
        <f>SUMIFS('Stock Inflow'!$G$2:$G$601,'Stock Inflow'!$A$2:$A$601,$A153,'Stock Inflow'!$D$2:$D$601,$D153)</f>
        <v>274</v>
      </c>
      <c r="F153" s="19">
        <f>SUMIFS('Stock Inflow'!$F$2:$F$601,'Stock Inflow'!$A$2:$A$601,$A153,'Stock Inflow'!$D$2:$D$601,$D153)</f>
        <v>58</v>
      </c>
      <c r="G153" s="19">
        <f>SUMIFS('Stock Inflow'!$E$2:$E$601,'Stock Inflow'!$A$2:$A$601,$A153,'Stock Inflow'!$D$2:$D$601,$D153)</f>
        <v>1</v>
      </c>
      <c r="H153" s="19">
        <f>SUMIFS('Stock Outflow'!$F$2:$F$601,'Stock Outflow'!$A$2:$A$601,$A153,'Stock Outflow'!$D$2:$D$601,$D153)</f>
        <v>52</v>
      </c>
      <c r="I153" s="19">
        <f>SUMIFS('Stock Outflow'!$E$2:$E$601,'Stock Outflow'!$A$2:$A$601,$A153,'Stock Outflow'!$D$2:$D$601,$D153)</f>
        <v>2</v>
      </c>
      <c r="J153" s="19">
        <f t="shared" si="12"/>
        <v>279</v>
      </c>
      <c r="K153" s="20">
        <f>INDEX('Item Master'!$F$2:$F$51,MATCH($A153,'Item Master'!$A$2:$A$51,0))</f>
        <v>700</v>
      </c>
      <c r="L153" s="20">
        <f t="shared" si="13"/>
        <v>36400</v>
      </c>
      <c r="M153" s="21">
        <f t="shared" si="14"/>
        <v>1.7333333333333334</v>
      </c>
      <c r="N153" s="19">
        <f>INDEX('Item Master'!$E$2:$E$51,MATCH($A153,'Item Master'!$A$2:$A$51,0))</f>
        <v>5</v>
      </c>
      <c r="O153" s="22">
        <f>INDEX('Product Summary'!$L$2:$L$51,MATCH($A153,'Product Summary'!$A$2:$A$51,0))</f>
        <v>5.6805555555555562</v>
      </c>
      <c r="P153" s="22">
        <f>INDEX('Product Summary'!$M$2:$M$51,MATCH($A153,'Product Summary'!$A$2:$A$51,0))</f>
        <v>16.023021308980212</v>
      </c>
      <c r="Q153" s="22">
        <f t="shared" si="15"/>
        <v>160.96153846153845</v>
      </c>
      <c r="R153" s="22">
        <f t="shared" si="16"/>
        <v>151.71748770635756</v>
      </c>
      <c r="S153" s="19" t="str">
        <f t="shared" si="17"/>
        <v>OVERSTOCK</v>
      </c>
    </row>
    <row r="154" spans="1:19" x14ac:dyDescent="0.3">
      <c r="A154" s="19" t="s">
        <v>96</v>
      </c>
      <c r="B154" s="19" t="s">
        <v>97</v>
      </c>
      <c r="C154" s="19" t="s">
        <v>36</v>
      </c>
      <c r="D154" s="19" t="s">
        <v>43</v>
      </c>
      <c r="E154" s="19">
        <f>SUMIFS('Stock Inflow'!$G$2:$G$601,'Stock Inflow'!$A$2:$A$601,$A154,'Stock Inflow'!$D$2:$D$601,$D154)</f>
        <v>279</v>
      </c>
      <c r="F154" s="19">
        <f>SUMIFS('Stock Inflow'!$F$2:$F$601,'Stock Inflow'!$A$2:$A$601,$A154,'Stock Inflow'!$D$2:$D$601,$D154)</f>
        <v>73</v>
      </c>
      <c r="G154" s="19">
        <f>SUMIFS('Stock Inflow'!$E$2:$E$601,'Stock Inflow'!$A$2:$A$601,$A154,'Stock Inflow'!$D$2:$D$601,$D154)</f>
        <v>1</v>
      </c>
      <c r="H154" s="19">
        <f>SUMIFS('Stock Outflow'!$F$2:$F$601,'Stock Outflow'!$A$2:$A$601,$A154,'Stock Outflow'!$D$2:$D$601,$D154)</f>
        <v>62</v>
      </c>
      <c r="I154" s="19">
        <f>SUMIFS('Stock Outflow'!$E$2:$E$601,'Stock Outflow'!$A$2:$A$601,$A154,'Stock Outflow'!$D$2:$D$601,$D154)</f>
        <v>2</v>
      </c>
      <c r="J154" s="19">
        <f t="shared" si="12"/>
        <v>289</v>
      </c>
      <c r="K154" s="20">
        <f>INDEX('Item Master'!$F$2:$F$51,MATCH($A154,'Item Master'!$A$2:$A$51,0))</f>
        <v>700</v>
      </c>
      <c r="L154" s="20">
        <f t="shared" si="13"/>
        <v>43400</v>
      </c>
      <c r="M154" s="21">
        <f t="shared" si="14"/>
        <v>2.0666666666666669</v>
      </c>
      <c r="N154" s="19">
        <f>INDEX('Item Master'!$E$2:$E$51,MATCH($A154,'Item Master'!$A$2:$A$51,0))</f>
        <v>5</v>
      </c>
      <c r="O154" s="22">
        <f>INDEX('Product Summary'!$L$2:$L$51,MATCH($A154,'Product Summary'!$A$2:$A$51,0))</f>
        <v>5.6805555555555562</v>
      </c>
      <c r="P154" s="22">
        <f>INDEX('Product Summary'!$M$2:$M$51,MATCH($A154,'Product Summary'!$A$2:$A$51,0))</f>
        <v>16.023021308980212</v>
      </c>
      <c r="Q154" s="22">
        <f t="shared" si="15"/>
        <v>139.83870967741933</v>
      </c>
      <c r="R154" s="22">
        <f t="shared" si="16"/>
        <v>132.08563485049342</v>
      </c>
      <c r="S154" s="19" t="str">
        <f t="shared" si="17"/>
        <v>HEALTHY</v>
      </c>
    </row>
    <row r="155" spans="1:19" x14ac:dyDescent="0.3">
      <c r="A155" s="19" t="s">
        <v>96</v>
      </c>
      <c r="B155" s="19" t="s">
        <v>97</v>
      </c>
      <c r="C155" s="19" t="s">
        <v>36</v>
      </c>
      <c r="D155" s="19" t="s">
        <v>45</v>
      </c>
      <c r="E155" s="19">
        <f>SUMIFS('Stock Inflow'!$G$2:$G$601,'Stock Inflow'!$A$2:$A$601,$A155,'Stock Inflow'!$D$2:$D$601,$D155)</f>
        <v>289</v>
      </c>
      <c r="F155" s="19">
        <f>SUMIFS('Stock Inflow'!$F$2:$F$601,'Stock Inflow'!$A$2:$A$601,$A155,'Stock Inflow'!$D$2:$D$601,$D155)</f>
        <v>121</v>
      </c>
      <c r="G155" s="19">
        <f>SUMIFS('Stock Inflow'!$E$2:$E$601,'Stock Inflow'!$A$2:$A$601,$A155,'Stock Inflow'!$D$2:$D$601,$D155)</f>
        <v>3</v>
      </c>
      <c r="H155" s="19">
        <f>SUMIFS('Stock Outflow'!$F$2:$F$601,'Stock Outflow'!$A$2:$A$601,$A155,'Stock Outflow'!$D$2:$D$601,$D155)</f>
        <v>97</v>
      </c>
      <c r="I155" s="19">
        <f>SUMIFS('Stock Outflow'!$E$2:$E$601,'Stock Outflow'!$A$2:$A$601,$A155,'Stock Outflow'!$D$2:$D$601,$D155)</f>
        <v>2</v>
      </c>
      <c r="J155" s="19">
        <f t="shared" si="12"/>
        <v>314</v>
      </c>
      <c r="K155" s="20">
        <f>INDEX('Item Master'!$F$2:$F$51,MATCH($A155,'Item Master'!$A$2:$A$51,0))</f>
        <v>700</v>
      </c>
      <c r="L155" s="20">
        <f t="shared" si="13"/>
        <v>67900</v>
      </c>
      <c r="M155" s="21">
        <f t="shared" si="14"/>
        <v>3.2333333333333334</v>
      </c>
      <c r="N155" s="19">
        <f>INDEX('Item Master'!$E$2:$E$51,MATCH($A155,'Item Master'!$A$2:$A$51,0))</f>
        <v>5</v>
      </c>
      <c r="O155" s="22">
        <f>INDEX('Product Summary'!$L$2:$L$51,MATCH($A155,'Product Summary'!$A$2:$A$51,0))</f>
        <v>5.6805555555555562</v>
      </c>
      <c r="P155" s="22">
        <f>INDEX('Product Summary'!$M$2:$M$51,MATCH($A155,'Product Summary'!$A$2:$A$51,0))</f>
        <v>16.023021308980212</v>
      </c>
      <c r="Q155" s="22">
        <f t="shared" si="15"/>
        <v>97.113402061855666</v>
      </c>
      <c r="R155" s="22">
        <f t="shared" si="16"/>
        <v>92.157828461140141</v>
      </c>
      <c r="S155" s="19" t="str">
        <f t="shared" si="17"/>
        <v>HEALTHY</v>
      </c>
    </row>
    <row r="156" spans="1:19" x14ac:dyDescent="0.3">
      <c r="A156" s="19" t="s">
        <v>96</v>
      </c>
      <c r="B156" s="19" t="s">
        <v>97</v>
      </c>
      <c r="C156" s="19" t="s">
        <v>36</v>
      </c>
      <c r="D156" s="19" t="s">
        <v>47</v>
      </c>
      <c r="E156" s="19">
        <f>SUMIFS('Stock Inflow'!$G$2:$G$601,'Stock Inflow'!$A$2:$A$601,$A156,'Stock Inflow'!$D$2:$D$601,$D156)</f>
        <v>314</v>
      </c>
      <c r="F156" s="19">
        <f>SUMIFS('Stock Inflow'!$F$2:$F$601,'Stock Inflow'!$A$2:$A$601,$A156,'Stock Inflow'!$D$2:$D$601,$D156)</f>
        <v>67</v>
      </c>
      <c r="G156" s="19">
        <f>SUMIFS('Stock Inflow'!$E$2:$E$601,'Stock Inflow'!$A$2:$A$601,$A156,'Stock Inflow'!$D$2:$D$601,$D156)</f>
        <v>1</v>
      </c>
      <c r="H156" s="19">
        <f>SUMIFS('Stock Outflow'!$F$2:$F$601,'Stock Outflow'!$A$2:$A$601,$A156,'Stock Outflow'!$D$2:$D$601,$D156)</f>
        <v>69</v>
      </c>
      <c r="I156" s="19">
        <f>SUMIFS('Stock Outflow'!$E$2:$E$601,'Stock Outflow'!$A$2:$A$601,$A156,'Stock Outflow'!$D$2:$D$601,$D156)</f>
        <v>2</v>
      </c>
      <c r="J156" s="19">
        <f t="shared" si="12"/>
        <v>311</v>
      </c>
      <c r="K156" s="20">
        <f>INDEX('Item Master'!$F$2:$F$51,MATCH($A156,'Item Master'!$A$2:$A$51,0))</f>
        <v>700</v>
      </c>
      <c r="L156" s="20">
        <f t="shared" si="13"/>
        <v>48300</v>
      </c>
      <c r="M156" s="21">
        <f t="shared" si="14"/>
        <v>2.2999999999999998</v>
      </c>
      <c r="N156" s="19">
        <f>INDEX('Item Master'!$E$2:$E$51,MATCH($A156,'Item Master'!$A$2:$A$51,0))</f>
        <v>5</v>
      </c>
      <c r="O156" s="22">
        <f>INDEX('Product Summary'!$L$2:$L$51,MATCH($A156,'Product Summary'!$A$2:$A$51,0))</f>
        <v>5.6805555555555562</v>
      </c>
      <c r="P156" s="22">
        <f>INDEX('Product Summary'!$M$2:$M$51,MATCH($A156,'Product Summary'!$A$2:$A$51,0))</f>
        <v>16.023021308980212</v>
      </c>
      <c r="Q156" s="22">
        <f t="shared" si="15"/>
        <v>135.21739130434784</v>
      </c>
      <c r="R156" s="22">
        <f t="shared" si="16"/>
        <v>128.25086030044341</v>
      </c>
      <c r="S156" s="19" t="str">
        <f t="shared" si="17"/>
        <v>HEALTHY</v>
      </c>
    </row>
    <row r="157" spans="1:19" x14ac:dyDescent="0.3">
      <c r="A157" s="19" t="s">
        <v>96</v>
      </c>
      <c r="B157" s="19" t="s">
        <v>97</v>
      </c>
      <c r="C157" s="19" t="s">
        <v>36</v>
      </c>
      <c r="D157" s="19" t="s">
        <v>49</v>
      </c>
      <c r="E157" s="19">
        <f>SUMIFS('Stock Inflow'!$G$2:$G$601,'Stock Inflow'!$A$2:$A$601,$A157,'Stock Inflow'!$D$2:$D$601,$D157)</f>
        <v>311</v>
      </c>
      <c r="F157" s="19">
        <f>SUMIFS('Stock Inflow'!$F$2:$F$601,'Stock Inflow'!$A$2:$A$601,$A157,'Stock Inflow'!$D$2:$D$601,$D157)</f>
        <v>75</v>
      </c>
      <c r="G157" s="19">
        <f>SUMIFS('Stock Inflow'!$E$2:$E$601,'Stock Inflow'!$A$2:$A$601,$A157,'Stock Inflow'!$D$2:$D$601,$D157)</f>
        <v>1</v>
      </c>
      <c r="H157" s="19">
        <f>SUMIFS('Stock Outflow'!$F$2:$F$601,'Stock Outflow'!$A$2:$A$601,$A157,'Stock Outflow'!$D$2:$D$601,$D157)</f>
        <v>61</v>
      </c>
      <c r="I157" s="19">
        <f>SUMIFS('Stock Outflow'!$E$2:$E$601,'Stock Outflow'!$A$2:$A$601,$A157,'Stock Outflow'!$D$2:$D$601,$D157)</f>
        <v>0</v>
      </c>
      <c r="J157" s="19">
        <f t="shared" si="12"/>
        <v>326</v>
      </c>
      <c r="K157" s="20">
        <f>INDEX('Item Master'!$F$2:$F$51,MATCH($A157,'Item Master'!$A$2:$A$51,0))</f>
        <v>700</v>
      </c>
      <c r="L157" s="20">
        <f t="shared" si="13"/>
        <v>42700</v>
      </c>
      <c r="M157" s="21">
        <f t="shared" si="14"/>
        <v>2.0333333333333332</v>
      </c>
      <c r="N157" s="19">
        <f>INDEX('Item Master'!$E$2:$E$51,MATCH($A157,'Item Master'!$A$2:$A$51,0))</f>
        <v>5</v>
      </c>
      <c r="O157" s="22">
        <f>INDEX('Product Summary'!$L$2:$L$51,MATCH($A157,'Product Summary'!$A$2:$A$51,0))</f>
        <v>5.6805555555555562</v>
      </c>
      <c r="P157" s="22">
        <f>INDEX('Product Summary'!$M$2:$M$51,MATCH($A157,'Product Summary'!$A$2:$A$51,0))</f>
        <v>16.023021308980212</v>
      </c>
      <c r="Q157" s="22">
        <f t="shared" si="15"/>
        <v>160.32786885245903</v>
      </c>
      <c r="R157" s="22">
        <f t="shared" si="16"/>
        <v>152.44769443820647</v>
      </c>
      <c r="S157" s="19" t="str">
        <f t="shared" si="17"/>
        <v>OVERSTOCK</v>
      </c>
    </row>
    <row r="158" spans="1:19" x14ac:dyDescent="0.3">
      <c r="A158" s="19" t="s">
        <v>98</v>
      </c>
      <c r="B158" s="19" t="s">
        <v>99</v>
      </c>
      <c r="C158" s="19" t="s">
        <v>36</v>
      </c>
      <c r="D158" s="19" t="s">
        <v>27</v>
      </c>
      <c r="E158" s="19">
        <f>SUMIFS('Stock Inflow'!$G$2:$G$601,'Stock Inflow'!$A$2:$A$601,$A158,'Stock Inflow'!$D$2:$D$601,$D158)</f>
        <v>156</v>
      </c>
      <c r="F158" s="19">
        <f>SUMIFS('Stock Inflow'!$F$2:$F$601,'Stock Inflow'!$A$2:$A$601,$A158,'Stock Inflow'!$D$2:$D$601,$D158)</f>
        <v>96</v>
      </c>
      <c r="G158" s="19">
        <f>SUMIFS('Stock Inflow'!$E$2:$E$601,'Stock Inflow'!$A$2:$A$601,$A158,'Stock Inflow'!$D$2:$D$601,$D158)</f>
        <v>1</v>
      </c>
      <c r="H158" s="19">
        <f>SUMIFS('Stock Outflow'!$F$2:$F$601,'Stock Outflow'!$A$2:$A$601,$A158,'Stock Outflow'!$D$2:$D$601,$D158)</f>
        <v>75</v>
      </c>
      <c r="I158" s="19">
        <f>SUMIFS('Stock Outflow'!$E$2:$E$601,'Stock Outflow'!$A$2:$A$601,$A158,'Stock Outflow'!$D$2:$D$601,$D158)</f>
        <v>1</v>
      </c>
      <c r="J158" s="19">
        <f t="shared" si="12"/>
        <v>177</v>
      </c>
      <c r="K158" s="20">
        <f>INDEX('Item Master'!$F$2:$F$51,MATCH($A158,'Item Master'!$A$2:$A$51,0))</f>
        <v>250</v>
      </c>
      <c r="L158" s="20">
        <f t="shared" si="13"/>
        <v>18750</v>
      </c>
      <c r="M158" s="21">
        <f t="shared" si="14"/>
        <v>2.5</v>
      </c>
      <c r="N158" s="19">
        <f>INDEX('Item Master'!$E$2:$E$51,MATCH($A158,'Item Master'!$A$2:$A$51,0))</f>
        <v>5</v>
      </c>
      <c r="O158" s="22">
        <f>INDEX('Product Summary'!$L$2:$L$51,MATCH($A158,'Product Summary'!$A$2:$A$51,0))</f>
        <v>6.875</v>
      </c>
      <c r="P158" s="22">
        <f>INDEX('Product Summary'!$M$2:$M$51,MATCH($A158,'Product Summary'!$A$2:$A$51,0))</f>
        <v>18.669520547945204</v>
      </c>
      <c r="Q158" s="22">
        <f t="shared" si="15"/>
        <v>70.8</v>
      </c>
      <c r="R158" s="22">
        <f t="shared" si="16"/>
        <v>63.332191780821915</v>
      </c>
      <c r="S158" s="19" t="str">
        <f t="shared" si="17"/>
        <v>HEALTHY</v>
      </c>
    </row>
    <row r="159" spans="1:19" x14ac:dyDescent="0.3">
      <c r="A159" s="19" t="s">
        <v>98</v>
      </c>
      <c r="B159" s="19" t="s">
        <v>99</v>
      </c>
      <c r="C159" s="19" t="s">
        <v>36</v>
      </c>
      <c r="D159" s="19" t="s">
        <v>29</v>
      </c>
      <c r="E159" s="19">
        <f>SUMIFS('Stock Inflow'!$G$2:$G$601,'Stock Inflow'!$A$2:$A$601,$A159,'Stock Inflow'!$D$2:$D$601,$D159)</f>
        <v>177</v>
      </c>
      <c r="F159" s="19">
        <f>SUMIFS('Stock Inflow'!$F$2:$F$601,'Stock Inflow'!$A$2:$A$601,$A159,'Stock Inflow'!$D$2:$D$601,$D159)</f>
        <v>75</v>
      </c>
      <c r="G159" s="19">
        <f>SUMIFS('Stock Inflow'!$E$2:$E$601,'Stock Inflow'!$A$2:$A$601,$A159,'Stock Inflow'!$D$2:$D$601,$D159)</f>
        <v>2</v>
      </c>
      <c r="H159" s="19">
        <f>SUMIFS('Stock Outflow'!$F$2:$F$601,'Stock Outflow'!$A$2:$A$601,$A159,'Stock Outflow'!$D$2:$D$601,$D159)</f>
        <v>70</v>
      </c>
      <c r="I159" s="19">
        <f>SUMIFS('Stock Outflow'!$E$2:$E$601,'Stock Outflow'!$A$2:$A$601,$A159,'Stock Outflow'!$D$2:$D$601,$D159)</f>
        <v>1</v>
      </c>
      <c r="J159" s="19">
        <f t="shared" si="12"/>
        <v>183</v>
      </c>
      <c r="K159" s="20">
        <f>INDEX('Item Master'!$F$2:$F$51,MATCH($A159,'Item Master'!$A$2:$A$51,0))</f>
        <v>250</v>
      </c>
      <c r="L159" s="20">
        <f t="shared" si="13"/>
        <v>17500</v>
      </c>
      <c r="M159" s="21">
        <f t="shared" si="14"/>
        <v>2.3333333333333335</v>
      </c>
      <c r="N159" s="19">
        <f>INDEX('Item Master'!$E$2:$E$51,MATCH($A159,'Item Master'!$A$2:$A$51,0))</f>
        <v>5</v>
      </c>
      <c r="O159" s="22">
        <f>INDEX('Product Summary'!$L$2:$L$51,MATCH($A159,'Product Summary'!$A$2:$A$51,0))</f>
        <v>6.875</v>
      </c>
      <c r="P159" s="22">
        <f>INDEX('Product Summary'!$M$2:$M$51,MATCH($A159,'Product Summary'!$A$2:$A$51,0))</f>
        <v>18.669520547945204</v>
      </c>
      <c r="Q159" s="22">
        <f t="shared" si="15"/>
        <v>78.428571428571431</v>
      </c>
      <c r="R159" s="22">
        <f t="shared" si="16"/>
        <v>70.427348336594903</v>
      </c>
      <c r="S159" s="19" t="str">
        <f t="shared" si="17"/>
        <v>HEALTHY</v>
      </c>
    </row>
    <row r="160" spans="1:19" x14ac:dyDescent="0.3">
      <c r="A160" s="19" t="s">
        <v>98</v>
      </c>
      <c r="B160" s="19" t="s">
        <v>99</v>
      </c>
      <c r="C160" s="19" t="s">
        <v>36</v>
      </c>
      <c r="D160" s="19" t="s">
        <v>31</v>
      </c>
      <c r="E160" s="19">
        <f>SUMIFS('Stock Inflow'!$G$2:$G$601,'Stock Inflow'!$A$2:$A$601,$A160,'Stock Inflow'!$D$2:$D$601,$D160)</f>
        <v>183</v>
      </c>
      <c r="F160" s="19">
        <f>SUMIFS('Stock Inflow'!$F$2:$F$601,'Stock Inflow'!$A$2:$A$601,$A160,'Stock Inflow'!$D$2:$D$601,$D160)</f>
        <v>79</v>
      </c>
      <c r="G160" s="19">
        <f>SUMIFS('Stock Inflow'!$E$2:$E$601,'Stock Inflow'!$A$2:$A$601,$A160,'Stock Inflow'!$D$2:$D$601,$D160)</f>
        <v>3</v>
      </c>
      <c r="H160" s="19">
        <f>SUMIFS('Stock Outflow'!$F$2:$F$601,'Stock Outflow'!$A$2:$A$601,$A160,'Stock Outflow'!$D$2:$D$601,$D160)</f>
        <v>75</v>
      </c>
      <c r="I160" s="19">
        <f>SUMIFS('Stock Outflow'!$E$2:$E$601,'Stock Outflow'!$A$2:$A$601,$A160,'Stock Outflow'!$D$2:$D$601,$D160)</f>
        <v>1</v>
      </c>
      <c r="J160" s="19">
        <f t="shared" si="12"/>
        <v>189</v>
      </c>
      <c r="K160" s="20">
        <f>INDEX('Item Master'!$F$2:$F$51,MATCH($A160,'Item Master'!$A$2:$A$51,0))</f>
        <v>250</v>
      </c>
      <c r="L160" s="20">
        <f t="shared" si="13"/>
        <v>18750</v>
      </c>
      <c r="M160" s="21">
        <f t="shared" si="14"/>
        <v>2.5</v>
      </c>
      <c r="N160" s="19">
        <f>INDEX('Item Master'!$E$2:$E$51,MATCH($A160,'Item Master'!$A$2:$A$51,0))</f>
        <v>5</v>
      </c>
      <c r="O160" s="22">
        <f>INDEX('Product Summary'!$L$2:$L$51,MATCH($A160,'Product Summary'!$A$2:$A$51,0))</f>
        <v>6.875</v>
      </c>
      <c r="P160" s="22">
        <f>INDEX('Product Summary'!$M$2:$M$51,MATCH($A160,'Product Summary'!$A$2:$A$51,0))</f>
        <v>18.669520547945204</v>
      </c>
      <c r="Q160" s="22">
        <f t="shared" si="15"/>
        <v>75.599999999999994</v>
      </c>
      <c r="R160" s="22">
        <f t="shared" si="16"/>
        <v>68.132191780821913</v>
      </c>
      <c r="S160" s="19" t="str">
        <f t="shared" si="17"/>
        <v>HEALTHY</v>
      </c>
    </row>
    <row r="161" spans="1:19" x14ac:dyDescent="0.3">
      <c r="A161" s="19" t="s">
        <v>98</v>
      </c>
      <c r="B161" s="19" t="s">
        <v>99</v>
      </c>
      <c r="C161" s="19" t="s">
        <v>36</v>
      </c>
      <c r="D161" s="19" t="s">
        <v>33</v>
      </c>
      <c r="E161" s="19">
        <f>SUMIFS('Stock Inflow'!$G$2:$G$601,'Stock Inflow'!$A$2:$A$601,$A161,'Stock Inflow'!$D$2:$D$601,$D161)</f>
        <v>189</v>
      </c>
      <c r="F161" s="19">
        <f>SUMIFS('Stock Inflow'!$F$2:$F$601,'Stock Inflow'!$A$2:$A$601,$A161,'Stock Inflow'!$D$2:$D$601,$D161)</f>
        <v>76</v>
      </c>
      <c r="G161" s="19">
        <f>SUMIFS('Stock Inflow'!$E$2:$E$601,'Stock Inflow'!$A$2:$A$601,$A161,'Stock Inflow'!$D$2:$D$601,$D161)</f>
        <v>2</v>
      </c>
      <c r="H161" s="19">
        <f>SUMIFS('Stock Outflow'!$F$2:$F$601,'Stock Outflow'!$A$2:$A$601,$A161,'Stock Outflow'!$D$2:$D$601,$D161)</f>
        <v>71</v>
      </c>
      <c r="I161" s="19">
        <f>SUMIFS('Stock Outflow'!$E$2:$E$601,'Stock Outflow'!$A$2:$A$601,$A161,'Stock Outflow'!$D$2:$D$601,$D161)</f>
        <v>0</v>
      </c>
      <c r="J161" s="19">
        <f t="shared" si="12"/>
        <v>196</v>
      </c>
      <c r="K161" s="20">
        <f>INDEX('Item Master'!$F$2:$F$51,MATCH($A161,'Item Master'!$A$2:$A$51,0))</f>
        <v>250</v>
      </c>
      <c r="L161" s="20">
        <f t="shared" si="13"/>
        <v>17750</v>
      </c>
      <c r="M161" s="21">
        <f t="shared" si="14"/>
        <v>2.3666666666666667</v>
      </c>
      <c r="N161" s="19">
        <f>INDEX('Item Master'!$E$2:$E$51,MATCH($A161,'Item Master'!$A$2:$A$51,0))</f>
        <v>5</v>
      </c>
      <c r="O161" s="22">
        <f>INDEX('Product Summary'!$L$2:$L$51,MATCH($A161,'Product Summary'!$A$2:$A$51,0))</f>
        <v>6.875</v>
      </c>
      <c r="P161" s="22">
        <f>INDEX('Product Summary'!$M$2:$M$51,MATCH($A161,'Product Summary'!$A$2:$A$51,0))</f>
        <v>18.669520547945204</v>
      </c>
      <c r="Q161" s="22">
        <f t="shared" si="15"/>
        <v>82.816901408450704</v>
      </c>
      <c r="R161" s="22">
        <f t="shared" si="16"/>
        <v>74.928371599459766</v>
      </c>
      <c r="S161" s="19" t="str">
        <f t="shared" si="17"/>
        <v>HEALTHY</v>
      </c>
    </row>
    <row r="162" spans="1:19" x14ac:dyDescent="0.3">
      <c r="A162" s="19" t="s">
        <v>98</v>
      </c>
      <c r="B162" s="19" t="s">
        <v>99</v>
      </c>
      <c r="C162" s="19" t="s">
        <v>36</v>
      </c>
      <c r="D162" s="19" t="s">
        <v>35</v>
      </c>
      <c r="E162" s="19">
        <f>SUMIFS('Stock Inflow'!$G$2:$G$601,'Stock Inflow'!$A$2:$A$601,$A162,'Stock Inflow'!$D$2:$D$601,$D162)</f>
        <v>196</v>
      </c>
      <c r="F162" s="19">
        <f>SUMIFS('Stock Inflow'!$F$2:$F$601,'Stock Inflow'!$A$2:$A$601,$A162,'Stock Inflow'!$D$2:$D$601,$D162)</f>
        <v>74</v>
      </c>
      <c r="G162" s="19">
        <f>SUMIFS('Stock Inflow'!$E$2:$E$601,'Stock Inflow'!$A$2:$A$601,$A162,'Stock Inflow'!$D$2:$D$601,$D162)</f>
        <v>3</v>
      </c>
      <c r="H162" s="19">
        <f>SUMIFS('Stock Outflow'!$F$2:$F$601,'Stock Outflow'!$A$2:$A$601,$A162,'Stock Outflow'!$D$2:$D$601,$D162)</f>
        <v>79</v>
      </c>
      <c r="I162" s="19">
        <f>SUMIFS('Stock Outflow'!$E$2:$E$601,'Stock Outflow'!$A$2:$A$601,$A162,'Stock Outflow'!$D$2:$D$601,$D162)</f>
        <v>1</v>
      </c>
      <c r="J162" s="19">
        <f t="shared" si="12"/>
        <v>193</v>
      </c>
      <c r="K162" s="20">
        <f>INDEX('Item Master'!$F$2:$F$51,MATCH($A162,'Item Master'!$A$2:$A$51,0))</f>
        <v>250</v>
      </c>
      <c r="L162" s="20">
        <f t="shared" si="13"/>
        <v>19750</v>
      </c>
      <c r="M162" s="21">
        <f t="shared" si="14"/>
        <v>2.6333333333333333</v>
      </c>
      <c r="N162" s="19">
        <f>INDEX('Item Master'!$E$2:$E$51,MATCH($A162,'Item Master'!$A$2:$A$51,0))</f>
        <v>5</v>
      </c>
      <c r="O162" s="22">
        <f>INDEX('Product Summary'!$L$2:$L$51,MATCH($A162,'Product Summary'!$A$2:$A$51,0))</f>
        <v>6.875</v>
      </c>
      <c r="P162" s="22">
        <f>INDEX('Product Summary'!$M$2:$M$51,MATCH($A162,'Product Summary'!$A$2:$A$51,0))</f>
        <v>18.669520547945204</v>
      </c>
      <c r="Q162" s="22">
        <f t="shared" si="15"/>
        <v>73.291139240506325</v>
      </c>
      <c r="R162" s="22">
        <f t="shared" si="16"/>
        <v>66.20144789318536</v>
      </c>
      <c r="S162" s="19" t="str">
        <f t="shared" si="17"/>
        <v>HEALTHY</v>
      </c>
    </row>
    <row r="163" spans="1:19" x14ac:dyDescent="0.3">
      <c r="A163" s="19" t="s">
        <v>98</v>
      </c>
      <c r="B163" s="19" t="s">
        <v>99</v>
      </c>
      <c r="C163" s="19" t="s">
        <v>36</v>
      </c>
      <c r="D163" s="19" t="s">
        <v>37</v>
      </c>
      <c r="E163" s="19">
        <f>SUMIFS('Stock Inflow'!$G$2:$G$601,'Stock Inflow'!$A$2:$A$601,$A163,'Stock Inflow'!$D$2:$D$601,$D163)</f>
        <v>193</v>
      </c>
      <c r="F163" s="19">
        <f>SUMIFS('Stock Inflow'!$F$2:$F$601,'Stock Inflow'!$A$2:$A$601,$A163,'Stock Inflow'!$D$2:$D$601,$D163)</f>
        <v>60</v>
      </c>
      <c r="G163" s="19">
        <f>SUMIFS('Stock Inflow'!$E$2:$E$601,'Stock Inflow'!$A$2:$A$601,$A163,'Stock Inflow'!$D$2:$D$601,$D163)</f>
        <v>1</v>
      </c>
      <c r="H163" s="19">
        <f>SUMIFS('Stock Outflow'!$F$2:$F$601,'Stock Outflow'!$A$2:$A$601,$A163,'Stock Outflow'!$D$2:$D$601,$D163)</f>
        <v>64</v>
      </c>
      <c r="I163" s="19">
        <f>SUMIFS('Stock Outflow'!$E$2:$E$601,'Stock Outflow'!$A$2:$A$601,$A163,'Stock Outflow'!$D$2:$D$601,$D163)</f>
        <v>1</v>
      </c>
      <c r="J163" s="19">
        <f t="shared" si="12"/>
        <v>189</v>
      </c>
      <c r="K163" s="20">
        <f>INDEX('Item Master'!$F$2:$F$51,MATCH($A163,'Item Master'!$A$2:$A$51,0))</f>
        <v>250</v>
      </c>
      <c r="L163" s="20">
        <f t="shared" si="13"/>
        <v>16000</v>
      </c>
      <c r="M163" s="21">
        <f t="shared" si="14"/>
        <v>2.1333333333333333</v>
      </c>
      <c r="N163" s="19">
        <f>INDEX('Item Master'!$E$2:$E$51,MATCH($A163,'Item Master'!$A$2:$A$51,0))</f>
        <v>5</v>
      </c>
      <c r="O163" s="22">
        <f>INDEX('Product Summary'!$L$2:$L$51,MATCH($A163,'Product Summary'!$A$2:$A$51,0))</f>
        <v>6.875</v>
      </c>
      <c r="P163" s="22">
        <f>INDEX('Product Summary'!$M$2:$M$51,MATCH($A163,'Product Summary'!$A$2:$A$51,0))</f>
        <v>18.669520547945204</v>
      </c>
      <c r="Q163" s="22">
        <f t="shared" si="15"/>
        <v>88.59375</v>
      </c>
      <c r="R163" s="22">
        <f t="shared" si="16"/>
        <v>79.84241224315069</v>
      </c>
      <c r="S163" s="19" t="str">
        <f t="shared" si="17"/>
        <v>HEALTHY</v>
      </c>
    </row>
    <row r="164" spans="1:19" x14ac:dyDescent="0.3">
      <c r="A164" s="19" t="s">
        <v>98</v>
      </c>
      <c r="B164" s="19" t="s">
        <v>99</v>
      </c>
      <c r="C164" s="19" t="s">
        <v>36</v>
      </c>
      <c r="D164" s="19" t="s">
        <v>39</v>
      </c>
      <c r="E164" s="19">
        <f>SUMIFS('Stock Inflow'!$G$2:$G$601,'Stock Inflow'!$A$2:$A$601,$A164,'Stock Inflow'!$D$2:$D$601,$D164)</f>
        <v>189</v>
      </c>
      <c r="F164" s="19">
        <f>SUMIFS('Stock Inflow'!$F$2:$F$601,'Stock Inflow'!$A$2:$A$601,$A164,'Stock Inflow'!$D$2:$D$601,$D164)</f>
        <v>66</v>
      </c>
      <c r="G164" s="19">
        <f>SUMIFS('Stock Inflow'!$E$2:$E$601,'Stock Inflow'!$A$2:$A$601,$A164,'Stock Inflow'!$D$2:$D$601,$D164)</f>
        <v>2</v>
      </c>
      <c r="H164" s="19">
        <f>SUMIFS('Stock Outflow'!$F$2:$F$601,'Stock Outflow'!$A$2:$A$601,$A164,'Stock Outflow'!$D$2:$D$601,$D164)</f>
        <v>62</v>
      </c>
      <c r="I164" s="19">
        <f>SUMIFS('Stock Outflow'!$E$2:$E$601,'Stock Outflow'!$A$2:$A$601,$A164,'Stock Outflow'!$D$2:$D$601,$D164)</f>
        <v>1</v>
      </c>
      <c r="J164" s="19">
        <f t="shared" si="12"/>
        <v>194</v>
      </c>
      <c r="K164" s="20">
        <f>INDEX('Item Master'!$F$2:$F$51,MATCH($A164,'Item Master'!$A$2:$A$51,0))</f>
        <v>250</v>
      </c>
      <c r="L164" s="20">
        <f t="shared" si="13"/>
        <v>15500</v>
      </c>
      <c r="M164" s="21">
        <f t="shared" si="14"/>
        <v>2.0666666666666669</v>
      </c>
      <c r="N164" s="19">
        <f>INDEX('Item Master'!$E$2:$E$51,MATCH($A164,'Item Master'!$A$2:$A$51,0))</f>
        <v>5</v>
      </c>
      <c r="O164" s="22">
        <f>INDEX('Product Summary'!$L$2:$L$51,MATCH($A164,'Product Summary'!$A$2:$A$51,0))</f>
        <v>6.875</v>
      </c>
      <c r="P164" s="22">
        <f>INDEX('Product Summary'!$M$2:$M$51,MATCH($A164,'Product Summary'!$A$2:$A$51,0))</f>
        <v>18.669520547945204</v>
      </c>
      <c r="Q164" s="22">
        <f t="shared" si="15"/>
        <v>93.870967741935473</v>
      </c>
      <c r="R164" s="22">
        <f t="shared" si="16"/>
        <v>84.837328767123282</v>
      </c>
      <c r="S164" s="19" t="str">
        <f t="shared" si="17"/>
        <v>HEALTHY</v>
      </c>
    </row>
    <row r="165" spans="1:19" x14ac:dyDescent="0.3">
      <c r="A165" s="19" t="s">
        <v>98</v>
      </c>
      <c r="B165" s="19" t="s">
        <v>99</v>
      </c>
      <c r="C165" s="19" t="s">
        <v>36</v>
      </c>
      <c r="D165" s="19" t="s">
        <v>41</v>
      </c>
      <c r="E165" s="19">
        <f>SUMIFS('Stock Inflow'!$G$2:$G$601,'Stock Inflow'!$A$2:$A$601,$A165,'Stock Inflow'!$D$2:$D$601,$D165)</f>
        <v>194</v>
      </c>
      <c r="F165" s="19">
        <f>SUMIFS('Stock Inflow'!$F$2:$F$601,'Stock Inflow'!$A$2:$A$601,$A165,'Stock Inflow'!$D$2:$D$601,$D165)</f>
        <v>60</v>
      </c>
      <c r="G165" s="19">
        <f>SUMIFS('Stock Inflow'!$E$2:$E$601,'Stock Inflow'!$A$2:$A$601,$A165,'Stock Inflow'!$D$2:$D$601,$D165)</f>
        <v>1</v>
      </c>
      <c r="H165" s="19">
        <f>SUMIFS('Stock Outflow'!$F$2:$F$601,'Stock Outflow'!$A$2:$A$601,$A165,'Stock Outflow'!$D$2:$D$601,$D165)</f>
        <v>59</v>
      </c>
      <c r="I165" s="19">
        <f>SUMIFS('Stock Outflow'!$E$2:$E$601,'Stock Outflow'!$A$2:$A$601,$A165,'Stock Outflow'!$D$2:$D$601,$D165)</f>
        <v>2</v>
      </c>
      <c r="J165" s="19">
        <f t="shared" si="12"/>
        <v>194</v>
      </c>
      <c r="K165" s="20">
        <f>INDEX('Item Master'!$F$2:$F$51,MATCH($A165,'Item Master'!$A$2:$A$51,0))</f>
        <v>250</v>
      </c>
      <c r="L165" s="20">
        <f t="shared" si="13"/>
        <v>14750</v>
      </c>
      <c r="M165" s="21">
        <f t="shared" si="14"/>
        <v>1.9666666666666666</v>
      </c>
      <c r="N165" s="19">
        <f>INDEX('Item Master'!$E$2:$E$51,MATCH($A165,'Item Master'!$A$2:$A$51,0))</f>
        <v>5</v>
      </c>
      <c r="O165" s="22">
        <f>INDEX('Product Summary'!$L$2:$L$51,MATCH($A165,'Product Summary'!$A$2:$A$51,0))</f>
        <v>6.875</v>
      </c>
      <c r="P165" s="22">
        <f>INDEX('Product Summary'!$M$2:$M$51,MATCH($A165,'Product Summary'!$A$2:$A$51,0))</f>
        <v>18.669520547945204</v>
      </c>
      <c r="Q165" s="22">
        <f t="shared" si="15"/>
        <v>98.644067796610173</v>
      </c>
      <c r="R165" s="22">
        <f t="shared" si="16"/>
        <v>89.151091246807525</v>
      </c>
      <c r="S165" s="19" t="str">
        <f t="shared" si="17"/>
        <v>HEALTHY</v>
      </c>
    </row>
    <row r="166" spans="1:19" x14ac:dyDescent="0.3">
      <c r="A166" s="19" t="s">
        <v>98</v>
      </c>
      <c r="B166" s="19" t="s">
        <v>99</v>
      </c>
      <c r="C166" s="19" t="s">
        <v>36</v>
      </c>
      <c r="D166" s="19" t="s">
        <v>43</v>
      </c>
      <c r="E166" s="19">
        <f>SUMIFS('Stock Inflow'!$G$2:$G$601,'Stock Inflow'!$A$2:$A$601,$A166,'Stock Inflow'!$D$2:$D$601,$D166)</f>
        <v>194</v>
      </c>
      <c r="F166" s="19">
        <f>SUMIFS('Stock Inflow'!$F$2:$F$601,'Stock Inflow'!$A$2:$A$601,$A166,'Stock Inflow'!$D$2:$D$601,$D166)</f>
        <v>60</v>
      </c>
      <c r="G166" s="19">
        <f>SUMIFS('Stock Inflow'!$E$2:$E$601,'Stock Inflow'!$A$2:$A$601,$A166,'Stock Inflow'!$D$2:$D$601,$D166)</f>
        <v>1</v>
      </c>
      <c r="H166" s="19">
        <f>SUMIFS('Stock Outflow'!$F$2:$F$601,'Stock Outflow'!$A$2:$A$601,$A166,'Stock Outflow'!$D$2:$D$601,$D166)</f>
        <v>60</v>
      </c>
      <c r="I166" s="19">
        <f>SUMIFS('Stock Outflow'!$E$2:$E$601,'Stock Outflow'!$A$2:$A$601,$A166,'Stock Outflow'!$D$2:$D$601,$D166)</f>
        <v>1</v>
      </c>
      <c r="J166" s="19">
        <f t="shared" si="12"/>
        <v>194</v>
      </c>
      <c r="K166" s="20">
        <f>INDEX('Item Master'!$F$2:$F$51,MATCH($A166,'Item Master'!$A$2:$A$51,0))</f>
        <v>250</v>
      </c>
      <c r="L166" s="20">
        <f t="shared" si="13"/>
        <v>15000</v>
      </c>
      <c r="M166" s="21">
        <f t="shared" si="14"/>
        <v>2</v>
      </c>
      <c r="N166" s="19">
        <f>INDEX('Item Master'!$E$2:$E$51,MATCH($A166,'Item Master'!$A$2:$A$51,0))</f>
        <v>5</v>
      </c>
      <c r="O166" s="22">
        <f>INDEX('Product Summary'!$L$2:$L$51,MATCH($A166,'Product Summary'!$A$2:$A$51,0))</f>
        <v>6.875</v>
      </c>
      <c r="P166" s="22">
        <f>INDEX('Product Summary'!$M$2:$M$51,MATCH($A166,'Product Summary'!$A$2:$A$51,0))</f>
        <v>18.669520547945204</v>
      </c>
      <c r="Q166" s="22">
        <f t="shared" si="15"/>
        <v>97</v>
      </c>
      <c r="R166" s="22">
        <f t="shared" si="16"/>
        <v>87.665239726027394</v>
      </c>
      <c r="S166" s="19" t="str">
        <f t="shared" si="17"/>
        <v>HEALTHY</v>
      </c>
    </row>
    <row r="167" spans="1:19" x14ac:dyDescent="0.3">
      <c r="A167" s="19" t="s">
        <v>98</v>
      </c>
      <c r="B167" s="19" t="s">
        <v>99</v>
      </c>
      <c r="C167" s="19" t="s">
        <v>36</v>
      </c>
      <c r="D167" s="19" t="s">
        <v>45</v>
      </c>
      <c r="E167" s="19">
        <f>SUMIFS('Stock Inflow'!$G$2:$G$601,'Stock Inflow'!$A$2:$A$601,$A167,'Stock Inflow'!$D$2:$D$601,$D167)</f>
        <v>194</v>
      </c>
      <c r="F167" s="19">
        <f>SUMIFS('Stock Inflow'!$F$2:$F$601,'Stock Inflow'!$A$2:$A$601,$A167,'Stock Inflow'!$D$2:$D$601,$D167)</f>
        <v>138</v>
      </c>
      <c r="G167" s="19">
        <f>SUMIFS('Stock Inflow'!$E$2:$E$601,'Stock Inflow'!$A$2:$A$601,$A167,'Stock Inflow'!$D$2:$D$601,$D167)</f>
        <v>2</v>
      </c>
      <c r="H167" s="19">
        <f>SUMIFS('Stock Outflow'!$F$2:$F$601,'Stock Outflow'!$A$2:$A$601,$A167,'Stock Outflow'!$D$2:$D$601,$D167)</f>
        <v>113</v>
      </c>
      <c r="I167" s="19">
        <f>SUMIFS('Stock Outflow'!$E$2:$E$601,'Stock Outflow'!$A$2:$A$601,$A167,'Stock Outflow'!$D$2:$D$601,$D167)</f>
        <v>0</v>
      </c>
      <c r="J167" s="19">
        <f t="shared" si="12"/>
        <v>221</v>
      </c>
      <c r="K167" s="20">
        <f>INDEX('Item Master'!$F$2:$F$51,MATCH($A167,'Item Master'!$A$2:$A$51,0))</f>
        <v>250</v>
      </c>
      <c r="L167" s="20">
        <f t="shared" si="13"/>
        <v>28250</v>
      </c>
      <c r="M167" s="21">
        <f t="shared" si="14"/>
        <v>3.7666666666666666</v>
      </c>
      <c r="N167" s="19">
        <f>INDEX('Item Master'!$E$2:$E$51,MATCH($A167,'Item Master'!$A$2:$A$51,0))</f>
        <v>5</v>
      </c>
      <c r="O167" s="22">
        <f>INDEX('Product Summary'!$L$2:$L$51,MATCH($A167,'Product Summary'!$A$2:$A$51,0))</f>
        <v>6.875</v>
      </c>
      <c r="P167" s="22">
        <f>INDEX('Product Summary'!$M$2:$M$51,MATCH($A167,'Product Summary'!$A$2:$A$51,0))</f>
        <v>18.669520547945204</v>
      </c>
      <c r="Q167" s="22">
        <f t="shared" si="15"/>
        <v>58.67256637168142</v>
      </c>
      <c r="R167" s="22">
        <f t="shared" si="16"/>
        <v>53.716056491695966</v>
      </c>
      <c r="S167" s="19" t="str">
        <f t="shared" si="17"/>
        <v>HEALTHY</v>
      </c>
    </row>
    <row r="168" spans="1:19" x14ac:dyDescent="0.3">
      <c r="A168" s="19" t="s">
        <v>98</v>
      </c>
      <c r="B168" s="19" t="s">
        <v>99</v>
      </c>
      <c r="C168" s="19" t="s">
        <v>36</v>
      </c>
      <c r="D168" s="19" t="s">
        <v>47</v>
      </c>
      <c r="E168" s="19">
        <f>SUMIFS('Stock Inflow'!$G$2:$G$601,'Stock Inflow'!$A$2:$A$601,$A168,'Stock Inflow'!$D$2:$D$601,$D168)</f>
        <v>221</v>
      </c>
      <c r="F168" s="19">
        <f>SUMIFS('Stock Inflow'!$F$2:$F$601,'Stock Inflow'!$A$2:$A$601,$A168,'Stock Inflow'!$D$2:$D$601,$D168)</f>
        <v>70</v>
      </c>
      <c r="G168" s="19">
        <f>SUMIFS('Stock Inflow'!$E$2:$E$601,'Stock Inflow'!$A$2:$A$601,$A168,'Stock Inflow'!$D$2:$D$601,$D168)</f>
        <v>1</v>
      </c>
      <c r="H168" s="19">
        <f>SUMIFS('Stock Outflow'!$F$2:$F$601,'Stock Outflow'!$A$2:$A$601,$A168,'Stock Outflow'!$D$2:$D$601,$D168)</f>
        <v>73</v>
      </c>
      <c r="I168" s="19">
        <f>SUMIFS('Stock Outflow'!$E$2:$E$601,'Stock Outflow'!$A$2:$A$601,$A168,'Stock Outflow'!$D$2:$D$601,$D168)</f>
        <v>0</v>
      </c>
      <c r="J168" s="19">
        <f t="shared" si="12"/>
        <v>219</v>
      </c>
      <c r="K168" s="20">
        <f>INDEX('Item Master'!$F$2:$F$51,MATCH($A168,'Item Master'!$A$2:$A$51,0))</f>
        <v>250</v>
      </c>
      <c r="L168" s="20">
        <f t="shared" si="13"/>
        <v>18250</v>
      </c>
      <c r="M168" s="21">
        <f t="shared" si="14"/>
        <v>2.4333333333333331</v>
      </c>
      <c r="N168" s="19">
        <f>INDEX('Item Master'!$E$2:$E$51,MATCH($A168,'Item Master'!$A$2:$A$51,0))</f>
        <v>5</v>
      </c>
      <c r="O168" s="22">
        <f>INDEX('Product Summary'!$L$2:$L$51,MATCH($A168,'Product Summary'!$A$2:$A$51,0))</f>
        <v>6.875</v>
      </c>
      <c r="P168" s="22">
        <f>INDEX('Product Summary'!$M$2:$M$51,MATCH($A168,'Product Summary'!$A$2:$A$51,0))</f>
        <v>18.669520547945204</v>
      </c>
      <c r="Q168" s="22">
        <f t="shared" si="15"/>
        <v>90.000000000000014</v>
      </c>
      <c r="R168" s="22">
        <f t="shared" si="16"/>
        <v>82.327594295364989</v>
      </c>
      <c r="S168" s="19" t="str">
        <f t="shared" si="17"/>
        <v>HEALTHY</v>
      </c>
    </row>
    <row r="169" spans="1:19" x14ac:dyDescent="0.3">
      <c r="A169" s="19" t="s">
        <v>98</v>
      </c>
      <c r="B169" s="19" t="s">
        <v>99</v>
      </c>
      <c r="C169" s="19" t="s">
        <v>36</v>
      </c>
      <c r="D169" s="19" t="s">
        <v>49</v>
      </c>
      <c r="E169" s="19">
        <f>SUMIFS('Stock Inflow'!$G$2:$G$601,'Stock Inflow'!$A$2:$A$601,$A169,'Stock Inflow'!$D$2:$D$601,$D169)</f>
        <v>219</v>
      </c>
      <c r="F169" s="19">
        <f>SUMIFS('Stock Inflow'!$F$2:$F$601,'Stock Inflow'!$A$2:$A$601,$A169,'Stock Inflow'!$D$2:$D$601,$D169)</f>
        <v>73</v>
      </c>
      <c r="G169" s="19">
        <f>SUMIFS('Stock Inflow'!$E$2:$E$601,'Stock Inflow'!$A$2:$A$601,$A169,'Stock Inflow'!$D$2:$D$601,$D169)</f>
        <v>2</v>
      </c>
      <c r="H169" s="19">
        <f>SUMIFS('Stock Outflow'!$F$2:$F$601,'Stock Outflow'!$A$2:$A$601,$A169,'Stock Outflow'!$D$2:$D$601,$D169)</f>
        <v>60</v>
      </c>
      <c r="I169" s="19">
        <f>SUMIFS('Stock Outflow'!$E$2:$E$601,'Stock Outflow'!$A$2:$A$601,$A169,'Stock Outflow'!$D$2:$D$601,$D169)</f>
        <v>2</v>
      </c>
      <c r="J169" s="19">
        <f t="shared" si="12"/>
        <v>232</v>
      </c>
      <c r="K169" s="20">
        <f>INDEX('Item Master'!$F$2:$F$51,MATCH($A169,'Item Master'!$A$2:$A$51,0))</f>
        <v>250</v>
      </c>
      <c r="L169" s="20">
        <f t="shared" si="13"/>
        <v>15000</v>
      </c>
      <c r="M169" s="21">
        <f t="shared" si="14"/>
        <v>2</v>
      </c>
      <c r="N169" s="19">
        <f>INDEX('Item Master'!$E$2:$E$51,MATCH($A169,'Item Master'!$A$2:$A$51,0))</f>
        <v>5</v>
      </c>
      <c r="O169" s="22">
        <f>INDEX('Product Summary'!$L$2:$L$51,MATCH($A169,'Product Summary'!$A$2:$A$51,0))</f>
        <v>6.875</v>
      </c>
      <c r="P169" s="22">
        <f>INDEX('Product Summary'!$M$2:$M$51,MATCH($A169,'Product Summary'!$A$2:$A$51,0))</f>
        <v>18.669520547945204</v>
      </c>
      <c r="Q169" s="22">
        <f t="shared" si="15"/>
        <v>116</v>
      </c>
      <c r="R169" s="22">
        <f t="shared" si="16"/>
        <v>106.66523972602739</v>
      </c>
      <c r="S169" s="19" t="str">
        <f t="shared" si="17"/>
        <v>HEALTHY</v>
      </c>
    </row>
    <row r="170" spans="1:19" x14ac:dyDescent="0.3">
      <c r="A170" s="19" t="s">
        <v>100</v>
      </c>
      <c r="B170" s="19" t="s">
        <v>101</v>
      </c>
      <c r="C170" s="19" t="s">
        <v>42</v>
      </c>
      <c r="D170" s="19" t="s">
        <v>27</v>
      </c>
      <c r="E170" s="19">
        <f>SUMIFS('Stock Inflow'!$G$2:$G$601,'Stock Inflow'!$A$2:$A$601,$A170,'Stock Inflow'!$D$2:$D$601,$D170)</f>
        <v>143</v>
      </c>
      <c r="F170" s="19">
        <f>SUMIFS('Stock Inflow'!$F$2:$F$601,'Stock Inflow'!$A$2:$A$601,$A170,'Stock Inflow'!$D$2:$D$601,$D170)</f>
        <v>107</v>
      </c>
      <c r="G170" s="19">
        <f>SUMIFS('Stock Inflow'!$E$2:$E$601,'Stock Inflow'!$A$2:$A$601,$A170,'Stock Inflow'!$D$2:$D$601,$D170)</f>
        <v>2</v>
      </c>
      <c r="H170" s="19">
        <f>SUMIFS('Stock Outflow'!$F$2:$F$601,'Stock Outflow'!$A$2:$A$601,$A170,'Stock Outflow'!$D$2:$D$601,$D170)</f>
        <v>105</v>
      </c>
      <c r="I170" s="19">
        <f>SUMIFS('Stock Outflow'!$E$2:$E$601,'Stock Outflow'!$A$2:$A$601,$A170,'Stock Outflow'!$D$2:$D$601,$D170)</f>
        <v>1</v>
      </c>
      <c r="J170" s="19">
        <f t="shared" si="12"/>
        <v>146</v>
      </c>
      <c r="K170" s="20">
        <f>INDEX('Item Master'!$F$2:$F$51,MATCH($A170,'Item Master'!$A$2:$A$51,0))</f>
        <v>900</v>
      </c>
      <c r="L170" s="20">
        <f t="shared" si="13"/>
        <v>94500</v>
      </c>
      <c r="M170" s="21">
        <f t="shared" si="14"/>
        <v>3.5</v>
      </c>
      <c r="N170" s="19">
        <f>INDEX('Item Master'!$E$2:$E$51,MATCH($A170,'Item Master'!$A$2:$A$51,0))</f>
        <v>3</v>
      </c>
      <c r="O170" s="22">
        <f>INDEX('Product Summary'!$L$2:$L$51,MATCH($A170,'Product Summary'!$A$2:$A$51,0))</f>
        <v>5.1416666666666675</v>
      </c>
      <c r="P170" s="22">
        <f>INDEX('Product Summary'!$M$2:$M$51,MATCH($A170,'Product Summary'!$A$2:$A$51,0))</f>
        <v>16.344406392694065</v>
      </c>
      <c r="Q170" s="22">
        <f t="shared" si="15"/>
        <v>41.714285714285715</v>
      </c>
      <c r="R170" s="22">
        <f t="shared" si="16"/>
        <v>37.044455316373124</v>
      </c>
      <c r="S170" s="19" t="str">
        <f t="shared" si="17"/>
        <v>HEALTHY</v>
      </c>
    </row>
    <row r="171" spans="1:19" x14ac:dyDescent="0.3">
      <c r="A171" s="19" t="s">
        <v>100</v>
      </c>
      <c r="B171" s="19" t="s">
        <v>101</v>
      </c>
      <c r="C171" s="19" t="s">
        <v>42</v>
      </c>
      <c r="D171" s="19" t="s">
        <v>29</v>
      </c>
      <c r="E171" s="19">
        <f>SUMIFS('Stock Inflow'!$G$2:$G$601,'Stock Inflow'!$A$2:$A$601,$A171,'Stock Inflow'!$D$2:$D$601,$D171)</f>
        <v>146</v>
      </c>
      <c r="F171" s="19">
        <f>SUMIFS('Stock Inflow'!$F$2:$F$601,'Stock Inflow'!$A$2:$A$601,$A171,'Stock Inflow'!$D$2:$D$601,$D171)</f>
        <v>115</v>
      </c>
      <c r="G171" s="19">
        <f>SUMIFS('Stock Inflow'!$E$2:$E$601,'Stock Inflow'!$A$2:$A$601,$A171,'Stock Inflow'!$D$2:$D$601,$D171)</f>
        <v>3</v>
      </c>
      <c r="H171" s="19">
        <f>SUMIFS('Stock Outflow'!$F$2:$F$601,'Stock Outflow'!$A$2:$A$601,$A171,'Stock Outflow'!$D$2:$D$601,$D171)</f>
        <v>107</v>
      </c>
      <c r="I171" s="19">
        <f>SUMIFS('Stock Outflow'!$E$2:$E$601,'Stock Outflow'!$A$2:$A$601,$A171,'Stock Outflow'!$D$2:$D$601,$D171)</f>
        <v>3</v>
      </c>
      <c r="J171" s="19">
        <f t="shared" si="12"/>
        <v>154</v>
      </c>
      <c r="K171" s="20">
        <f>INDEX('Item Master'!$F$2:$F$51,MATCH($A171,'Item Master'!$A$2:$A$51,0))</f>
        <v>900</v>
      </c>
      <c r="L171" s="20">
        <f t="shared" si="13"/>
        <v>96300</v>
      </c>
      <c r="M171" s="21">
        <f t="shared" si="14"/>
        <v>3.5666666666666669</v>
      </c>
      <c r="N171" s="19">
        <f>INDEX('Item Master'!$E$2:$E$51,MATCH($A171,'Item Master'!$A$2:$A$51,0))</f>
        <v>3</v>
      </c>
      <c r="O171" s="22">
        <f>INDEX('Product Summary'!$L$2:$L$51,MATCH($A171,'Product Summary'!$A$2:$A$51,0))</f>
        <v>5.1416666666666675</v>
      </c>
      <c r="P171" s="22">
        <f>INDEX('Product Summary'!$M$2:$M$51,MATCH($A171,'Product Summary'!$A$2:$A$51,0))</f>
        <v>16.344406392694065</v>
      </c>
      <c r="Q171" s="22">
        <f t="shared" si="15"/>
        <v>43.177570093457945</v>
      </c>
      <c r="R171" s="22">
        <f t="shared" si="16"/>
        <v>38.595026245039051</v>
      </c>
      <c r="S171" s="19" t="str">
        <f t="shared" si="17"/>
        <v>HEALTHY</v>
      </c>
    </row>
    <row r="172" spans="1:19" x14ac:dyDescent="0.3">
      <c r="A172" s="19" t="s">
        <v>100</v>
      </c>
      <c r="B172" s="19" t="s">
        <v>101</v>
      </c>
      <c r="C172" s="19" t="s">
        <v>42</v>
      </c>
      <c r="D172" s="19" t="s">
        <v>31</v>
      </c>
      <c r="E172" s="19">
        <f>SUMIFS('Stock Inflow'!$G$2:$G$601,'Stock Inflow'!$A$2:$A$601,$A172,'Stock Inflow'!$D$2:$D$601,$D172)</f>
        <v>154</v>
      </c>
      <c r="F172" s="19">
        <f>SUMIFS('Stock Inflow'!$F$2:$F$601,'Stock Inflow'!$A$2:$A$601,$A172,'Stock Inflow'!$D$2:$D$601,$D172)</f>
        <v>129</v>
      </c>
      <c r="G172" s="19">
        <f>SUMIFS('Stock Inflow'!$E$2:$E$601,'Stock Inflow'!$A$2:$A$601,$A172,'Stock Inflow'!$D$2:$D$601,$D172)</f>
        <v>1</v>
      </c>
      <c r="H172" s="19">
        <f>SUMIFS('Stock Outflow'!$F$2:$F$601,'Stock Outflow'!$A$2:$A$601,$A172,'Stock Outflow'!$D$2:$D$601,$D172)</f>
        <v>113</v>
      </c>
      <c r="I172" s="19">
        <f>SUMIFS('Stock Outflow'!$E$2:$E$601,'Stock Outflow'!$A$2:$A$601,$A172,'Stock Outflow'!$D$2:$D$601,$D172)</f>
        <v>1</v>
      </c>
      <c r="J172" s="19">
        <f t="shared" si="12"/>
        <v>170</v>
      </c>
      <c r="K172" s="20">
        <f>INDEX('Item Master'!$F$2:$F$51,MATCH($A172,'Item Master'!$A$2:$A$51,0))</f>
        <v>900</v>
      </c>
      <c r="L172" s="20">
        <f t="shared" si="13"/>
        <v>101700</v>
      </c>
      <c r="M172" s="21">
        <f t="shared" si="14"/>
        <v>3.7666666666666666</v>
      </c>
      <c r="N172" s="19">
        <f>INDEX('Item Master'!$E$2:$E$51,MATCH($A172,'Item Master'!$A$2:$A$51,0))</f>
        <v>3</v>
      </c>
      <c r="O172" s="22">
        <f>INDEX('Product Summary'!$L$2:$L$51,MATCH($A172,'Product Summary'!$A$2:$A$51,0))</f>
        <v>5.1416666666666675</v>
      </c>
      <c r="P172" s="22">
        <f>INDEX('Product Summary'!$M$2:$M$51,MATCH($A172,'Product Summary'!$A$2:$A$51,0))</f>
        <v>16.344406392694065</v>
      </c>
      <c r="Q172" s="22">
        <f t="shared" si="15"/>
        <v>45.13274336283186</v>
      </c>
      <c r="R172" s="22">
        <f t="shared" si="16"/>
        <v>40.793520426718395</v>
      </c>
      <c r="S172" s="19" t="str">
        <f t="shared" si="17"/>
        <v>HEALTHY</v>
      </c>
    </row>
    <row r="173" spans="1:19" x14ac:dyDescent="0.3">
      <c r="A173" s="19" t="s">
        <v>100</v>
      </c>
      <c r="B173" s="19" t="s">
        <v>101</v>
      </c>
      <c r="C173" s="19" t="s">
        <v>42</v>
      </c>
      <c r="D173" s="19" t="s">
        <v>33</v>
      </c>
      <c r="E173" s="19">
        <f>SUMIFS('Stock Inflow'!$G$2:$G$601,'Stock Inflow'!$A$2:$A$601,$A173,'Stock Inflow'!$D$2:$D$601,$D173)</f>
        <v>170</v>
      </c>
      <c r="F173" s="19">
        <f>SUMIFS('Stock Inflow'!$F$2:$F$601,'Stock Inflow'!$A$2:$A$601,$A173,'Stock Inflow'!$D$2:$D$601,$D173)</f>
        <v>139</v>
      </c>
      <c r="G173" s="19">
        <f>SUMIFS('Stock Inflow'!$E$2:$E$601,'Stock Inflow'!$A$2:$A$601,$A173,'Stock Inflow'!$D$2:$D$601,$D173)</f>
        <v>3</v>
      </c>
      <c r="H173" s="19">
        <f>SUMIFS('Stock Outflow'!$F$2:$F$601,'Stock Outflow'!$A$2:$A$601,$A173,'Stock Outflow'!$D$2:$D$601,$D173)</f>
        <v>112</v>
      </c>
      <c r="I173" s="19">
        <f>SUMIFS('Stock Outflow'!$E$2:$E$601,'Stock Outflow'!$A$2:$A$601,$A173,'Stock Outflow'!$D$2:$D$601,$D173)</f>
        <v>0</v>
      </c>
      <c r="J173" s="19">
        <f t="shared" si="12"/>
        <v>200</v>
      </c>
      <c r="K173" s="20">
        <f>INDEX('Item Master'!$F$2:$F$51,MATCH($A173,'Item Master'!$A$2:$A$51,0))</f>
        <v>900</v>
      </c>
      <c r="L173" s="20">
        <f t="shared" si="13"/>
        <v>100800</v>
      </c>
      <c r="M173" s="21">
        <f t="shared" si="14"/>
        <v>3.7333333333333334</v>
      </c>
      <c r="N173" s="19">
        <f>INDEX('Item Master'!$E$2:$E$51,MATCH($A173,'Item Master'!$A$2:$A$51,0))</f>
        <v>3</v>
      </c>
      <c r="O173" s="22">
        <f>INDEX('Product Summary'!$L$2:$L$51,MATCH($A173,'Product Summary'!$A$2:$A$51,0))</f>
        <v>5.1416666666666675</v>
      </c>
      <c r="P173" s="22">
        <f>INDEX('Product Summary'!$M$2:$M$51,MATCH($A173,'Product Summary'!$A$2:$A$51,0))</f>
        <v>16.344406392694065</v>
      </c>
      <c r="Q173" s="22">
        <f t="shared" si="15"/>
        <v>53.571428571428569</v>
      </c>
      <c r="R173" s="22">
        <f t="shared" si="16"/>
        <v>49.193462573385517</v>
      </c>
      <c r="S173" s="19" t="str">
        <f t="shared" si="17"/>
        <v>HEALTHY</v>
      </c>
    </row>
    <row r="174" spans="1:19" x14ac:dyDescent="0.3">
      <c r="A174" s="19" t="s">
        <v>100</v>
      </c>
      <c r="B174" s="19" t="s">
        <v>101</v>
      </c>
      <c r="C174" s="19" t="s">
        <v>42</v>
      </c>
      <c r="D174" s="19" t="s">
        <v>35</v>
      </c>
      <c r="E174" s="19">
        <f>SUMIFS('Stock Inflow'!$G$2:$G$601,'Stock Inflow'!$A$2:$A$601,$A174,'Stock Inflow'!$D$2:$D$601,$D174)</f>
        <v>200</v>
      </c>
      <c r="F174" s="19">
        <f>SUMIFS('Stock Inflow'!$F$2:$F$601,'Stock Inflow'!$A$2:$A$601,$A174,'Stock Inflow'!$D$2:$D$601,$D174)</f>
        <v>140</v>
      </c>
      <c r="G174" s="19">
        <f>SUMIFS('Stock Inflow'!$E$2:$E$601,'Stock Inflow'!$A$2:$A$601,$A174,'Stock Inflow'!$D$2:$D$601,$D174)</f>
        <v>3</v>
      </c>
      <c r="H174" s="19">
        <f>SUMIFS('Stock Outflow'!$F$2:$F$601,'Stock Outflow'!$A$2:$A$601,$A174,'Stock Outflow'!$D$2:$D$601,$D174)</f>
        <v>114</v>
      </c>
      <c r="I174" s="19">
        <f>SUMIFS('Stock Outflow'!$E$2:$E$601,'Stock Outflow'!$A$2:$A$601,$A174,'Stock Outflow'!$D$2:$D$601,$D174)</f>
        <v>3</v>
      </c>
      <c r="J174" s="19">
        <f t="shared" si="12"/>
        <v>226</v>
      </c>
      <c r="K174" s="20">
        <f>INDEX('Item Master'!$F$2:$F$51,MATCH($A174,'Item Master'!$A$2:$A$51,0))</f>
        <v>900</v>
      </c>
      <c r="L174" s="20">
        <f t="shared" si="13"/>
        <v>102600</v>
      </c>
      <c r="M174" s="21">
        <f t="shared" si="14"/>
        <v>3.8</v>
      </c>
      <c r="N174" s="19">
        <f>INDEX('Item Master'!$E$2:$E$51,MATCH($A174,'Item Master'!$A$2:$A$51,0))</f>
        <v>3</v>
      </c>
      <c r="O174" s="22">
        <f>INDEX('Product Summary'!$L$2:$L$51,MATCH($A174,'Product Summary'!$A$2:$A$51,0))</f>
        <v>5.1416666666666675</v>
      </c>
      <c r="P174" s="22">
        <f>INDEX('Product Summary'!$M$2:$M$51,MATCH($A174,'Product Summary'!$A$2:$A$51,0))</f>
        <v>16.344406392694065</v>
      </c>
      <c r="Q174" s="22">
        <f t="shared" si="15"/>
        <v>59.473684210526315</v>
      </c>
      <c r="R174" s="22">
        <f t="shared" si="16"/>
        <v>55.172524633501567</v>
      </c>
      <c r="S174" s="19" t="str">
        <f t="shared" si="17"/>
        <v>HEALTHY</v>
      </c>
    </row>
    <row r="175" spans="1:19" x14ac:dyDescent="0.3">
      <c r="A175" s="19" t="s">
        <v>100</v>
      </c>
      <c r="B175" s="19" t="s">
        <v>101</v>
      </c>
      <c r="C175" s="19" t="s">
        <v>42</v>
      </c>
      <c r="D175" s="19" t="s">
        <v>37</v>
      </c>
      <c r="E175" s="19">
        <f>SUMIFS('Stock Inflow'!$G$2:$G$601,'Stock Inflow'!$A$2:$A$601,$A175,'Stock Inflow'!$D$2:$D$601,$D175)</f>
        <v>226</v>
      </c>
      <c r="F175" s="19">
        <f>SUMIFS('Stock Inflow'!$F$2:$F$601,'Stock Inflow'!$A$2:$A$601,$A175,'Stock Inflow'!$D$2:$D$601,$D175)</f>
        <v>106</v>
      </c>
      <c r="G175" s="19">
        <f>SUMIFS('Stock Inflow'!$E$2:$E$601,'Stock Inflow'!$A$2:$A$601,$A175,'Stock Inflow'!$D$2:$D$601,$D175)</f>
        <v>2</v>
      </c>
      <c r="H175" s="19">
        <f>SUMIFS('Stock Outflow'!$F$2:$F$601,'Stock Outflow'!$A$2:$A$601,$A175,'Stock Outflow'!$D$2:$D$601,$D175)</f>
        <v>96</v>
      </c>
      <c r="I175" s="19">
        <f>SUMIFS('Stock Outflow'!$E$2:$E$601,'Stock Outflow'!$A$2:$A$601,$A175,'Stock Outflow'!$D$2:$D$601,$D175)</f>
        <v>1</v>
      </c>
      <c r="J175" s="19">
        <f t="shared" si="12"/>
        <v>237</v>
      </c>
      <c r="K175" s="20">
        <f>INDEX('Item Master'!$F$2:$F$51,MATCH($A175,'Item Master'!$A$2:$A$51,0))</f>
        <v>900</v>
      </c>
      <c r="L175" s="20">
        <f t="shared" si="13"/>
        <v>86400</v>
      </c>
      <c r="M175" s="21">
        <f t="shared" si="14"/>
        <v>3.2</v>
      </c>
      <c r="N175" s="19">
        <f>INDEX('Item Master'!$E$2:$E$51,MATCH($A175,'Item Master'!$A$2:$A$51,0))</f>
        <v>3</v>
      </c>
      <c r="O175" s="22">
        <f>INDEX('Product Summary'!$L$2:$L$51,MATCH($A175,'Product Summary'!$A$2:$A$51,0))</f>
        <v>5.1416666666666675</v>
      </c>
      <c r="P175" s="22">
        <f>INDEX('Product Summary'!$M$2:$M$51,MATCH($A175,'Product Summary'!$A$2:$A$51,0))</f>
        <v>16.344406392694065</v>
      </c>
      <c r="Q175" s="22">
        <f t="shared" si="15"/>
        <v>74.0625</v>
      </c>
      <c r="R175" s="22">
        <f t="shared" si="16"/>
        <v>68.954873002283108</v>
      </c>
      <c r="S175" s="19" t="str">
        <f t="shared" si="17"/>
        <v>HEALTHY</v>
      </c>
    </row>
    <row r="176" spans="1:19" x14ac:dyDescent="0.3">
      <c r="A176" s="19" t="s">
        <v>100</v>
      </c>
      <c r="B176" s="19" t="s">
        <v>101</v>
      </c>
      <c r="C176" s="19" t="s">
        <v>42</v>
      </c>
      <c r="D176" s="19" t="s">
        <v>39</v>
      </c>
      <c r="E176" s="19">
        <f>SUMIFS('Stock Inflow'!$G$2:$G$601,'Stock Inflow'!$A$2:$A$601,$A176,'Stock Inflow'!$D$2:$D$601,$D176)</f>
        <v>237</v>
      </c>
      <c r="F176" s="19">
        <f>SUMIFS('Stock Inflow'!$F$2:$F$601,'Stock Inflow'!$A$2:$A$601,$A176,'Stock Inflow'!$D$2:$D$601,$D176)</f>
        <v>131</v>
      </c>
      <c r="G176" s="19">
        <f>SUMIFS('Stock Inflow'!$E$2:$E$601,'Stock Inflow'!$A$2:$A$601,$A176,'Stock Inflow'!$D$2:$D$601,$D176)</f>
        <v>4</v>
      </c>
      <c r="H176" s="19">
        <f>SUMIFS('Stock Outflow'!$F$2:$F$601,'Stock Outflow'!$A$2:$A$601,$A176,'Stock Outflow'!$D$2:$D$601,$D176)</f>
        <v>122</v>
      </c>
      <c r="I176" s="19">
        <f>SUMIFS('Stock Outflow'!$E$2:$E$601,'Stock Outflow'!$A$2:$A$601,$A176,'Stock Outflow'!$D$2:$D$601,$D176)</f>
        <v>4</v>
      </c>
      <c r="J176" s="19">
        <f t="shared" si="12"/>
        <v>246</v>
      </c>
      <c r="K176" s="20">
        <f>INDEX('Item Master'!$F$2:$F$51,MATCH($A176,'Item Master'!$A$2:$A$51,0))</f>
        <v>900</v>
      </c>
      <c r="L176" s="20">
        <f t="shared" si="13"/>
        <v>109800</v>
      </c>
      <c r="M176" s="21">
        <f t="shared" si="14"/>
        <v>4.0666666666666664</v>
      </c>
      <c r="N176" s="19">
        <f>INDEX('Item Master'!$E$2:$E$51,MATCH($A176,'Item Master'!$A$2:$A$51,0))</f>
        <v>3</v>
      </c>
      <c r="O176" s="22">
        <f>INDEX('Product Summary'!$L$2:$L$51,MATCH($A176,'Product Summary'!$A$2:$A$51,0))</f>
        <v>5.1416666666666675</v>
      </c>
      <c r="P176" s="22">
        <f>INDEX('Product Summary'!$M$2:$M$51,MATCH($A176,'Product Summary'!$A$2:$A$51,0))</f>
        <v>16.344406392694065</v>
      </c>
      <c r="Q176" s="22">
        <f t="shared" si="15"/>
        <v>60.491803278688529</v>
      </c>
      <c r="R176" s="22">
        <f t="shared" si="16"/>
        <v>56.472686952616222</v>
      </c>
      <c r="S176" s="19" t="str">
        <f t="shared" si="17"/>
        <v>HEALTHY</v>
      </c>
    </row>
    <row r="177" spans="1:19" x14ac:dyDescent="0.3">
      <c r="A177" s="19" t="s">
        <v>100</v>
      </c>
      <c r="B177" s="19" t="s">
        <v>101</v>
      </c>
      <c r="C177" s="19" t="s">
        <v>42</v>
      </c>
      <c r="D177" s="19" t="s">
        <v>41</v>
      </c>
      <c r="E177" s="19">
        <f>SUMIFS('Stock Inflow'!$G$2:$G$601,'Stock Inflow'!$A$2:$A$601,$A177,'Stock Inflow'!$D$2:$D$601,$D177)</f>
        <v>246</v>
      </c>
      <c r="F177" s="19">
        <f>SUMIFS('Stock Inflow'!$F$2:$F$601,'Stock Inflow'!$A$2:$A$601,$A177,'Stock Inflow'!$D$2:$D$601,$D177)</f>
        <v>112</v>
      </c>
      <c r="G177" s="19">
        <f>SUMIFS('Stock Inflow'!$E$2:$E$601,'Stock Inflow'!$A$2:$A$601,$A177,'Stock Inflow'!$D$2:$D$601,$D177)</f>
        <v>2</v>
      </c>
      <c r="H177" s="19">
        <f>SUMIFS('Stock Outflow'!$F$2:$F$601,'Stock Outflow'!$A$2:$A$601,$A177,'Stock Outflow'!$D$2:$D$601,$D177)</f>
        <v>105</v>
      </c>
      <c r="I177" s="19">
        <f>SUMIFS('Stock Outflow'!$E$2:$E$601,'Stock Outflow'!$A$2:$A$601,$A177,'Stock Outflow'!$D$2:$D$601,$D177)</f>
        <v>0</v>
      </c>
      <c r="J177" s="19">
        <f t="shared" si="12"/>
        <v>255</v>
      </c>
      <c r="K177" s="20">
        <f>INDEX('Item Master'!$F$2:$F$51,MATCH($A177,'Item Master'!$A$2:$A$51,0))</f>
        <v>900</v>
      </c>
      <c r="L177" s="20">
        <f t="shared" si="13"/>
        <v>94500</v>
      </c>
      <c r="M177" s="21">
        <f t="shared" si="14"/>
        <v>3.5</v>
      </c>
      <c r="N177" s="19">
        <f>INDEX('Item Master'!$E$2:$E$51,MATCH($A177,'Item Master'!$A$2:$A$51,0))</f>
        <v>3</v>
      </c>
      <c r="O177" s="22">
        <f>INDEX('Product Summary'!$L$2:$L$51,MATCH($A177,'Product Summary'!$A$2:$A$51,0))</f>
        <v>5.1416666666666675</v>
      </c>
      <c r="P177" s="22">
        <f>INDEX('Product Summary'!$M$2:$M$51,MATCH($A177,'Product Summary'!$A$2:$A$51,0))</f>
        <v>16.344406392694065</v>
      </c>
      <c r="Q177" s="22">
        <f t="shared" si="15"/>
        <v>72.857142857142861</v>
      </c>
      <c r="R177" s="22">
        <f t="shared" si="16"/>
        <v>68.18731245923027</v>
      </c>
      <c r="S177" s="19" t="str">
        <f t="shared" si="17"/>
        <v>HEALTHY</v>
      </c>
    </row>
    <row r="178" spans="1:19" x14ac:dyDescent="0.3">
      <c r="A178" s="19" t="s">
        <v>100</v>
      </c>
      <c r="B178" s="19" t="s">
        <v>101</v>
      </c>
      <c r="C178" s="19" t="s">
        <v>42</v>
      </c>
      <c r="D178" s="19" t="s">
        <v>43</v>
      </c>
      <c r="E178" s="19">
        <f>SUMIFS('Stock Inflow'!$G$2:$G$601,'Stock Inflow'!$A$2:$A$601,$A178,'Stock Inflow'!$D$2:$D$601,$D178)</f>
        <v>255</v>
      </c>
      <c r="F178" s="19">
        <f>SUMIFS('Stock Inflow'!$F$2:$F$601,'Stock Inflow'!$A$2:$A$601,$A178,'Stock Inflow'!$D$2:$D$601,$D178)</f>
        <v>101</v>
      </c>
      <c r="G178" s="19">
        <f>SUMIFS('Stock Inflow'!$E$2:$E$601,'Stock Inflow'!$A$2:$A$601,$A178,'Stock Inflow'!$D$2:$D$601,$D178)</f>
        <v>2</v>
      </c>
      <c r="H178" s="19">
        <f>SUMIFS('Stock Outflow'!$F$2:$F$601,'Stock Outflow'!$A$2:$A$601,$A178,'Stock Outflow'!$D$2:$D$601,$D178)</f>
        <v>95</v>
      </c>
      <c r="I178" s="19">
        <f>SUMIFS('Stock Outflow'!$E$2:$E$601,'Stock Outflow'!$A$2:$A$601,$A178,'Stock Outflow'!$D$2:$D$601,$D178)</f>
        <v>2</v>
      </c>
      <c r="J178" s="19">
        <f t="shared" si="12"/>
        <v>261</v>
      </c>
      <c r="K178" s="20">
        <f>INDEX('Item Master'!$F$2:$F$51,MATCH($A178,'Item Master'!$A$2:$A$51,0))</f>
        <v>900</v>
      </c>
      <c r="L178" s="20">
        <f t="shared" si="13"/>
        <v>85500</v>
      </c>
      <c r="M178" s="21">
        <f t="shared" si="14"/>
        <v>3.1666666666666665</v>
      </c>
      <c r="N178" s="19">
        <f>INDEX('Item Master'!$E$2:$E$51,MATCH($A178,'Item Master'!$A$2:$A$51,0))</f>
        <v>3</v>
      </c>
      <c r="O178" s="22">
        <f>INDEX('Product Summary'!$L$2:$L$51,MATCH($A178,'Product Summary'!$A$2:$A$51,0))</f>
        <v>5.1416666666666675</v>
      </c>
      <c r="P178" s="22">
        <f>INDEX('Product Summary'!$M$2:$M$51,MATCH($A178,'Product Summary'!$A$2:$A$51,0))</f>
        <v>16.344406392694065</v>
      </c>
      <c r="Q178" s="22">
        <f t="shared" si="15"/>
        <v>82.421052631578945</v>
      </c>
      <c r="R178" s="22">
        <f t="shared" si="16"/>
        <v>77.259661139149244</v>
      </c>
      <c r="S178" s="19" t="str">
        <f t="shared" si="17"/>
        <v>HEALTHY</v>
      </c>
    </row>
    <row r="179" spans="1:19" x14ac:dyDescent="0.3">
      <c r="A179" s="19" t="s">
        <v>100</v>
      </c>
      <c r="B179" s="19" t="s">
        <v>101</v>
      </c>
      <c r="C179" s="19" t="s">
        <v>42</v>
      </c>
      <c r="D179" s="19" t="s">
        <v>45</v>
      </c>
      <c r="E179" s="19">
        <f>SUMIFS('Stock Inflow'!$G$2:$G$601,'Stock Inflow'!$A$2:$A$601,$A179,'Stock Inflow'!$D$2:$D$601,$D179)</f>
        <v>261</v>
      </c>
      <c r="F179" s="19">
        <f>SUMIFS('Stock Inflow'!$F$2:$F$601,'Stock Inflow'!$A$2:$A$601,$A179,'Stock Inflow'!$D$2:$D$601,$D179)</f>
        <v>199</v>
      </c>
      <c r="G179" s="19">
        <f>SUMIFS('Stock Inflow'!$E$2:$E$601,'Stock Inflow'!$A$2:$A$601,$A179,'Stock Inflow'!$D$2:$D$601,$D179)</f>
        <v>2</v>
      </c>
      <c r="H179" s="19">
        <f>SUMIFS('Stock Outflow'!$F$2:$F$601,'Stock Outflow'!$A$2:$A$601,$A179,'Stock Outflow'!$D$2:$D$601,$D179)</f>
        <v>165</v>
      </c>
      <c r="I179" s="19">
        <f>SUMIFS('Stock Outflow'!$E$2:$E$601,'Stock Outflow'!$A$2:$A$601,$A179,'Stock Outflow'!$D$2:$D$601,$D179)</f>
        <v>1</v>
      </c>
      <c r="J179" s="19">
        <f t="shared" si="12"/>
        <v>296</v>
      </c>
      <c r="K179" s="20">
        <f>INDEX('Item Master'!$F$2:$F$51,MATCH($A179,'Item Master'!$A$2:$A$51,0))</f>
        <v>900</v>
      </c>
      <c r="L179" s="20">
        <f t="shared" si="13"/>
        <v>148500</v>
      </c>
      <c r="M179" s="21">
        <f t="shared" si="14"/>
        <v>5.5</v>
      </c>
      <c r="N179" s="19">
        <f>INDEX('Item Master'!$E$2:$E$51,MATCH($A179,'Item Master'!$A$2:$A$51,0))</f>
        <v>3</v>
      </c>
      <c r="O179" s="22">
        <f>INDEX('Product Summary'!$L$2:$L$51,MATCH($A179,'Product Summary'!$A$2:$A$51,0))</f>
        <v>5.1416666666666675</v>
      </c>
      <c r="P179" s="22">
        <f>INDEX('Product Summary'!$M$2:$M$51,MATCH($A179,'Product Summary'!$A$2:$A$51,0))</f>
        <v>16.344406392694065</v>
      </c>
      <c r="Q179" s="22">
        <f t="shared" si="15"/>
        <v>53.81818181818182</v>
      </c>
      <c r="R179" s="22">
        <f t="shared" si="16"/>
        <v>50.846471564964716</v>
      </c>
      <c r="S179" s="19" t="str">
        <f t="shared" si="17"/>
        <v>HEALTHY</v>
      </c>
    </row>
    <row r="180" spans="1:19" x14ac:dyDescent="0.3">
      <c r="A180" s="19" t="s">
        <v>100</v>
      </c>
      <c r="B180" s="19" t="s">
        <v>101</v>
      </c>
      <c r="C180" s="19" t="s">
        <v>42</v>
      </c>
      <c r="D180" s="19" t="s">
        <v>47</v>
      </c>
      <c r="E180" s="19">
        <f>SUMIFS('Stock Inflow'!$G$2:$G$601,'Stock Inflow'!$A$2:$A$601,$A180,'Stock Inflow'!$D$2:$D$601,$D180)</f>
        <v>296</v>
      </c>
      <c r="F180" s="19">
        <f>SUMIFS('Stock Inflow'!$F$2:$F$601,'Stock Inflow'!$A$2:$A$601,$A180,'Stock Inflow'!$D$2:$D$601,$D180)</f>
        <v>107</v>
      </c>
      <c r="G180" s="19">
        <f>SUMIFS('Stock Inflow'!$E$2:$E$601,'Stock Inflow'!$A$2:$A$601,$A180,'Stock Inflow'!$D$2:$D$601,$D180)</f>
        <v>4</v>
      </c>
      <c r="H180" s="19">
        <f>SUMIFS('Stock Outflow'!$F$2:$F$601,'Stock Outflow'!$A$2:$A$601,$A180,'Stock Outflow'!$D$2:$D$601,$D180)</f>
        <v>113</v>
      </c>
      <c r="I180" s="19">
        <f>SUMIFS('Stock Outflow'!$E$2:$E$601,'Stock Outflow'!$A$2:$A$601,$A180,'Stock Outflow'!$D$2:$D$601,$D180)</f>
        <v>3</v>
      </c>
      <c r="J180" s="19">
        <f t="shared" si="12"/>
        <v>291</v>
      </c>
      <c r="K180" s="20">
        <f>INDEX('Item Master'!$F$2:$F$51,MATCH($A180,'Item Master'!$A$2:$A$51,0))</f>
        <v>900</v>
      </c>
      <c r="L180" s="20">
        <f t="shared" si="13"/>
        <v>101700</v>
      </c>
      <c r="M180" s="21">
        <f t="shared" si="14"/>
        <v>3.7666666666666666</v>
      </c>
      <c r="N180" s="19">
        <f>INDEX('Item Master'!$E$2:$E$51,MATCH($A180,'Item Master'!$A$2:$A$51,0))</f>
        <v>3</v>
      </c>
      <c r="O180" s="22">
        <f>INDEX('Product Summary'!$L$2:$L$51,MATCH($A180,'Product Summary'!$A$2:$A$51,0))</f>
        <v>5.1416666666666675</v>
      </c>
      <c r="P180" s="22">
        <f>INDEX('Product Summary'!$M$2:$M$51,MATCH($A180,'Product Summary'!$A$2:$A$51,0))</f>
        <v>16.344406392694065</v>
      </c>
      <c r="Q180" s="22">
        <f t="shared" si="15"/>
        <v>77.256637168141594</v>
      </c>
      <c r="R180" s="22">
        <f t="shared" si="16"/>
        <v>72.917414232028122</v>
      </c>
      <c r="S180" s="19" t="str">
        <f t="shared" si="17"/>
        <v>HEALTHY</v>
      </c>
    </row>
    <row r="181" spans="1:19" x14ac:dyDescent="0.3">
      <c r="A181" s="19" t="s">
        <v>100</v>
      </c>
      <c r="B181" s="19" t="s">
        <v>101</v>
      </c>
      <c r="C181" s="19" t="s">
        <v>42</v>
      </c>
      <c r="D181" s="19" t="s">
        <v>49</v>
      </c>
      <c r="E181" s="19">
        <f>SUMIFS('Stock Inflow'!$G$2:$G$601,'Stock Inflow'!$A$2:$A$601,$A181,'Stock Inflow'!$D$2:$D$601,$D181)</f>
        <v>291</v>
      </c>
      <c r="F181" s="19">
        <f>SUMIFS('Stock Inflow'!$F$2:$F$601,'Stock Inflow'!$A$2:$A$601,$A181,'Stock Inflow'!$D$2:$D$601,$D181)</f>
        <v>104</v>
      </c>
      <c r="G181" s="19">
        <f>SUMIFS('Stock Inflow'!$E$2:$E$601,'Stock Inflow'!$A$2:$A$601,$A181,'Stock Inflow'!$D$2:$D$601,$D181)</f>
        <v>4</v>
      </c>
      <c r="H181" s="19">
        <f>SUMIFS('Stock Outflow'!$F$2:$F$601,'Stock Outflow'!$A$2:$A$601,$A181,'Stock Outflow'!$D$2:$D$601,$D181)</f>
        <v>116</v>
      </c>
      <c r="I181" s="19">
        <f>SUMIFS('Stock Outflow'!$E$2:$E$601,'Stock Outflow'!$A$2:$A$601,$A181,'Stock Outflow'!$D$2:$D$601,$D181)</f>
        <v>1</v>
      </c>
      <c r="J181" s="19">
        <f t="shared" si="12"/>
        <v>282</v>
      </c>
      <c r="K181" s="20">
        <f>INDEX('Item Master'!$F$2:$F$51,MATCH($A181,'Item Master'!$A$2:$A$51,0))</f>
        <v>900</v>
      </c>
      <c r="L181" s="20">
        <f t="shared" si="13"/>
        <v>104400</v>
      </c>
      <c r="M181" s="21">
        <f t="shared" si="14"/>
        <v>3.8666666666666667</v>
      </c>
      <c r="N181" s="19">
        <f>INDEX('Item Master'!$E$2:$E$51,MATCH($A181,'Item Master'!$A$2:$A$51,0))</f>
        <v>3</v>
      </c>
      <c r="O181" s="22">
        <f>INDEX('Product Summary'!$L$2:$L$51,MATCH($A181,'Product Summary'!$A$2:$A$51,0))</f>
        <v>5.1416666666666675</v>
      </c>
      <c r="P181" s="22">
        <f>INDEX('Product Summary'!$M$2:$M$51,MATCH($A181,'Product Summary'!$A$2:$A$51,0))</f>
        <v>16.344406392694065</v>
      </c>
      <c r="Q181" s="22">
        <f t="shared" si="15"/>
        <v>72.931034482758619</v>
      </c>
      <c r="R181" s="22">
        <f t="shared" si="16"/>
        <v>68.704032829475679</v>
      </c>
      <c r="S181" s="19" t="str">
        <f t="shared" si="17"/>
        <v>HEALTHY</v>
      </c>
    </row>
    <row r="182" spans="1:19" x14ac:dyDescent="0.3">
      <c r="A182" s="19" t="s">
        <v>102</v>
      </c>
      <c r="B182" s="19" t="s">
        <v>103</v>
      </c>
      <c r="C182" s="19" t="s">
        <v>42</v>
      </c>
      <c r="D182" s="19" t="s">
        <v>27</v>
      </c>
      <c r="E182" s="19">
        <f>SUMIFS('Stock Inflow'!$G$2:$G$601,'Stock Inflow'!$A$2:$A$601,$A182,'Stock Inflow'!$D$2:$D$601,$D182)</f>
        <v>345</v>
      </c>
      <c r="F182" s="19">
        <f>SUMIFS('Stock Inflow'!$F$2:$F$601,'Stock Inflow'!$A$2:$A$601,$A182,'Stock Inflow'!$D$2:$D$601,$D182)</f>
        <v>85</v>
      </c>
      <c r="G182" s="19">
        <f>SUMIFS('Stock Inflow'!$E$2:$E$601,'Stock Inflow'!$A$2:$A$601,$A182,'Stock Inflow'!$D$2:$D$601,$D182)</f>
        <v>2</v>
      </c>
      <c r="H182" s="19">
        <f>SUMIFS('Stock Outflow'!$F$2:$F$601,'Stock Outflow'!$A$2:$A$601,$A182,'Stock Outflow'!$D$2:$D$601,$D182)</f>
        <v>71</v>
      </c>
      <c r="I182" s="19">
        <f>SUMIFS('Stock Outflow'!$E$2:$E$601,'Stock Outflow'!$A$2:$A$601,$A182,'Stock Outflow'!$D$2:$D$601,$D182)</f>
        <v>2</v>
      </c>
      <c r="J182" s="19">
        <f t="shared" si="12"/>
        <v>359</v>
      </c>
      <c r="K182" s="20">
        <f>INDEX('Item Master'!$F$2:$F$51,MATCH($A182,'Item Master'!$A$2:$A$51,0))</f>
        <v>1500</v>
      </c>
      <c r="L182" s="20">
        <f t="shared" si="13"/>
        <v>106500</v>
      </c>
      <c r="M182" s="21">
        <f t="shared" si="14"/>
        <v>2.3666666666666667</v>
      </c>
      <c r="N182" s="19">
        <f>INDEX('Item Master'!$E$2:$E$51,MATCH($A182,'Item Master'!$A$2:$A$51,0))</f>
        <v>5</v>
      </c>
      <c r="O182" s="22">
        <f>INDEX('Product Summary'!$L$2:$L$51,MATCH($A182,'Product Summary'!$A$2:$A$51,0))</f>
        <v>8.4722222222222214</v>
      </c>
      <c r="P182" s="22">
        <f>INDEX('Product Summary'!$M$2:$M$51,MATCH($A182,'Product Summary'!$A$2:$A$51,0))</f>
        <v>21.321537290715369</v>
      </c>
      <c r="Q182" s="22">
        <f t="shared" si="15"/>
        <v>151.69014084507043</v>
      </c>
      <c r="R182" s="22">
        <f t="shared" si="16"/>
        <v>142.68104058138789</v>
      </c>
      <c r="S182" s="19" t="str">
        <f t="shared" si="17"/>
        <v>OVERSTOCK</v>
      </c>
    </row>
    <row r="183" spans="1:19" x14ac:dyDescent="0.3">
      <c r="A183" s="19" t="s">
        <v>102</v>
      </c>
      <c r="B183" s="19" t="s">
        <v>103</v>
      </c>
      <c r="C183" s="19" t="s">
        <v>42</v>
      </c>
      <c r="D183" s="19" t="s">
        <v>29</v>
      </c>
      <c r="E183" s="19">
        <f>SUMIFS('Stock Inflow'!$G$2:$G$601,'Stock Inflow'!$A$2:$A$601,$A183,'Stock Inflow'!$D$2:$D$601,$D183)</f>
        <v>359</v>
      </c>
      <c r="F183" s="19">
        <f>SUMIFS('Stock Inflow'!$F$2:$F$601,'Stock Inflow'!$A$2:$A$601,$A183,'Stock Inflow'!$D$2:$D$601,$D183)</f>
        <v>75</v>
      </c>
      <c r="G183" s="19">
        <f>SUMIFS('Stock Inflow'!$E$2:$E$601,'Stock Inflow'!$A$2:$A$601,$A183,'Stock Inflow'!$D$2:$D$601,$D183)</f>
        <v>3</v>
      </c>
      <c r="H183" s="19">
        <f>SUMIFS('Stock Outflow'!$F$2:$F$601,'Stock Outflow'!$A$2:$A$601,$A183,'Stock Outflow'!$D$2:$D$601,$D183)</f>
        <v>67</v>
      </c>
      <c r="I183" s="19">
        <f>SUMIFS('Stock Outflow'!$E$2:$E$601,'Stock Outflow'!$A$2:$A$601,$A183,'Stock Outflow'!$D$2:$D$601,$D183)</f>
        <v>1</v>
      </c>
      <c r="J183" s="19">
        <f t="shared" si="12"/>
        <v>369</v>
      </c>
      <c r="K183" s="20">
        <f>INDEX('Item Master'!$F$2:$F$51,MATCH($A183,'Item Master'!$A$2:$A$51,0))</f>
        <v>1500</v>
      </c>
      <c r="L183" s="20">
        <f t="shared" si="13"/>
        <v>100500</v>
      </c>
      <c r="M183" s="21">
        <f t="shared" si="14"/>
        <v>2.2333333333333334</v>
      </c>
      <c r="N183" s="19">
        <f>INDEX('Item Master'!$E$2:$E$51,MATCH($A183,'Item Master'!$A$2:$A$51,0))</f>
        <v>5</v>
      </c>
      <c r="O183" s="22">
        <f>INDEX('Product Summary'!$L$2:$L$51,MATCH($A183,'Product Summary'!$A$2:$A$51,0))</f>
        <v>8.4722222222222214</v>
      </c>
      <c r="P183" s="22">
        <f>INDEX('Product Summary'!$M$2:$M$51,MATCH($A183,'Product Summary'!$A$2:$A$51,0))</f>
        <v>21.321537290715369</v>
      </c>
      <c r="Q183" s="22">
        <f t="shared" si="15"/>
        <v>165.22388059701493</v>
      </c>
      <c r="R183" s="22">
        <f t="shared" si="16"/>
        <v>155.67692360117223</v>
      </c>
      <c r="S183" s="19" t="str">
        <f t="shared" si="17"/>
        <v>OVERSTOCK</v>
      </c>
    </row>
    <row r="184" spans="1:19" x14ac:dyDescent="0.3">
      <c r="A184" s="19" t="s">
        <v>102</v>
      </c>
      <c r="B184" s="19" t="s">
        <v>103</v>
      </c>
      <c r="C184" s="19" t="s">
        <v>42</v>
      </c>
      <c r="D184" s="19" t="s">
        <v>31</v>
      </c>
      <c r="E184" s="19">
        <f>SUMIFS('Stock Inflow'!$G$2:$G$601,'Stock Inflow'!$A$2:$A$601,$A184,'Stock Inflow'!$D$2:$D$601,$D184)</f>
        <v>369</v>
      </c>
      <c r="F184" s="19">
        <f>SUMIFS('Stock Inflow'!$F$2:$F$601,'Stock Inflow'!$A$2:$A$601,$A184,'Stock Inflow'!$D$2:$D$601,$D184)</f>
        <v>74</v>
      </c>
      <c r="G184" s="19">
        <f>SUMIFS('Stock Inflow'!$E$2:$E$601,'Stock Inflow'!$A$2:$A$601,$A184,'Stock Inflow'!$D$2:$D$601,$D184)</f>
        <v>3</v>
      </c>
      <c r="H184" s="19">
        <f>SUMIFS('Stock Outflow'!$F$2:$F$601,'Stock Outflow'!$A$2:$A$601,$A184,'Stock Outflow'!$D$2:$D$601,$D184)</f>
        <v>78</v>
      </c>
      <c r="I184" s="19">
        <f>SUMIFS('Stock Outflow'!$E$2:$E$601,'Stock Outflow'!$A$2:$A$601,$A184,'Stock Outflow'!$D$2:$D$601,$D184)</f>
        <v>1</v>
      </c>
      <c r="J184" s="19">
        <f t="shared" si="12"/>
        <v>367</v>
      </c>
      <c r="K184" s="20">
        <f>INDEX('Item Master'!$F$2:$F$51,MATCH($A184,'Item Master'!$A$2:$A$51,0))</f>
        <v>1500</v>
      </c>
      <c r="L184" s="20">
        <f t="shared" si="13"/>
        <v>117000</v>
      </c>
      <c r="M184" s="21">
        <f t="shared" si="14"/>
        <v>2.6</v>
      </c>
      <c r="N184" s="19">
        <f>INDEX('Item Master'!$E$2:$E$51,MATCH($A184,'Item Master'!$A$2:$A$51,0))</f>
        <v>5</v>
      </c>
      <c r="O184" s="22">
        <f>INDEX('Product Summary'!$L$2:$L$51,MATCH($A184,'Product Summary'!$A$2:$A$51,0))</f>
        <v>8.4722222222222214</v>
      </c>
      <c r="P184" s="22">
        <f>INDEX('Product Summary'!$M$2:$M$51,MATCH($A184,'Product Summary'!$A$2:$A$51,0))</f>
        <v>21.321537290715369</v>
      </c>
      <c r="Q184" s="22">
        <f t="shared" si="15"/>
        <v>141.15384615384616</v>
      </c>
      <c r="R184" s="22">
        <f t="shared" si="16"/>
        <v>132.95325488818639</v>
      </c>
      <c r="S184" s="19" t="str">
        <f t="shared" si="17"/>
        <v>HEALTHY</v>
      </c>
    </row>
    <row r="185" spans="1:19" x14ac:dyDescent="0.3">
      <c r="A185" s="19" t="s">
        <v>102</v>
      </c>
      <c r="B185" s="19" t="s">
        <v>103</v>
      </c>
      <c r="C185" s="19" t="s">
        <v>42</v>
      </c>
      <c r="D185" s="19" t="s">
        <v>33</v>
      </c>
      <c r="E185" s="19">
        <f>SUMIFS('Stock Inflow'!$G$2:$G$601,'Stock Inflow'!$A$2:$A$601,$A185,'Stock Inflow'!$D$2:$D$601,$D185)</f>
        <v>367</v>
      </c>
      <c r="F185" s="19">
        <f>SUMIFS('Stock Inflow'!$F$2:$F$601,'Stock Inflow'!$A$2:$A$601,$A185,'Stock Inflow'!$D$2:$D$601,$D185)</f>
        <v>66</v>
      </c>
      <c r="G185" s="19">
        <f>SUMIFS('Stock Inflow'!$E$2:$E$601,'Stock Inflow'!$A$2:$A$601,$A185,'Stock Inflow'!$D$2:$D$601,$D185)</f>
        <v>2</v>
      </c>
      <c r="H185" s="19">
        <f>SUMIFS('Stock Outflow'!$F$2:$F$601,'Stock Outflow'!$A$2:$A$601,$A185,'Stock Outflow'!$D$2:$D$601,$D185)</f>
        <v>68</v>
      </c>
      <c r="I185" s="19">
        <f>SUMIFS('Stock Outflow'!$E$2:$E$601,'Stock Outflow'!$A$2:$A$601,$A185,'Stock Outflow'!$D$2:$D$601,$D185)</f>
        <v>1</v>
      </c>
      <c r="J185" s="19">
        <f t="shared" si="12"/>
        <v>366</v>
      </c>
      <c r="K185" s="20">
        <f>INDEX('Item Master'!$F$2:$F$51,MATCH($A185,'Item Master'!$A$2:$A$51,0))</f>
        <v>1500</v>
      </c>
      <c r="L185" s="20">
        <f t="shared" si="13"/>
        <v>102000</v>
      </c>
      <c r="M185" s="21">
        <f t="shared" si="14"/>
        <v>2.2666666666666666</v>
      </c>
      <c r="N185" s="19">
        <f>INDEX('Item Master'!$E$2:$E$51,MATCH($A185,'Item Master'!$A$2:$A$51,0))</f>
        <v>5</v>
      </c>
      <c r="O185" s="22">
        <f>INDEX('Product Summary'!$L$2:$L$51,MATCH($A185,'Product Summary'!$A$2:$A$51,0))</f>
        <v>8.4722222222222214</v>
      </c>
      <c r="P185" s="22">
        <f>INDEX('Product Summary'!$M$2:$M$51,MATCH($A185,'Product Summary'!$A$2:$A$51,0))</f>
        <v>21.321537290715369</v>
      </c>
      <c r="Q185" s="22">
        <f t="shared" si="15"/>
        <v>161.47058823529412</v>
      </c>
      <c r="R185" s="22">
        <f t="shared" si="16"/>
        <v>152.06402766586086</v>
      </c>
      <c r="S185" s="19" t="str">
        <f t="shared" si="17"/>
        <v>OVERSTOCK</v>
      </c>
    </row>
    <row r="186" spans="1:19" x14ac:dyDescent="0.3">
      <c r="A186" s="19" t="s">
        <v>102</v>
      </c>
      <c r="B186" s="19" t="s">
        <v>103</v>
      </c>
      <c r="C186" s="19" t="s">
        <v>42</v>
      </c>
      <c r="D186" s="19" t="s">
        <v>35</v>
      </c>
      <c r="E186" s="19">
        <f>SUMIFS('Stock Inflow'!$G$2:$G$601,'Stock Inflow'!$A$2:$A$601,$A186,'Stock Inflow'!$D$2:$D$601,$D186)</f>
        <v>366</v>
      </c>
      <c r="F186" s="19">
        <f>SUMIFS('Stock Inflow'!$F$2:$F$601,'Stock Inflow'!$A$2:$A$601,$A186,'Stock Inflow'!$D$2:$D$601,$D186)</f>
        <v>84</v>
      </c>
      <c r="G186" s="19">
        <f>SUMIFS('Stock Inflow'!$E$2:$E$601,'Stock Inflow'!$A$2:$A$601,$A186,'Stock Inflow'!$D$2:$D$601,$D186)</f>
        <v>2</v>
      </c>
      <c r="H186" s="19">
        <f>SUMIFS('Stock Outflow'!$F$2:$F$601,'Stock Outflow'!$A$2:$A$601,$A186,'Stock Outflow'!$D$2:$D$601,$D186)</f>
        <v>65</v>
      </c>
      <c r="I186" s="19">
        <f>SUMIFS('Stock Outflow'!$E$2:$E$601,'Stock Outflow'!$A$2:$A$601,$A186,'Stock Outflow'!$D$2:$D$601,$D186)</f>
        <v>1</v>
      </c>
      <c r="J186" s="19">
        <f t="shared" si="12"/>
        <v>386</v>
      </c>
      <c r="K186" s="20">
        <f>INDEX('Item Master'!$F$2:$F$51,MATCH($A186,'Item Master'!$A$2:$A$51,0))</f>
        <v>1500</v>
      </c>
      <c r="L186" s="20">
        <f t="shared" si="13"/>
        <v>97500</v>
      </c>
      <c r="M186" s="21">
        <f t="shared" si="14"/>
        <v>2.1666666666666665</v>
      </c>
      <c r="N186" s="19">
        <f>INDEX('Item Master'!$E$2:$E$51,MATCH($A186,'Item Master'!$A$2:$A$51,0))</f>
        <v>5</v>
      </c>
      <c r="O186" s="22">
        <f>INDEX('Product Summary'!$L$2:$L$51,MATCH($A186,'Product Summary'!$A$2:$A$51,0))</f>
        <v>8.4722222222222214</v>
      </c>
      <c r="P186" s="22">
        <f>INDEX('Product Summary'!$M$2:$M$51,MATCH($A186,'Product Summary'!$A$2:$A$51,0))</f>
        <v>21.321537290715369</v>
      </c>
      <c r="Q186" s="22">
        <f t="shared" si="15"/>
        <v>178.15384615384616</v>
      </c>
      <c r="R186" s="22">
        <f t="shared" si="16"/>
        <v>168.31313663505446</v>
      </c>
      <c r="S186" s="19" t="str">
        <f t="shared" si="17"/>
        <v>OVERSTOCK</v>
      </c>
    </row>
    <row r="187" spans="1:19" x14ac:dyDescent="0.3">
      <c r="A187" s="19" t="s">
        <v>102</v>
      </c>
      <c r="B187" s="19" t="s">
        <v>103</v>
      </c>
      <c r="C187" s="19" t="s">
        <v>42</v>
      </c>
      <c r="D187" s="19" t="s">
        <v>37</v>
      </c>
      <c r="E187" s="19">
        <f>SUMIFS('Stock Inflow'!$G$2:$G$601,'Stock Inflow'!$A$2:$A$601,$A187,'Stock Inflow'!$D$2:$D$601,$D187)</f>
        <v>386</v>
      </c>
      <c r="F187" s="19">
        <f>SUMIFS('Stock Inflow'!$F$2:$F$601,'Stock Inflow'!$A$2:$A$601,$A187,'Stock Inflow'!$D$2:$D$601,$D187)</f>
        <v>81</v>
      </c>
      <c r="G187" s="19">
        <f>SUMIFS('Stock Inflow'!$E$2:$E$601,'Stock Inflow'!$A$2:$A$601,$A187,'Stock Inflow'!$D$2:$D$601,$D187)</f>
        <v>2</v>
      </c>
      <c r="H187" s="19">
        <f>SUMIFS('Stock Outflow'!$F$2:$F$601,'Stock Outflow'!$A$2:$A$601,$A187,'Stock Outflow'!$D$2:$D$601,$D187)</f>
        <v>66</v>
      </c>
      <c r="I187" s="19">
        <f>SUMIFS('Stock Outflow'!$E$2:$E$601,'Stock Outflow'!$A$2:$A$601,$A187,'Stock Outflow'!$D$2:$D$601,$D187)</f>
        <v>2</v>
      </c>
      <c r="J187" s="19">
        <f t="shared" si="12"/>
        <v>401</v>
      </c>
      <c r="K187" s="20">
        <f>INDEX('Item Master'!$F$2:$F$51,MATCH($A187,'Item Master'!$A$2:$A$51,0))</f>
        <v>1500</v>
      </c>
      <c r="L187" s="20">
        <f t="shared" si="13"/>
        <v>99000</v>
      </c>
      <c r="M187" s="21">
        <f t="shared" si="14"/>
        <v>2.2000000000000002</v>
      </c>
      <c r="N187" s="19">
        <f>INDEX('Item Master'!$E$2:$E$51,MATCH($A187,'Item Master'!$A$2:$A$51,0))</f>
        <v>5</v>
      </c>
      <c r="O187" s="22">
        <f>INDEX('Product Summary'!$L$2:$L$51,MATCH($A187,'Product Summary'!$A$2:$A$51,0))</f>
        <v>8.4722222222222214</v>
      </c>
      <c r="P187" s="22">
        <f>INDEX('Product Summary'!$M$2:$M$51,MATCH($A187,'Product Summary'!$A$2:$A$51,0))</f>
        <v>21.321537290715369</v>
      </c>
      <c r="Q187" s="22">
        <f t="shared" si="15"/>
        <v>182.27272727272725</v>
      </c>
      <c r="R187" s="22">
        <f t="shared" si="16"/>
        <v>172.5811194133112</v>
      </c>
      <c r="S187" s="19" t="str">
        <f t="shared" si="17"/>
        <v>OVERSTOCK</v>
      </c>
    </row>
    <row r="188" spans="1:19" x14ac:dyDescent="0.3">
      <c r="A188" s="19" t="s">
        <v>102</v>
      </c>
      <c r="B188" s="19" t="s">
        <v>103</v>
      </c>
      <c r="C188" s="19" t="s">
        <v>42</v>
      </c>
      <c r="D188" s="19" t="s">
        <v>39</v>
      </c>
      <c r="E188" s="19">
        <f>SUMIFS('Stock Inflow'!$G$2:$G$601,'Stock Inflow'!$A$2:$A$601,$A188,'Stock Inflow'!$D$2:$D$601,$D188)</f>
        <v>401</v>
      </c>
      <c r="F188" s="19">
        <f>SUMIFS('Stock Inflow'!$F$2:$F$601,'Stock Inflow'!$A$2:$A$601,$A188,'Stock Inflow'!$D$2:$D$601,$D188)</f>
        <v>75</v>
      </c>
      <c r="G188" s="19">
        <f>SUMIFS('Stock Inflow'!$E$2:$E$601,'Stock Inflow'!$A$2:$A$601,$A188,'Stock Inflow'!$D$2:$D$601,$D188)</f>
        <v>3</v>
      </c>
      <c r="H188" s="19">
        <f>SUMIFS('Stock Outflow'!$F$2:$F$601,'Stock Outflow'!$A$2:$A$601,$A188,'Stock Outflow'!$D$2:$D$601,$D188)</f>
        <v>74</v>
      </c>
      <c r="I188" s="19">
        <f>SUMIFS('Stock Outflow'!$E$2:$E$601,'Stock Outflow'!$A$2:$A$601,$A188,'Stock Outflow'!$D$2:$D$601,$D188)</f>
        <v>2</v>
      </c>
      <c r="J188" s="19">
        <f t="shared" si="12"/>
        <v>403</v>
      </c>
      <c r="K188" s="20">
        <f>INDEX('Item Master'!$F$2:$F$51,MATCH($A188,'Item Master'!$A$2:$A$51,0))</f>
        <v>1500</v>
      </c>
      <c r="L188" s="20">
        <f t="shared" si="13"/>
        <v>111000</v>
      </c>
      <c r="M188" s="21">
        <f t="shared" si="14"/>
        <v>2.4666666666666668</v>
      </c>
      <c r="N188" s="19">
        <f>INDEX('Item Master'!$E$2:$E$51,MATCH($A188,'Item Master'!$A$2:$A$51,0))</f>
        <v>5</v>
      </c>
      <c r="O188" s="22">
        <f>INDEX('Product Summary'!$L$2:$L$51,MATCH($A188,'Product Summary'!$A$2:$A$51,0))</f>
        <v>8.4722222222222214</v>
      </c>
      <c r="P188" s="22">
        <f>INDEX('Product Summary'!$M$2:$M$51,MATCH($A188,'Product Summary'!$A$2:$A$51,0))</f>
        <v>21.321537290715369</v>
      </c>
      <c r="Q188" s="22">
        <f t="shared" si="15"/>
        <v>163.37837837837836</v>
      </c>
      <c r="R188" s="22">
        <f t="shared" si="16"/>
        <v>154.73451190916944</v>
      </c>
      <c r="S188" s="19" t="str">
        <f t="shared" si="17"/>
        <v>OVERSTOCK</v>
      </c>
    </row>
    <row r="189" spans="1:19" x14ac:dyDescent="0.3">
      <c r="A189" s="19" t="s">
        <v>102</v>
      </c>
      <c r="B189" s="19" t="s">
        <v>103</v>
      </c>
      <c r="C189" s="19" t="s">
        <v>42</v>
      </c>
      <c r="D189" s="19" t="s">
        <v>41</v>
      </c>
      <c r="E189" s="19">
        <f>SUMIFS('Stock Inflow'!$G$2:$G$601,'Stock Inflow'!$A$2:$A$601,$A189,'Stock Inflow'!$D$2:$D$601,$D189)</f>
        <v>403</v>
      </c>
      <c r="F189" s="19">
        <f>SUMIFS('Stock Inflow'!$F$2:$F$601,'Stock Inflow'!$A$2:$A$601,$A189,'Stock Inflow'!$D$2:$D$601,$D189)</f>
        <v>76</v>
      </c>
      <c r="G189" s="19">
        <f>SUMIFS('Stock Inflow'!$E$2:$E$601,'Stock Inflow'!$A$2:$A$601,$A189,'Stock Inflow'!$D$2:$D$601,$D189)</f>
        <v>1</v>
      </c>
      <c r="H189" s="19">
        <f>SUMIFS('Stock Outflow'!$F$2:$F$601,'Stock Outflow'!$A$2:$A$601,$A189,'Stock Outflow'!$D$2:$D$601,$D189)</f>
        <v>68</v>
      </c>
      <c r="I189" s="19">
        <f>SUMIFS('Stock Outflow'!$E$2:$E$601,'Stock Outflow'!$A$2:$A$601,$A189,'Stock Outflow'!$D$2:$D$601,$D189)</f>
        <v>2</v>
      </c>
      <c r="J189" s="19">
        <f t="shared" si="12"/>
        <v>410</v>
      </c>
      <c r="K189" s="20">
        <f>INDEX('Item Master'!$F$2:$F$51,MATCH($A189,'Item Master'!$A$2:$A$51,0))</f>
        <v>1500</v>
      </c>
      <c r="L189" s="20">
        <f t="shared" si="13"/>
        <v>102000</v>
      </c>
      <c r="M189" s="21">
        <f t="shared" si="14"/>
        <v>2.2666666666666666</v>
      </c>
      <c r="N189" s="19">
        <f>INDEX('Item Master'!$E$2:$E$51,MATCH($A189,'Item Master'!$A$2:$A$51,0))</f>
        <v>5</v>
      </c>
      <c r="O189" s="22">
        <f>INDEX('Product Summary'!$L$2:$L$51,MATCH($A189,'Product Summary'!$A$2:$A$51,0))</f>
        <v>8.4722222222222214</v>
      </c>
      <c r="P189" s="22">
        <f>INDEX('Product Summary'!$M$2:$M$51,MATCH($A189,'Product Summary'!$A$2:$A$51,0))</f>
        <v>21.321537290715369</v>
      </c>
      <c r="Q189" s="22">
        <f t="shared" si="15"/>
        <v>180.88235294117646</v>
      </c>
      <c r="R189" s="22">
        <f t="shared" si="16"/>
        <v>171.47579237174324</v>
      </c>
      <c r="S189" s="19" t="str">
        <f t="shared" si="17"/>
        <v>OVERSTOCK</v>
      </c>
    </row>
    <row r="190" spans="1:19" x14ac:dyDescent="0.3">
      <c r="A190" s="19" t="s">
        <v>102</v>
      </c>
      <c r="B190" s="19" t="s">
        <v>103</v>
      </c>
      <c r="C190" s="19" t="s">
        <v>42</v>
      </c>
      <c r="D190" s="19" t="s">
        <v>43</v>
      </c>
      <c r="E190" s="19">
        <f>SUMIFS('Stock Inflow'!$G$2:$G$601,'Stock Inflow'!$A$2:$A$601,$A190,'Stock Inflow'!$D$2:$D$601,$D190)</f>
        <v>410</v>
      </c>
      <c r="F190" s="19">
        <f>SUMIFS('Stock Inflow'!$F$2:$F$601,'Stock Inflow'!$A$2:$A$601,$A190,'Stock Inflow'!$D$2:$D$601,$D190)</f>
        <v>93</v>
      </c>
      <c r="G190" s="19">
        <f>SUMIFS('Stock Inflow'!$E$2:$E$601,'Stock Inflow'!$A$2:$A$601,$A190,'Stock Inflow'!$D$2:$D$601,$D190)</f>
        <v>3</v>
      </c>
      <c r="H190" s="19">
        <f>SUMIFS('Stock Outflow'!$F$2:$F$601,'Stock Outflow'!$A$2:$A$601,$A190,'Stock Outflow'!$D$2:$D$601,$D190)</f>
        <v>74</v>
      </c>
      <c r="I190" s="19">
        <f>SUMIFS('Stock Outflow'!$E$2:$E$601,'Stock Outflow'!$A$2:$A$601,$A190,'Stock Outflow'!$D$2:$D$601,$D190)</f>
        <v>1</v>
      </c>
      <c r="J190" s="19">
        <f t="shared" si="12"/>
        <v>431</v>
      </c>
      <c r="K190" s="20">
        <f>INDEX('Item Master'!$F$2:$F$51,MATCH($A190,'Item Master'!$A$2:$A$51,0))</f>
        <v>1500</v>
      </c>
      <c r="L190" s="20">
        <f t="shared" si="13"/>
        <v>111000</v>
      </c>
      <c r="M190" s="21">
        <f t="shared" si="14"/>
        <v>2.4666666666666668</v>
      </c>
      <c r="N190" s="19">
        <f>INDEX('Item Master'!$E$2:$E$51,MATCH($A190,'Item Master'!$A$2:$A$51,0))</f>
        <v>5</v>
      </c>
      <c r="O190" s="22">
        <f>INDEX('Product Summary'!$L$2:$L$51,MATCH($A190,'Product Summary'!$A$2:$A$51,0))</f>
        <v>8.4722222222222214</v>
      </c>
      <c r="P190" s="22">
        <f>INDEX('Product Summary'!$M$2:$M$51,MATCH($A190,'Product Summary'!$A$2:$A$51,0))</f>
        <v>21.321537290715369</v>
      </c>
      <c r="Q190" s="22">
        <f t="shared" si="15"/>
        <v>174.72972972972971</v>
      </c>
      <c r="R190" s="22">
        <f t="shared" si="16"/>
        <v>166.0858632605208</v>
      </c>
      <c r="S190" s="19" t="str">
        <f t="shared" si="17"/>
        <v>OVERSTOCK</v>
      </c>
    </row>
    <row r="191" spans="1:19" x14ac:dyDescent="0.3">
      <c r="A191" s="19" t="s">
        <v>102</v>
      </c>
      <c r="B191" s="19" t="s">
        <v>103</v>
      </c>
      <c r="C191" s="19" t="s">
        <v>42</v>
      </c>
      <c r="D191" s="19" t="s">
        <v>45</v>
      </c>
      <c r="E191" s="19">
        <f>SUMIFS('Stock Inflow'!$G$2:$G$601,'Stock Inflow'!$A$2:$A$601,$A191,'Stock Inflow'!$D$2:$D$601,$D191)</f>
        <v>431</v>
      </c>
      <c r="F191" s="19">
        <f>SUMIFS('Stock Inflow'!$F$2:$F$601,'Stock Inflow'!$A$2:$A$601,$A191,'Stock Inflow'!$D$2:$D$601,$D191)</f>
        <v>138</v>
      </c>
      <c r="G191" s="19">
        <f>SUMIFS('Stock Inflow'!$E$2:$E$601,'Stock Inflow'!$A$2:$A$601,$A191,'Stock Inflow'!$D$2:$D$601,$D191)</f>
        <v>5</v>
      </c>
      <c r="H191" s="19">
        <f>SUMIFS('Stock Outflow'!$F$2:$F$601,'Stock Outflow'!$A$2:$A$601,$A191,'Stock Outflow'!$D$2:$D$601,$D191)</f>
        <v>129</v>
      </c>
      <c r="I191" s="19">
        <f>SUMIFS('Stock Outflow'!$E$2:$E$601,'Stock Outflow'!$A$2:$A$601,$A191,'Stock Outflow'!$D$2:$D$601,$D191)</f>
        <v>2</v>
      </c>
      <c r="J191" s="19">
        <f t="shared" si="12"/>
        <v>443</v>
      </c>
      <c r="K191" s="20">
        <f>INDEX('Item Master'!$F$2:$F$51,MATCH($A191,'Item Master'!$A$2:$A$51,0))</f>
        <v>1500</v>
      </c>
      <c r="L191" s="20">
        <f t="shared" si="13"/>
        <v>193500</v>
      </c>
      <c r="M191" s="21">
        <f t="shared" si="14"/>
        <v>4.3</v>
      </c>
      <c r="N191" s="19">
        <f>INDEX('Item Master'!$E$2:$E$51,MATCH($A191,'Item Master'!$A$2:$A$51,0))</f>
        <v>5</v>
      </c>
      <c r="O191" s="22">
        <f>INDEX('Product Summary'!$L$2:$L$51,MATCH($A191,'Product Summary'!$A$2:$A$51,0))</f>
        <v>8.4722222222222214</v>
      </c>
      <c r="P191" s="22">
        <f>INDEX('Product Summary'!$M$2:$M$51,MATCH($A191,'Product Summary'!$A$2:$A$51,0))</f>
        <v>21.321537290715369</v>
      </c>
      <c r="Q191" s="22">
        <f t="shared" si="15"/>
        <v>103.0232558139535</v>
      </c>
      <c r="R191" s="22">
        <f t="shared" si="16"/>
        <v>98.064758769601085</v>
      </c>
      <c r="S191" s="19" t="str">
        <f t="shared" si="17"/>
        <v>HEALTHY</v>
      </c>
    </row>
    <row r="192" spans="1:19" x14ac:dyDescent="0.3">
      <c r="A192" s="19" t="s">
        <v>102</v>
      </c>
      <c r="B192" s="19" t="s">
        <v>103</v>
      </c>
      <c r="C192" s="19" t="s">
        <v>42</v>
      </c>
      <c r="D192" s="19" t="s">
        <v>47</v>
      </c>
      <c r="E192" s="19">
        <f>SUMIFS('Stock Inflow'!$G$2:$G$601,'Stock Inflow'!$A$2:$A$601,$A192,'Stock Inflow'!$D$2:$D$601,$D192)</f>
        <v>443</v>
      </c>
      <c r="F192" s="19">
        <f>SUMIFS('Stock Inflow'!$F$2:$F$601,'Stock Inflow'!$A$2:$A$601,$A192,'Stock Inflow'!$D$2:$D$601,$D192)</f>
        <v>94</v>
      </c>
      <c r="G192" s="19">
        <f>SUMIFS('Stock Inflow'!$E$2:$E$601,'Stock Inflow'!$A$2:$A$601,$A192,'Stock Inflow'!$D$2:$D$601,$D192)</f>
        <v>2</v>
      </c>
      <c r="H192" s="19">
        <f>SUMIFS('Stock Outflow'!$F$2:$F$601,'Stock Outflow'!$A$2:$A$601,$A192,'Stock Outflow'!$D$2:$D$601,$D192)</f>
        <v>93</v>
      </c>
      <c r="I192" s="19">
        <f>SUMIFS('Stock Outflow'!$E$2:$E$601,'Stock Outflow'!$A$2:$A$601,$A192,'Stock Outflow'!$D$2:$D$601,$D192)</f>
        <v>2</v>
      </c>
      <c r="J192" s="19">
        <f t="shared" si="12"/>
        <v>444</v>
      </c>
      <c r="K192" s="20">
        <f>INDEX('Item Master'!$F$2:$F$51,MATCH($A192,'Item Master'!$A$2:$A$51,0))</f>
        <v>1500</v>
      </c>
      <c r="L192" s="20">
        <f t="shared" si="13"/>
        <v>139500</v>
      </c>
      <c r="M192" s="21">
        <f t="shared" si="14"/>
        <v>3.1</v>
      </c>
      <c r="N192" s="19">
        <f>INDEX('Item Master'!$E$2:$E$51,MATCH($A192,'Item Master'!$A$2:$A$51,0))</f>
        <v>5</v>
      </c>
      <c r="O192" s="22">
        <f>INDEX('Product Summary'!$L$2:$L$51,MATCH($A192,'Product Summary'!$A$2:$A$51,0))</f>
        <v>8.4722222222222214</v>
      </c>
      <c r="P192" s="22">
        <f>INDEX('Product Summary'!$M$2:$M$51,MATCH($A192,'Product Summary'!$A$2:$A$51,0))</f>
        <v>21.321537290715369</v>
      </c>
      <c r="Q192" s="22">
        <f t="shared" si="15"/>
        <v>143.2258064516129</v>
      </c>
      <c r="R192" s="22">
        <f t="shared" si="16"/>
        <v>136.34789119654343</v>
      </c>
      <c r="S192" s="19" t="str">
        <f t="shared" si="17"/>
        <v>HEALTHY</v>
      </c>
    </row>
    <row r="193" spans="1:19" x14ac:dyDescent="0.3">
      <c r="A193" s="19" t="s">
        <v>102</v>
      </c>
      <c r="B193" s="19" t="s">
        <v>103</v>
      </c>
      <c r="C193" s="19" t="s">
        <v>42</v>
      </c>
      <c r="D193" s="19" t="s">
        <v>49</v>
      </c>
      <c r="E193" s="19">
        <f>SUMIFS('Stock Inflow'!$G$2:$G$601,'Stock Inflow'!$A$2:$A$601,$A193,'Stock Inflow'!$D$2:$D$601,$D193)</f>
        <v>444</v>
      </c>
      <c r="F193" s="19">
        <f>SUMIFS('Stock Inflow'!$F$2:$F$601,'Stock Inflow'!$A$2:$A$601,$A193,'Stock Inflow'!$D$2:$D$601,$D193)</f>
        <v>93</v>
      </c>
      <c r="G193" s="19">
        <f>SUMIFS('Stock Inflow'!$E$2:$E$601,'Stock Inflow'!$A$2:$A$601,$A193,'Stock Inflow'!$D$2:$D$601,$D193)</f>
        <v>1</v>
      </c>
      <c r="H193" s="19">
        <f>SUMIFS('Stock Outflow'!$F$2:$F$601,'Stock Outflow'!$A$2:$A$601,$A193,'Stock Outflow'!$D$2:$D$601,$D193)</f>
        <v>85</v>
      </c>
      <c r="I193" s="19">
        <f>SUMIFS('Stock Outflow'!$E$2:$E$601,'Stock Outflow'!$A$2:$A$601,$A193,'Stock Outflow'!$D$2:$D$601,$D193)</f>
        <v>2</v>
      </c>
      <c r="J193" s="19">
        <f t="shared" si="12"/>
        <v>451</v>
      </c>
      <c r="K193" s="20">
        <f>INDEX('Item Master'!$F$2:$F$51,MATCH($A193,'Item Master'!$A$2:$A$51,0))</f>
        <v>1500</v>
      </c>
      <c r="L193" s="20">
        <f t="shared" si="13"/>
        <v>127500</v>
      </c>
      <c r="M193" s="21">
        <f t="shared" si="14"/>
        <v>2.8333333333333335</v>
      </c>
      <c r="N193" s="19">
        <f>INDEX('Item Master'!$E$2:$E$51,MATCH($A193,'Item Master'!$A$2:$A$51,0))</f>
        <v>5</v>
      </c>
      <c r="O193" s="22">
        <f>INDEX('Product Summary'!$L$2:$L$51,MATCH($A193,'Product Summary'!$A$2:$A$51,0))</f>
        <v>8.4722222222222214</v>
      </c>
      <c r="P193" s="22">
        <f>INDEX('Product Summary'!$M$2:$M$51,MATCH($A193,'Product Summary'!$A$2:$A$51,0))</f>
        <v>21.321537290715369</v>
      </c>
      <c r="Q193" s="22">
        <f t="shared" si="15"/>
        <v>159.17647058823528</v>
      </c>
      <c r="R193" s="22">
        <f t="shared" si="16"/>
        <v>151.6512221326887</v>
      </c>
      <c r="S193" s="19" t="str">
        <f t="shared" si="17"/>
        <v>OVERSTOCK</v>
      </c>
    </row>
    <row r="194" spans="1:19" x14ac:dyDescent="0.3">
      <c r="A194" s="19" t="s">
        <v>104</v>
      </c>
      <c r="B194" s="19" t="s">
        <v>105</v>
      </c>
      <c r="C194" s="19" t="s">
        <v>42</v>
      </c>
      <c r="D194" s="19" t="s">
        <v>27</v>
      </c>
      <c r="E194" s="19">
        <f>SUMIFS('Stock Inflow'!$G$2:$G$601,'Stock Inflow'!$A$2:$A$601,$A194,'Stock Inflow'!$D$2:$D$601,$D194)</f>
        <v>362</v>
      </c>
      <c r="F194" s="19">
        <f>SUMIFS('Stock Inflow'!$F$2:$F$601,'Stock Inflow'!$A$2:$A$601,$A194,'Stock Inflow'!$D$2:$D$601,$D194)</f>
        <v>104</v>
      </c>
      <c r="G194" s="19">
        <f>SUMIFS('Stock Inflow'!$E$2:$E$601,'Stock Inflow'!$A$2:$A$601,$A194,'Stock Inflow'!$D$2:$D$601,$D194)</f>
        <v>4</v>
      </c>
      <c r="H194" s="19">
        <f>SUMIFS('Stock Outflow'!$F$2:$F$601,'Stock Outflow'!$A$2:$A$601,$A194,'Stock Outflow'!$D$2:$D$601,$D194)</f>
        <v>99</v>
      </c>
      <c r="I194" s="19">
        <f>SUMIFS('Stock Outflow'!$E$2:$E$601,'Stock Outflow'!$A$2:$A$601,$A194,'Stock Outflow'!$D$2:$D$601,$D194)</f>
        <v>3</v>
      </c>
      <c r="J194" s="19">
        <f t="shared" ref="J194:J257" si="18">E194+F194+G194-H194-I194</f>
        <v>368</v>
      </c>
      <c r="K194" s="20">
        <f>INDEX('Item Master'!$F$2:$F$51,MATCH($A194,'Item Master'!$A$2:$A$51,0))</f>
        <v>600</v>
      </c>
      <c r="L194" s="20">
        <f t="shared" ref="L194:L257" si="19">H194*K194</f>
        <v>59400</v>
      </c>
      <c r="M194" s="21">
        <f t="shared" ref="M194:M257" si="20">H194/30</f>
        <v>3.3</v>
      </c>
      <c r="N194" s="19">
        <f>INDEX('Item Master'!$E$2:$E$51,MATCH($A194,'Item Master'!$A$2:$A$51,0))</f>
        <v>3</v>
      </c>
      <c r="O194" s="22">
        <f>INDEX('Product Summary'!$L$2:$L$51,MATCH($A194,'Product Summary'!$A$2:$A$51,0))</f>
        <v>5.3916666666666666</v>
      </c>
      <c r="P194" s="22">
        <f>INDEX('Product Summary'!$M$2:$M$51,MATCH($A194,'Product Summary'!$A$2:$A$51,0))</f>
        <v>15.361529680365297</v>
      </c>
      <c r="Q194" s="22">
        <f t="shared" ref="Q194:Q257" si="21">IF(M194=0,"",J194/M194)</f>
        <v>111.51515151515152</v>
      </c>
      <c r="R194" s="22">
        <f t="shared" ref="R194:R257" si="22">IF(M194=0,"",IF(J194&lt;=P194,0,(J194-P194)/M194))</f>
        <v>106.86014252110142</v>
      </c>
      <c r="S194" s="19" t="str">
        <f t="shared" ref="S194:S257" si="23">IF(J194&lt;=P194,"REORDER NOW",IF(IFERROR(Q194,0)&gt;150,"OVERSTOCK","HEALTHY"))</f>
        <v>HEALTHY</v>
      </c>
    </row>
    <row r="195" spans="1:19" x14ac:dyDescent="0.3">
      <c r="A195" s="19" t="s">
        <v>104</v>
      </c>
      <c r="B195" s="19" t="s">
        <v>105</v>
      </c>
      <c r="C195" s="19" t="s">
        <v>42</v>
      </c>
      <c r="D195" s="19" t="s">
        <v>29</v>
      </c>
      <c r="E195" s="19">
        <f>SUMIFS('Stock Inflow'!$G$2:$G$601,'Stock Inflow'!$A$2:$A$601,$A195,'Stock Inflow'!$D$2:$D$601,$D195)</f>
        <v>368</v>
      </c>
      <c r="F195" s="19">
        <f>SUMIFS('Stock Inflow'!$F$2:$F$601,'Stock Inflow'!$A$2:$A$601,$A195,'Stock Inflow'!$D$2:$D$601,$D195)</f>
        <v>105</v>
      </c>
      <c r="G195" s="19">
        <f>SUMIFS('Stock Inflow'!$E$2:$E$601,'Stock Inflow'!$A$2:$A$601,$A195,'Stock Inflow'!$D$2:$D$601,$D195)</f>
        <v>2</v>
      </c>
      <c r="H195" s="19">
        <f>SUMIFS('Stock Outflow'!$F$2:$F$601,'Stock Outflow'!$A$2:$A$601,$A195,'Stock Outflow'!$D$2:$D$601,$D195)</f>
        <v>105</v>
      </c>
      <c r="I195" s="19">
        <f>SUMIFS('Stock Outflow'!$E$2:$E$601,'Stock Outflow'!$A$2:$A$601,$A195,'Stock Outflow'!$D$2:$D$601,$D195)</f>
        <v>3</v>
      </c>
      <c r="J195" s="19">
        <f t="shared" si="18"/>
        <v>367</v>
      </c>
      <c r="K195" s="20">
        <f>INDEX('Item Master'!$F$2:$F$51,MATCH($A195,'Item Master'!$A$2:$A$51,0))</f>
        <v>600</v>
      </c>
      <c r="L195" s="20">
        <f t="shared" si="19"/>
        <v>63000</v>
      </c>
      <c r="M195" s="21">
        <f t="shared" si="20"/>
        <v>3.5</v>
      </c>
      <c r="N195" s="19">
        <f>INDEX('Item Master'!$E$2:$E$51,MATCH($A195,'Item Master'!$A$2:$A$51,0))</f>
        <v>3</v>
      </c>
      <c r="O195" s="22">
        <f>INDEX('Product Summary'!$L$2:$L$51,MATCH($A195,'Product Summary'!$A$2:$A$51,0))</f>
        <v>5.3916666666666666</v>
      </c>
      <c r="P195" s="22">
        <f>INDEX('Product Summary'!$M$2:$M$51,MATCH($A195,'Product Summary'!$A$2:$A$51,0))</f>
        <v>15.361529680365297</v>
      </c>
      <c r="Q195" s="22">
        <f t="shared" si="21"/>
        <v>104.85714285714286</v>
      </c>
      <c r="R195" s="22">
        <f t="shared" si="22"/>
        <v>100.46813437703848</v>
      </c>
      <c r="S195" s="19" t="str">
        <f t="shared" si="23"/>
        <v>HEALTHY</v>
      </c>
    </row>
    <row r="196" spans="1:19" x14ac:dyDescent="0.3">
      <c r="A196" s="19" t="s">
        <v>104</v>
      </c>
      <c r="B196" s="19" t="s">
        <v>105</v>
      </c>
      <c r="C196" s="19" t="s">
        <v>42</v>
      </c>
      <c r="D196" s="19" t="s">
        <v>31</v>
      </c>
      <c r="E196" s="19">
        <f>SUMIFS('Stock Inflow'!$G$2:$G$601,'Stock Inflow'!$A$2:$A$601,$A196,'Stock Inflow'!$D$2:$D$601,$D196)</f>
        <v>367</v>
      </c>
      <c r="F196" s="19">
        <f>SUMIFS('Stock Inflow'!$F$2:$F$601,'Stock Inflow'!$A$2:$A$601,$A196,'Stock Inflow'!$D$2:$D$601,$D196)</f>
        <v>92</v>
      </c>
      <c r="G196" s="19">
        <f>SUMIFS('Stock Inflow'!$E$2:$E$601,'Stock Inflow'!$A$2:$A$601,$A196,'Stock Inflow'!$D$2:$D$601,$D196)</f>
        <v>2</v>
      </c>
      <c r="H196" s="19">
        <f>SUMIFS('Stock Outflow'!$F$2:$F$601,'Stock Outflow'!$A$2:$A$601,$A196,'Stock Outflow'!$D$2:$D$601,$D196)</f>
        <v>90</v>
      </c>
      <c r="I196" s="19">
        <f>SUMIFS('Stock Outflow'!$E$2:$E$601,'Stock Outflow'!$A$2:$A$601,$A196,'Stock Outflow'!$D$2:$D$601,$D196)</f>
        <v>3</v>
      </c>
      <c r="J196" s="19">
        <f t="shared" si="18"/>
        <v>368</v>
      </c>
      <c r="K196" s="20">
        <f>INDEX('Item Master'!$F$2:$F$51,MATCH($A196,'Item Master'!$A$2:$A$51,0))</f>
        <v>600</v>
      </c>
      <c r="L196" s="20">
        <f t="shared" si="19"/>
        <v>54000</v>
      </c>
      <c r="M196" s="21">
        <f t="shared" si="20"/>
        <v>3</v>
      </c>
      <c r="N196" s="19">
        <f>INDEX('Item Master'!$E$2:$E$51,MATCH($A196,'Item Master'!$A$2:$A$51,0))</f>
        <v>3</v>
      </c>
      <c r="O196" s="22">
        <f>INDEX('Product Summary'!$L$2:$L$51,MATCH($A196,'Product Summary'!$A$2:$A$51,0))</f>
        <v>5.3916666666666666</v>
      </c>
      <c r="P196" s="22">
        <f>INDEX('Product Summary'!$M$2:$M$51,MATCH($A196,'Product Summary'!$A$2:$A$51,0))</f>
        <v>15.361529680365297</v>
      </c>
      <c r="Q196" s="22">
        <f t="shared" si="21"/>
        <v>122.66666666666667</v>
      </c>
      <c r="R196" s="22">
        <f t="shared" si="22"/>
        <v>117.54615677321156</v>
      </c>
      <c r="S196" s="19" t="str">
        <f t="shared" si="23"/>
        <v>HEALTHY</v>
      </c>
    </row>
    <row r="197" spans="1:19" x14ac:dyDescent="0.3">
      <c r="A197" s="19" t="s">
        <v>104</v>
      </c>
      <c r="B197" s="19" t="s">
        <v>105</v>
      </c>
      <c r="C197" s="19" t="s">
        <v>42</v>
      </c>
      <c r="D197" s="19" t="s">
        <v>33</v>
      </c>
      <c r="E197" s="19">
        <f>SUMIFS('Stock Inflow'!$G$2:$G$601,'Stock Inflow'!$A$2:$A$601,$A197,'Stock Inflow'!$D$2:$D$601,$D197)</f>
        <v>368</v>
      </c>
      <c r="F197" s="19">
        <f>SUMIFS('Stock Inflow'!$F$2:$F$601,'Stock Inflow'!$A$2:$A$601,$A197,'Stock Inflow'!$D$2:$D$601,$D197)</f>
        <v>115</v>
      </c>
      <c r="G197" s="19">
        <f>SUMIFS('Stock Inflow'!$E$2:$E$601,'Stock Inflow'!$A$2:$A$601,$A197,'Stock Inflow'!$D$2:$D$601,$D197)</f>
        <v>3</v>
      </c>
      <c r="H197" s="19">
        <f>SUMIFS('Stock Outflow'!$F$2:$F$601,'Stock Outflow'!$A$2:$A$601,$A197,'Stock Outflow'!$D$2:$D$601,$D197)</f>
        <v>89</v>
      </c>
      <c r="I197" s="19">
        <f>SUMIFS('Stock Outflow'!$E$2:$E$601,'Stock Outflow'!$A$2:$A$601,$A197,'Stock Outflow'!$D$2:$D$601,$D197)</f>
        <v>2</v>
      </c>
      <c r="J197" s="19">
        <f t="shared" si="18"/>
        <v>395</v>
      </c>
      <c r="K197" s="20">
        <f>INDEX('Item Master'!$F$2:$F$51,MATCH($A197,'Item Master'!$A$2:$A$51,0))</f>
        <v>600</v>
      </c>
      <c r="L197" s="20">
        <f t="shared" si="19"/>
        <v>53400</v>
      </c>
      <c r="M197" s="21">
        <f t="shared" si="20"/>
        <v>2.9666666666666668</v>
      </c>
      <c r="N197" s="19">
        <f>INDEX('Item Master'!$E$2:$E$51,MATCH($A197,'Item Master'!$A$2:$A$51,0))</f>
        <v>3</v>
      </c>
      <c r="O197" s="22">
        <f>INDEX('Product Summary'!$L$2:$L$51,MATCH($A197,'Product Summary'!$A$2:$A$51,0))</f>
        <v>5.3916666666666666</v>
      </c>
      <c r="P197" s="22">
        <f>INDEX('Product Summary'!$M$2:$M$51,MATCH($A197,'Product Summary'!$A$2:$A$51,0))</f>
        <v>15.361529680365297</v>
      </c>
      <c r="Q197" s="22">
        <f t="shared" si="21"/>
        <v>133.14606741573033</v>
      </c>
      <c r="R197" s="22">
        <f t="shared" si="22"/>
        <v>127.96802370324764</v>
      </c>
      <c r="S197" s="19" t="str">
        <f t="shared" si="23"/>
        <v>HEALTHY</v>
      </c>
    </row>
    <row r="198" spans="1:19" x14ac:dyDescent="0.3">
      <c r="A198" s="19" t="s">
        <v>104</v>
      </c>
      <c r="B198" s="19" t="s">
        <v>105</v>
      </c>
      <c r="C198" s="19" t="s">
        <v>42</v>
      </c>
      <c r="D198" s="19" t="s">
        <v>35</v>
      </c>
      <c r="E198" s="19">
        <f>SUMIFS('Stock Inflow'!$G$2:$G$601,'Stock Inflow'!$A$2:$A$601,$A198,'Stock Inflow'!$D$2:$D$601,$D198)</f>
        <v>395</v>
      </c>
      <c r="F198" s="19">
        <f>SUMIFS('Stock Inflow'!$F$2:$F$601,'Stock Inflow'!$A$2:$A$601,$A198,'Stock Inflow'!$D$2:$D$601,$D198)</f>
        <v>105</v>
      </c>
      <c r="G198" s="19">
        <f>SUMIFS('Stock Inflow'!$E$2:$E$601,'Stock Inflow'!$A$2:$A$601,$A198,'Stock Inflow'!$D$2:$D$601,$D198)</f>
        <v>1</v>
      </c>
      <c r="H198" s="19">
        <f>SUMIFS('Stock Outflow'!$F$2:$F$601,'Stock Outflow'!$A$2:$A$601,$A198,'Stock Outflow'!$D$2:$D$601,$D198)</f>
        <v>82</v>
      </c>
      <c r="I198" s="19">
        <f>SUMIFS('Stock Outflow'!$E$2:$E$601,'Stock Outflow'!$A$2:$A$601,$A198,'Stock Outflow'!$D$2:$D$601,$D198)</f>
        <v>3</v>
      </c>
      <c r="J198" s="19">
        <f t="shared" si="18"/>
        <v>416</v>
      </c>
      <c r="K198" s="20">
        <f>INDEX('Item Master'!$F$2:$F$51,MATCH($A198,'Item Master'!$A$2:$A$51,0))</f>
        <v>600</v>
      </c>
      <c r="L198" s="20">
        <f t="shared" si="19"/>
        <v>49200</v>
      </c>
      <c r="M198" s="21">
        <f t="shared" si="20"/>
        <v>2.7333333333333334</v>
      </c>
      <c r="N198" s="19">
        <f>INDEX('Item Master'!$E$2:$E$51,MATCH($A198,'Item Master'!$A$2:$A$51,0))</f>
        <v>3</v>
      </c>
      <c r="O198" s="22">
        <f>INDEX('Product Summary'!$L$2:$L$51,MATCH($A198,'Product Summary'!$A$2:$A$51,0))</f>
        <v>5.3916666666666666</v>
      </c>
      <c r="P198" s="22">
        <f>INDEX('Product Summary'!$M$2:$M$51,MATCH($A198,'Product Summary'!$A$2:$A$51,0))</f>
        <v>15.361529680365297</v>
      </c>
      <c r="Q198" s="22">
        <f t="shared" si="21"/>
        <v>152.19512195121951</v>
      </c>
      <c r="R198" s="22">
        <f t="shared" si="22"/>
        <v>146.57505011693951</v>
      </c>
      <c r="S198" s="19" t="str">
        <f t="shared" si="23"/>
        <v>OVERSTOCK</v>
      </c>
    </row>
    <row r="199" spans="1:19" x14ac:dyDescent="0.3">
      <c r="A199" s="19" t="s">
        <v>104</v>
      </c>
      <c r="B199" s="19" t="s">
        <v>105</v>
      </c>
      <c r="C199" s="19" t="s">
        <v>42</v>
      </c>
      <c r="D199" s="19" t="s">
        <v>37</v>
      </c>
      <c r="E199" s="19">
        <f>SUMIFS('Stock Inflow'!$G$2:$G$601,'Stock Inflow'!$A$2:$A$601,$A199,'Stock Inflow'!$D$2:$D$601,$D199)</f>
        <v>416</v>
      </c>
      <c r="F199" s="19">
        <f>SUMIFS('Stock Inflow'!$F$2:$F$601,'Stock Inflow'!$A$2:$A$601,$A199,'Stock Inflow'!$D$2:$D$601,$D199)</f>
        <v>82</v>
      </c>
      <c r="G199" s="19">
        <f>SUMIFS('Stock Inflow'!$E$2:$E$601,'Stock Inflow'!$A$2:$A$601,$A199,'Stock Inflow'!$D$2:$D$601,$D199)</f>
        <v>3</v>
      </c>
      <c r="H199" s="19">
        <f>SUMIFS('Stock Outflow'!$F$2:$F$601,'Stock Outflow'!$A$2:$A$601,$A199,'Stock Outflow'!$D$2:$D$601,$D199)</f>
        <v>87</v>
      </c>
      <c r="I199" s="19">
        <f>SUMIFS('Stock Outflow'!$E$2:$E$601,'Stock Outflow'!$A$2:$A$601,$A199,'Stock Outflow'!$D$2:$D$601,$D199)</f>
        <v>0</v>
      </c>
      <c r="J199" s="19">
        <f t="shared" si="18"/>
        <v>414</v>
      </c>
      <c r="K199" s="20">
        <f>INDEX('Item Master'!$F$2:$F$51,MATCH($A199,'Item Master'!$A$2:$A$51,0))</f>
        <v>600</v>
      </c>
      <c r="L199" s="20">
        <f t="shared" si="19"/>
        <v>52200</v>
      </c>
      <c r="M199" s="21">
        <f t="shared" si="20"/>
        <v>2.9</v>
      </c>
      <c r="N199" s="19">
        <f>INDEX('Item Master'!$E$2:$E$51,MATCH($A199,'Item Master'!$A$2:$A$51,0))</f>
        <v>3</v>
      </c>
      <c r="O199" s="22">
        <f>INDEX('Product Summary'!$L$2:$L$51,MATCH($A199,'Product Summary'!$A$2:$A$51,0))</f>
        <v>5.3916666666666666</v>
      </c>
      <c r="P199" s="22">
        <f>INDEX('Product Summary'!$M$2:$M$51,MATCH($A199,'Product Summary'!$A$2:$A$51,0))</f>
        <v>15.361529680365297</v>
      </c>
      <c r="Q199" s="22">
        <f t="shared" si="21"/>
        <v>142.75862068965517</v>
      </c>
      <c r="R199" s="22">
        <f t="shared" si="22"/>
        <v>137.4615414895292</v>
      </c>
      <c r="S199" s="19" t="str">
        <f t="shared" si="23"/>
        <v>HEALTHY</v>
      </c>
    </row>
    <row r="200" spans="1:19" x14ac:dyDescent="0.3">
      <c r="A200" s="19" t="s">
        <v>104</v>
      </c>
      <c r="B200" s="19" t="s">
        <v>105</v>
      </c>
      <c r="C200" s="19" t="s">
        <v>42</v>
      </c>
      <c r="D200" s="19" t="s">
        <v>39</v>
      </c>
      <c r="E200" s="19">
        <f>SUMIFS('Stock Inflow'!$G$2:$G$601,'Stock Inflow'!$A$2:$A$601,$A200,'Stock Inflow'!$D$2:$D$601,$D200)</f>
        <v>414</v>
      </c>
      <c r="F200" s="19">
        <f>SUMIFS('Stock Inflow'!$F$2:$F$601,'Stock Inflow'!$A$2:$A$601,$A200,'Stock Inflow'!$D$2:$D$601,$D200)</f>
        <v>93</v>
      </c>
      <c r="G200" s="19">
        <f>SUMIFS('Stock Inflow'!$E$2:$E$601,'Stock Inflow'!$A$2:$A$601,$A200,'Stock Inflow'!$D$2:$D$601,$D200)</f>
        <v>1</v>
      </c>
      <c r="H200" s="19">
        <f>SUMIFS('Stock Outflow'!$F$2:$F$601,'Stock Outflow'!$A$2:$A$601,$A200,'Stock Outflow'!$D$2:$D$601,$D200)</f>
        <v>103</v>
      </c>
      <c r="I200" s="19">
        <f>SUMIFS('Stock Outflow'!$E$2:$E$601,'Stock Outflow'!$A$2:$A$601,$A200,'Stock Outflow'!$D$2:$D$601,$D200)</f>
        <v>2</v>
      </c>
      <c r="J200" s="19">
        <f t="shared" si="18"/>
        <v>403</v>
      </c>
      <c r="K200" s="20">
        <f>INDEX('Item Master'!$F$2:$F$51,MATCH($A200,'Item Master'!$A$2:$A$51,0))</f>
        <v>600</v>
      </c>
      <c r="L200" s="20">
        <f t="shared" si="19"/>
        <v>61800</v>
      </c>
      <c r="M200" s="21">
        <f t="shared" si="20"/>
        <v>3.4333333333333331</v>
      </c>
      <c r="N200" s="19">
        <f>INDEX('Item Master'!$E$2:$E$51,MATCH($A200,'Item Master'!$A$2:$A$51,0))</f>
        <v>3</v>
      </c>
      <c r="O200" s="22">
        <f>INDEX('Product Summary'!$L$2:$L$51,MATCH($A200,'Product Summary'!$A$2:$A$51,0))</f>
        <v>5.3916666666666666</v>
      </c>
      <c r="P200" s="22">
        <f>INDEX('Product Summary'!$M$2:$M$51,MATCH($A200,'Product Summary'!$A$2:$A$51,0))</f>
        <v>15.361529680365297</v>
      </c>
      <c r="Q200" s="22">
        <f t="shared" si="21"/>
        <v>117.37864077669903</v>
      </c>
      <c r="R200" s="22">
        <f t="shared" si="22"/>
        <v>112.90440883096156</v>
      </c>
      <c r="S200" s="19" t="str">
        <f t="shared" si="23"/>
        <v>HEALTHY</v>
      </c>
    </row>
    <row r="201" spans="1:19" x14ac:dyDescent="0.3">
      <c r="A201" s="19" t="s">
        <v>104</v>
      </c>
      <c r="B201" s="19" t="s">
        <v>105</v>
      </c>
      <c r="C201" s="19" t="s">
        <v>42</v>
      </c>
      <c r="D201" s="19" t="s">
        <v>41</v>
      </c>
      <c r="E201" s="19">
        <f>SUMIFS('Stock Inflow'!$G$2:$G$601,'Stock Inflow'!$A$2:$A$601,$A201,'Stock Inflow'!$D$2:$D$601,$D201)</f>
        <v>403</v>
      </c>
      <c r="F201" s="19">
        <f>SUMIFS('Stock Inflow'!$F$2:$F$601,'Stock Inflow'!$A$2:$A$601,$A201,'Stock Inflow'!$D$2:$D$601,$D201)</f>
        <v>98</v>
      </c>
      <c r="G201" s="19">
        <f>SUMIFS('Stock Inflow'!$E$2:$E$601,'Stock Inflow'!$A$2:$A$601,$A201,'Stock Inflow'!$D$2:$D$601,$D201)</f>
        <v>4</v>
      </c>
      <c r="H201" s="19">
        <f>SUMIFS('Stock Outflow'!$F$2:$F$601,'Stock Outflow'!$A$2:$A$601,$A201,'Stock Outflow'!$D$2:$D$601,$D201)</f>
        <v>105</v>
      </c>
      <c r="I201" s="19">
        <f>SUMIFS('Stock Outflow'!$E$2:$E$601,'Stock Outflow'!$A$2:$A$601,$A201,'Stock Outflow'!$D$2:$D$601,$D201)</f>
        <v>1</v>
      </c>
      <c r="J201" s="19">
        <f t="shared" si="18"/>
        <v>399</v>
      </c>
      <c r="K201" s="20">
        <f>INDEX('Item Master'!$F$2:$F$51,MATCH($A201,'Item Master'!$A$2:$A$51,0))</f>
        <v>600</v>
      </c>
      <c r="L201" s="20">
        <f t="shared" si="19"/>
        <v>63000</v>
      </c>
      <c r="M201" s="21">
        <f t="shared" si="20"/>
        <v>3.5</v>
      </c>
      <c r="N201" s="19">
        <f>INDEX('Item Master'!$E$2:$E$51,MATCH($A201,'Item Master'!$A$2:$A$51,0))</f>
        <v>3</v>
      </c>
      <c r="O201" s="22">
        <f>INDEX('Product Summary'!$L$2:$L$51,MATCH($A201,'Product Summary'!$A$2:$A$51,0))</f>
        <v>5.3916666666666666</v>
      </c>
      <c r="P201" s="22">
        <f>INDEX('Product Summary'!$M$2:$M$51,MATCH($A201,'Product Summary'!$A$2:$A$51,0))</f>
        <v>15.361529680365297</v>
      </c>
      <c r="Q201" s="22">
        <f t="shared" si="21"/>
        <v>114</v>
      </c>
      <c r="R201" s="22">
        <f t="shared" si="22"/>
        <v>109.61099151989562</v>
      </c>
      <c r="S201" s="19" t="str">
        <f t="shared" si="23"/>
        <v>HEALTHY</v>
      </c>
    </row>
    <row r="202" spans="1:19" x14ac:dyDescent="0.3">
      <c r="A202" s="19" t="s">
        <v>104</v>
      </c>
      <c r="B202" s="19" t="s">
        <v>105</v>
      </c>
      <c r="C202" s="19" t="s">
        <v>42</v>
      </c>
      <c r="D202" s="19" t="s">
        <v>43</v>
      </c>
      <c r="E202" s="19">
        <f>SUMIFS('Stock Inflow'!$G$2:$G$601,'Stock Inflow'!$A$2:$A$601,$A202,'Stock Inflow'!$D$2:$D$601,$D202)</f>
        <v>399</v>
      </c>
      <c r="F202" s="19">
        <f>SUMIFS('Stock Inflow'!$F$2:$F$601,'Stock Inflow'!$A$2:$A$601,$A202,'Stock Inflow'!$D$2:$D$601,$D202)</f>
        <v>101</v>
      </c>
      <c r="G202" s="19">
        <f>SUMIFS('Stock Inflow'!$E$2:$E$601,'Stock Inflow'!$A$2:$A$601,$A202,'Stock Inflow'!$D$2:$D$601,$D202)</f>
        <v>1</v>
      </c>
      <c r="H202" s="19">
        <f>SUMIFS('Stock Outflow'!$F$2:$F$601,'Stock Outflow'!$A$2:$A$601,$A202,'Stock Outflow'!$D$2:$D$601,$D202)</f>
        <v>95</v>
      </c>
      <c r="I202" s="19">
        <f>SUMIFS('Stock Outflow'!$E$2:$E$601,'Stock Outflow'!$A$2:$A$601,$A202,'Stock Outflow'!$D$2:$D$601,$D202)</f>
        <v>1</v>
      </c>
      <c r="J202" s="19">
        <f t="shared" si="18"/>
        <v>405</v>
      </c>
      <c r="K202" s="20">
        <f>INDEX('Item Master'!$F$2:$F$51,MATCH($A202,'Item Master'!$A$2:$A$51,0))</f>
        <v>600</v>
      </c>
      <c r="L202" s="20">
        <f t="shared" si="19"/>
        <v>57000</v>
      </c>
      <c r="M202" s="21">
        <f t="shared" si="20"/>
        <v>3.1666666666666665</v>
      </c>
      <c r="N202" s="19">
        <f>INDEX('Item Master'!$E$2:$E$51,MATCH($A202,'Item Master'!$A$2:$A$51,0))</f>
        <v>3</v>
      </c>
      <c r="O202" s="22">
        <f>INDEX('Product Summary'!$L$2:$L$51,MATCH($A202,'Product Summary'!$A$2:$A$51,0))</f>
        <v>5.3916666666666666</v>
      </c>
      <c r="P202" s="22">
        <f>INDEX('Product Summary'!$M$2:$M$51,MATCH($A202,'Product Summary'!$A$2:$A$51,0))</f>
        <v>15.361529680365297</v>
      </c>
      <c r="Q202" s="22">
        <f t="shared" si="21"/>
        <v>127.89473684210527</v>
      </c>
      <c r="R202" s="22">
        <f t="shared" si="22"/>
        <v>123.04372746935833</v>
      </c>
      <c r="S202" s="19" t="str">
        <f t="shared" si="23"/>
        <v>HEALTHY</v>
      </c>
    </row>
    <row r="203" spans="1:19" x14ac:dyDescent="0.3">
      <c r="A203" s="19" t="s">
        <v>104</v>
      </c>
      <c r="B203" s="19" t="s">
        <v>105</v>
      </c>
      <c r="C203" s="19" t="s">
        <v>42</v>
      </c>
      <c r="D203" s="19" t="s">
        <v>45</v>
      </c>
      <c r="E203" s="19">
        <f>SUMIFS('Stock Inflow'!$G$2:$G$601,'Stock Inflow'!$A$2:$A$601,$A203,'Stock Inflow'!$D$2:$D$601,$D203)</f>
        <v>405</v>
      </c>
      <c r="F203" s="19">
        <f>SUMIFS('Stock Inflow'!$F$2:$F$601,'Stock Inflow'!$A$2:$A$601,$A203,'Stock Inflow'!$D$2:$D$601,$D203)</f>
        <v>173</v>
      </c>
      <c r="G203" s="19">
        <f>SUMIFS('Stock Inflow'!$E$2:$E$601,'Stock Inflow'!$A$2:$A$601,$A203,'Stock Inflow'!$D$2:$D$601,$D203)</f>
        <v>6</v>
      </c>
      <c r="H203" s="19">
        <f>SUMIFS('Stock Outflow'!$F$2:$F$601,'Stock Outflow'!$A$2:$A$601,$A203,'Stock Outflow'!$D$2:$D$601,$D203)</f>
        <v>155</v>
      </c>
      <c r="I203" s="19">
        <f>SUMIFS('Stock Outflow'!$E$2:$E$601,'Stock Outflow'!$A$2:$A$601,$A203,'Stock Outflow'!$D$2:$D$601,$D203)</f>
        <v>3</v>
      </c>
      <c r="J203" s="19">
        <f t="shared" si="18"/>
        <v>426</v>
      </c>
      <c r="K203" s="20">
        <f>INDEX('Item Master'!$F$2:$F$51,MATCH($A203,'Item Master'!$A$2:$A$51,0))</f>
        <v>600</v>
      </c>
      <c r="L203" s="20">
        <f t="shared" si="19"/>
        <v>93000</v>
      </c>
      <c r="M203" s="21">
        <f t="shared" si="20"/>
        <v>5.166666666666667</v>
      </c>
      <c r="N203" s="19">
        <f>INDEX('Item Master'!$E$2:$E$51,MATCH($A203,'Item Master'!$A$2:$A$51,0))</f>
        <v>3</v>
      </c>
      <c r="O203" s="22">
        <f>INDEX('Product Summary'!$L$2:$L$51,MATCH($A203,'Product Summary'!$A$2:$A$51,0))</f>
        <v>5.3916666666666666</v>
      </c>
      <c r="P203" s="22">
        <f>INDEX('Product Summary'!$M$2:$M$51,MATCH($A203,'Product Summary'!$A$2:$A$51,0))</f>
        <v>15.361529680365297</v>
      </c>
      <c r="Q203" s="22">
        <f t="shared" si="21"/>
        <v>82.451612903225808</v>
      </c>
      <c r="R203" s="22">
        <f t="shared" si="22"/>
        <v>79.478413610251863</v>
      </c>
      <c r="S203" s="19" t="str">
        <f t="shared" si="23"/>
        <v>HEALTHY</v>
      </c>
    </row>
    <row r="204" spans="1:19" x14ac:dyDescent="0.3">
      <c r="A204" s="19" t="s">
        <v>104</v>
      </c>
      <c r="B204" s="19" t="s">
        <v>105</v>
      </c>
      <c r="C204" s="19" t="s">
        <v>42</v>
      </c>
      <c r="D204" s="19" t="s">
        <v>47</v>
      </c>
      <c r="E204" s="19">
        <f>SUMIFS('Stock Inflow'!$G$2:$G$601,'Stock Inflow'!$A$2:$A$601,$A204,'Stock Inflow'!$D$2:$D$601,$D204)</f>
        <v>426</v>
      </c>
      <c r="F204" s="19">
        <f>SUMIFS('Stock Inflow'!$F$2:$F$601,'Stock Inflow'!$A$2:$A$601,$A204,'Stock Inflow'!$D$2:$D$601,$D204)</f>
        <v>129</v>
      </c>
      <c r="G204" s="19">
        <f>SUMIFS('Stock Inflow'!$E$2:$E$601,'Stock Inflow'!$A$2:$A$601,$A204,'Stock Inflow'!$D$2:$D$601,$D204)</f>
        <v>3</v>
      </c>
      <c r="H204" s="19">
        <f>SUMIFS('Stock Outflow'!$F$2:$F$601,'Stock Outflow'!$A$2:$A$601,$A204,'Stock Outflow'!$D$2:$D$601,$D204)</f>
        <v>118</v>
      </c>
      <c r="I204" s="19">
        <f>SUMIFS('Stock Outflow'!$E$2:$E$601,'Stock Outflow'!$A$2:$A$601,$A204,'Stock Outflow'!$D$2:$D$601,$D204)</f>
        <v>2</v>
      </c>
      <c r="J204" s="19">
        <f t="shared" si="18"/>
        <v>438</v>
      </c>
      <c r="K204" s="20">
        <f>INDEX('Item Master'!$F$2:$F$51,MATCH($A204,'Item Master'!$A$2:$A$51,0))</f>
        <v>600</v>
      </c>
      <c r="L204" s="20">
        <f t="shared" si="19"/>
        <v>70800</v>
      </c>
      <c r="M204" s="21">
        <f t="shared" si="20"/>
        <v>3.9333333333333331</v>
      </c>
      <c r="N204" s="19">
        <f>INDEX('Item Master'!$E$2:$E$51,MATCH($A204,'Item Master'!$A$2:$A$51,0))</f>
        <v>3</v>
      </c>
      <c r="O204" s="22">
        <f>INDEX('Product Summary'!$L$2:$L$51,MATCH($A204,'Product Summary'!$A$2:$A$51,0))</f>
        <v>5.3916666666666666</v>
      </c>
      <c r="P204" s="22">
        <f>INDEX('Product Summary'!$M$2:$M$51,MATCH($A204,'Product Summary'!$A$2:$A$51,0))</f>
        <v>15.361529680365297</v>
      </c>
      <c r="Q204" s="22">
        <f t="shared" si="21"/>
        <v>111.35593220338984</v>
      </c>
      <c r="R204" s="22">
        <f t="shared" si="22"/>
        <v>107.45045855583933</v>
      </c>
      <c r="S204" s="19" t="str">
        <f t="shared" si="23"/>
        <v>HEALTHY</v>
      </c>
    </row>
    <row r="205" spans="1:19" x14ac:dyDescent="0.3">
      <c r="A205" s="19" t="s">
        <v>104</v>
      </c>
      <c r="B205" s="19" t="s">
        <v>105</v>
      </c>
      <c r="C205" s="19" t="s">
        <v>42</v>
      </c>
      <c r="D205" s="19" t="s">
        <v>49</v>
      </c>
      <c r="E205" s="19">
        <f>SUMIFS('Stock Inflow'!$G$2:$G$601,'Stock Inflow'!$A$2:$A$601,$A205,'Stock Inflow'!$D$2:$D$601,$D205)</f>
        <v>438</v>
      </c>
      <c r="F205" s="19">
        <f>SUMIFS('Stock Inflow'!$F$2:$F$601,'Stock Inflow'!$A$2:$A$601,$A205,'Stock Inflow'!$D$2:$D$601,$D205)</f>
        <v>100</v>
      </c>
      <c r="G205" s="19">
        <f>SUMIFS('Stock Inflow'!$E$2:$E$601,'Stock Inflow'!$A$2:$A$601,$A205,'Stock Inflow'!$D$2:$D$601,$D205)</f>
        <v>2</v>
      </c>
      <c r="H205" s="19">
        <f>SUMIFS('Stock Outflow'!$F$2:$F$601,'Stock Outflow'!$A$2:$A$601,$A205,'Stock Outflow'!$D$2:$D$601,$D205)</f>
        <v>85</v>
      </c>
      <c r="I205" s="19">
        <f>SUMIFS('Stock Outflow'!$E$2:$E$601,'Stock Outflow'!$A$2:$A$601,$A205,'Stock Outflow'!$D$2:$D$601,$D205)</f>
        <v>1</v>
      </c>
      <c r="J205" s="19">
        <f t="shared" si="18"/>
        <v>454</v>
      </c>
      <c r="K205" s="20">
        <f>INDEX('Item Master'!$F$2:$F$51,MATCH($A205,'Item Master'!$A$2:$A$51,0))</f>
        <v>600</v>
      </c>
      <c r="L205" s="20">
        <f t="shared" si="19"/>
        <v>51000</v>
      </c>
      <c r="M205" s="21">
        <f t="shared" si="20"/>
        <v>2.8333333333333335</v>
      </c>
      <c r="N205" s="19">
        <f>INDEX('Item Master'!$E$2:$E$51,MATCH($A205,'Item Master'!$A$2:$A$51,0))</f>
        <v>3</v>
      </c>
      <c r="O205" s="22">
        <f>INDEX('Product Summary'!$L$2:$L$51,MATCH($A205,'Product Summary'!$A$2:$A$51,0))</f>
        <v>5.3916666666666666</v>
      </c>
      <c r="P205" s="22">
        <f>INDEX('Product Summary'!$M$2:$M$51,MATCH($A205,'Product Summary'!$A$2:$A$51,0))</f>
        <v>15.361529680365297</v>
      </c>
      <c r="Q205" s="22">
        <f t="shared" si="21"/>
        <v>160.23529411764704</v>
      </c>
      <c r="R205" s="22">
        <f t="shared" si="22"/>
        <v>154.81357775987107</v>
      </c>
      <c r="S205" s="19" t="str">
        <f t="shared" si="23"/>
        <v>OVERSTOCK</v>
      </c>
    </row>
    <row r="206" spans="1:19" x14ac:dyDescent="0.3">
      <c r="A206" s="19" t="s">
        <v>106</v>
      </c>
      <c r="B206" s="19" t="s">
        <v>107</v>
      </c>
      <c r="C206" s="19" t="s">
        <v>34</v>
      </c>
      <c r="D206" s="19" t="s">
        <v>27</v>
      </c>
      <c r="E206" s="19">
        <f>SUMIFS('Stock Inflow'!$G$2:$G$601,'Stock Inflow'!$A$2:$A$601,$A206,'Stock Inflow'!$D$2:$D$601,$D206)</f>
        <v>130</v>
      </c>
      <c r="F206" s="19">
        <f>SUMIFS('Stock Inflow'!$F$2:$F$601,'Stock Inflow'!$A$2:$A$601,$A206,'Stock Inflow'!$D$2:$D$601,$D206)</f>
        <v>134</v>
      </c>
      <c r="G206" s="19">
        <f>SUMIFS('Stock Inflow'!$E$2:$E$601,'Stock Inflow'!$A$2:$A$601,$A206,'Stock Inflow'!$D$2:$D$601,$D206)</f>
        <v>1</v>
      </c>
      <c r="H206" s="19">
        <f>SUMIFS('Stock Outflow'!$F$2:$F$601,'Stock Outflow'!$A$2:$A$601,$A206,'Stock Outflow'!$D$2:$D$601,$D206)</f>
        <v>113</v>
      </c>
      <c r="I206" s="19">
        <f>SUMIFS('Stock Outflow'!$E$2:$E$601,'Stock Outflow'!$A$2:$A$601,$A206,'Stock Outflow'!$D$2:$D$601,$D206)</f>
        <v>1</v>
      </c>
      <c r="J206" s="19">
        <f t="shared" si="18"/>
        <v>151</v>
      </c>
      <c r="K206" s="20">
        <f>INDEX('Item Master'!$F$2:$F$51,MATCH($A206,'Item Master'!$A$2:$A$51,0))</f>
        <v>150</v>
      </c>
      <c r="L206" s="20">
        <f t="shared" si="19"/>
        <v>16950</v>
      </c>
      <c r="M206" s="21">
        <f t="shared" si="20"/>
        <v>3.7666666666666666</v>
      </c>
      <c r="N206" s="19">
        <f>INDEX('Item Master'!$E$2:$E$51,MATCH($A206,'Item Master'!$A$2:$A$51,0))</f>
        <v>5</v>
      </c>
      <c r="O206" s="22">
        <f>INDEX('Product Summary'!$L$2:$L$51,MATCH($A206,'Product Summary'!$A$2:$A$51,0))</f>
        <v>13.055555555555555</v>
      </c>
      <c r="P206" s="22">
        <f>INDEX('Product Summary'!$M$2:$M$51,MATCH($A206,'Product Summary'!$A$2:$A$51,0))</f>
        <v>31.904870624048705</v>
      </c>
      <c r="Q206" s="22">
        <f t="shared" si="21"/>
        <v>40.088495575221238</v>
      </c>
      <c r="R206" s="22">
        <f t="shared" si="22"/>
        <v>31.618175940518046</v>
      </c>
      <c r="S206" s="19" t="str">
        <f t="shared" si="23"/>
        <v>HEALTHY</v>
      </c>
    </row>
    <row r="207" spans="1:19" x14ac:dyDescent="0.3">
      <c r="A207" s="19" t="s">
        <v>106</v>
      </c>
      <c r="B207" s="19" t="s">
        <v>107</v>
      </c>
      <c r="C207" s="19" t="s">
        <v>34</v>
      </c>
      <c r="D207" s="19" t="s">
        <v>29</v>
      </c>
      <c r="E207" s="19">
        <f>SUMIFS('Stock Inflow'!$G$2:$G$601,'Stock Inflow'!$A$2:$A$601,$A207,'Stock Inflow'!$D$2:$D$601,$D207)</f>
        <v>151</v>
      </c>
      <c r="F207" s="19">
        <f>SUMIFS('Stock Inflow'!$F$2:$F$601,'Stock Inflow'!$A$2:$A$601,$A207,'Stock Inflow'!$D$2:$D$601,$D207)</f>
        <v>90</v>
      </c>
      <c r="G207" s="19">
        <f>SUMIFS('Stock Inflow'!$E$2:$E$601,'Stock Inflow'!$A$2:$A$601,$A207,'Stock Inflow'!$D$2:$D$601,$D207)</f>
        <v>2</v>
      </c>
      <c r="H207" s="19">
        <f>SUMIFS('Stock Outflow'!$F$2:$F$601,'Stock Outflow'!$A$2:$A$601,$A207,'Stock Outflow'!$D$2:$D$601,$D207)</f>
        <v>99</v>
      </c>
      <c r="I207" s="19">
        <f>SUMIFS('Stock Outflow'!$E$2:$E$601,'Stock Outflow'!$A$2:$A$601,$A207,'Stock Outflow'!$D$2:$D$601,$D207)</f>
        <v>0</v>
      </c>
      <c r="J207" s="19">
        <f t="shared" si="18"/>
        <v>144</v>
      </c>
      <c r="K207" s="20">
        <f>INDEX('Item Master'!$F$2:$F$51,MATCH($A207,'Item Master'!$A$2:$A$51,0))</f>
        <v>150</v>
      </c>
      <c r="L207" s="20">
        <f t="shared" si="19"/>
        <v>14850</v>
      </c>
      <c r="M207" s="21">
        <f t="shared" si="20"/>
        <v>3.3</v>
      </c>
      <c r="N207" s="19">
        <f>INDEX('Item Master'!$E$2:$E$51,MATCH($A207,'Item Master'!$A$2:$A$51,0))</f>
        <v>5</v>
      </c>
      <c r="O207" s="22">
        <f>INDEX('Product Summary'!$L$2:$L$51,MATCH($A207,'Product Summary'!$A$2:$A$51,0))</f>
        <v>13.055555555555555</v>
      </c>
      <c r="P207" s="22">
        <f>INDEX('Product Summary'!$M$2:$M$51,MATCH($A207,'Product Summary'!$A$2:$A$51,0))</f>
        <v>31.904870624048705</v>
      </c>
      <c r="Q207" s="22">
        <f t="shared" si="21"/>
        <v>43.63636363636364</v>
      </c>
      <c r="R207" s="22">
        <f t="shared" si="22"/>
        <v>33.968221023015545</v>
      </c>
      <c r="S207" s="19" t="str">
        <f t="shared" si="23"/>
        <v>HEALTHY</v>
      </c>
    </row>
    <row r="208" spans="1:19" x14ac:dyDescent="0.3">
      <c r="A208" s="19" t="s">
        <v>106</v>
      </c>
      <c r="B208" s="19" t="s">
        <v>107</v>
      </c>
      <c r="C208" s="19" t="s">
        <v>34</v>
      </c>
      <c r="D208" s="19" t="s">
        <v>31</v>
      </c>
      <c r="E208" s="19">
        <f>SUMIFS('Stock Inflow'!$G$2:$G$601,'Stock Inflow'!$A$2:$A$601,$A208,'Stock Inflow'!$D$2:$D$601,$D208)</f>
        <v>144</v>
      </c>
      <c r="F208" s="19">
        <f>SUMIFS('Stock Inflow'!$F$2:$F$601,'Stock Inflow'!$A$2:$A$601,$A208,'Stock Inflow'!$D$2:$D$601,$D208)</f>
        <v>108</v>
      </c>
      <c r="G208" s="19">
        <f>SUMIFS('Stock Inflow'!$E$2:$E$601,'Stock Inflow'!$A$2:$A$601,$A208,'Stock Inflow'!$D$2:$D$601,$D208)</f>
        <v>2</v>
      </c>
      <c r="H208" s="19">
        <f>SUMIFS('Stock Outflow'!$F$2:$F$601,'Stock Outflow'!$A$2:$A$601,$A208,'Stock Outflow'!$D$2:$D$601,$D208)</f>
        <v>101</v>
      </c>
      <c r="I208" s="19">
        <f>SUMIFS('Stock Outflow'!$E$2:$E$601,'Stock Outflow'!$A$2:$A$601,$A208,'Stock Outflow'!$D$2:$D$601,$D208)</f>
        <v>1</v>
      </c>
      <c r="J208" s="19">
        <f t="shared" si="18"/>
        <v>152</v>
      </c>
      <c r="K208" s="20">
        <f>INDEX('Item Master'!$F$2:$F$51,MATCH($A208,'Item Master'!$A$2:$A$51,0))</f>
        <v>150</v>
      </c>
      <c r="L208" s="20">
        <f t="shared" si="19"/>
        <v>15150</v>
      </c>
      <c r="M208" s="21">
        <f t="shared" si="20"/>
        <v>3.3666666666666667</v>
      </c>
      <c r="N208" s="19">
        <f>INDEX('Item Master'!$E$2:$E$51,MATCH($A208,'Item Master'!$A$2:$A$51,0))</f>
        <v>5</v>
      </c>
      <c r="O208" s="22">
        <f>INDEX('Product Summary'!$L$2:$L$51,MATCH($A208,'Product Summary'!$A$2:$A$51,0))</f>
        <v>13.055555555555555</v>
      </c>
      <c r="P208" s="22">
        <f>INDEX('Product Summary'!$M$2:$M$51,MATCH($A208,'Product Summary'!$A$2:$A$51,0))</f>
        <v>31.904870624048705</v>
      </c>
      <c r="Q208" s="22">
        <f t="shared" si="21"/>
        <v>45.148514851485146</v>
      </c>
      <c r="R208" s="22">
        <f t="shared" si="22"/>
        <v>35.671820606718207</v>
      </c>
      <c r="S208" s="19" t="str">
        <f t="shared" si="23"/>
        <v>HEALTHY</v>
      </c>
    </row>
    <row r="209" spans="1:19" x14ac:dyDescent="0.3">
      <c r="A209" s="19" t="s">
        <v>106</v>
      </c>
      <c r="B209" s="19" t="s">
        <v>107</v>
      </c>
      <c r="C209" s="19" t="s">
        <v>34</v>
      </c>
      <c r="D209" s="19" t="s">
        <v>33</v>
      </c>
      <c r="E209" s="19">
        <f>SUMIFS('Stock Inflow'!$G$2:$G$601,'Stock Inflow'!$A$2:$A$601,$A209,'Stock Inflow'!$D$2:$D$601,$D209)</f>
        <v>152</v>
      </c>
      <c r="F209" s="19">
        <f>SUMIFS('Stock Inflow'!$F$2:$F$601,'Stock Inflow'!$A$2:$A$601,$A209,'Stock Inflow'!$D$2:$D$601,$D209)</f>
        <v>108</v>
      </c>
      <c r="G209" s="19">
        <f>SUMIFS('Stock Inflow'!$E$2:$E$601,'Stock Inflow'!$A$2:$A$601,$A209,'Stock Inflow'!$D$2:$D$601,$D209)</f>
        <v>2</v>
      </c>
      <c r="H209" s="19">
        <f>SUMIFS('Stock Outflow'!$F$2:$F$601,'Stock Outflow'!$A$2:$A$601,$A209,'Stock Outflow'!$D$2:$D$601,$D209)</f>
        <v>111</v>
      </c>
      <c r="I209" s="19">
        <f>SUMIFS('Stock Outflow'!$E$2:$E$601,'Stock Outflow'!$A$2:$A$601,$A209,'Stock Outflow'!$D$2:$D$601,$D209)</f>
        <v>2</v>
      </c>
      <c r="J209" s="19">
        <f t="shared" si="18"/>
        <v>149</v>
      </c>
      <c r="K209" s="20">
        <f>INDEX('Item Master'!$F$2:$F$51,MATCH($A209,'Item Master'!$A$2:$A$51,0))</f>
        <v>150</v>
      </c>
      <c r="L209" s="20">
        <f t="shared" si="19"/>
        <v>16650</v>
      </c>
      <c r="M209" s="21">
        <f t="shared" si="20"/>
        <v>3.7</v>
      </c>
      <c r="N209" s="19">
        <f>INDEX('Item Master'!$E$2:$E$51,MATCH($A209,'Item Master'!$A$2:$A$51,0))</f>
        <v>5</v>
      </c>
      <c r="O209" s="22">
        <f>INDEX('Product Summary'!$L$2:$L$51,MATCH($A209,'Product Summary'!$A$2:$A$51,0))</f>
        <v>13.055555555555555</v>
      </c>
      <c r="P209" s="22">
        <f>INDEX('Product Summary'!$M$2:$M$51,MATCH($A209,'Product Summary'!$A$2:$A$51,0))</f>
        <v>31.904870624048705</v>
      </c>
      <c r="Q209" s="22">
        <f t="shared" si="21"/>
        <v>40.270270270270267</v>
      </c>
      <c r="R209" s="22">
        <f t="shared" si="22"/>
        <v>31.647332263770622</v>
      </c>
      <c r="S209" s="19" t="str">
        <f t="shared" si="23"/>
        <v>HEALTHY</v>
      </c>
    </row>
    <row r="210" spans="1:19" x14ac:dyDescent="0.3">
      <c r="A210" s="19" t="s">
        <v>106</v>
      </c>
      <c r="B210" s="19" t="s">
        <v>107</v>
      </c>
      <c r="C210" s="19" t="s">
        <v>34</v>
      </c>
      <c r="D210" s="19" t="s">
        <v>35</v>
      </c>
      <c r="E210" s="19">
        <f>SUMIFS('Stock Inflow'!$G$2:$G$601,'Stock Inflow'!$A$2:$A$601,$A210,'Stock Inflow'!$D$2:$D$601,$D210)</f>
        <v>149</v>
      </c>
      <c r="F210" s="19">
        <f>SUMIFS('Stock Inflow'!$F$2:$F$601,'Stock Inflow'!$A$2:$A$601,$A210,'Stock Inflow'!$D$2:$D$601,$D210)</f>
        <v>118</v>
      </c>
      <c r="G210" s="19">
        <f>SUMIFS('Stock Inflow'!$E$2:$E$601,'Stock Inflow'!$A$2:$A$601,$A210,'Stock Inflow'!$D$2:$D$601,$D210)</f>
        <v>3</v>
      </c>
      <c r="H210" s="19">
        <f>SUMIFS('Stock Outflow'!$F$2:$F$601,'Stock Outflow'!$A$2:$A$601,$A210,'Stock Outflow'!$D$2:$D$601,$D210)</f>
        <v>101</v>
      </c>
      <c r="I210" s="19">
        <f>SUMIFS('Stock Outflow'!$E$2:$E$601,'Stock Outflow'!$A$2:$A$601,$A210,'Stock Outflow'!$D$2:$D$601,$D210)</f>
        <v>2</v>
      </c>
      <c r="J210" s="19">
        <f t="shared" si="18"/>
        <v>167</v>
      </c>
      <c r="K210" s="20">
        <f>INDEX('Item Master'!$F$2:$F$51,MATCH($A210,'Item Master'!$A$2:$A$51,0))</f>
        <v>150</v>
      </c>
      <c r="L210" s="20">
        <f t="shared" si="19"/>
        <v>15150</v>
      </c>
      <c r="M210" s="21">
        <f t="shared" si="20"/>
        <v>3.3666666666666667</v>
      </c>
      <c r="N210" s="19">
        <f>INDEX('Item Master'!$E$2:$E$51,MATCH($A210,'Item Master'!$A$2:$A$51,0))</f>
        <v>5</v>
      </c>
      <c r="O210" s="22">
        <f>INDEX('Product Summary'!$L$2:$L$51,MATCH($A210,'Product Summary'!$A$2:$A$51,0))</f>
        <v>13.055555555555555</v>
      </c>
      <c r="P210" s="22">
        <f>INDEX('Product Summary'!$M$2:$M$51,MATCH($A210,'Product Summary'!$A$2:$A$51,0))</f>
        <v>31.904870624048705</v>
      </c>
      <c r="Q210" s="22">
        <f t="shared" si="21"/>
        <v>49.603960396039604</v>
      </c>
      <c r="R210" s="22">
        <f t="shared" si="22"/>
        <v>40.127266151272664</v>
      </c>
      <c r="S210" s="19" t="str">
        <f t="shared" si="23"/>
        <v>HEALTHY</v>
      </c>
    </row>
    <row r="211" spans="1:19" x14ac:dyDescent="0.3">
      <c r="A211" s="19" t="s">
        <v>106</v>
      </c>
      <c r="B211" s="19" t="s">
        <v>107</v>
      </c>
      <c r="C211" s="19" t="s">
        <v>34</v>
      </c>
      <c r="D211" s="19" t="s">
        <v>37</v>
      </c>
      <c r="E211" s="19">
        <f>SUMIFS('Stock Inflow'!$G$2:$G$601,'Stock Inflow'!$A$2:$A$601,$A211,'Stock Inflow'!$D$2:$D$601,$D211)</f>
        <v>167</v>
      </c>
      <c r="F211" s="19">
        <f>SUMIFS('Stock Inflow'!$F$2:$F$601,'Stock Inflow'!$A$2:$A$601,$A211,'Stock Inflow'!$D$2:$D$601,$D211)</f>
        <v>112</v>
      </c>
      <c r="G211" s="19">
        <f>SUMIFS('Stock Inflow'!$E$2:$E$601,'Stock Inflow'!$A$2:$A$601,$A211,'Stock Inflow'!$D$2:$D$601,$D211)</f>
        <v>2</v>
      </c>
      <c r="H211" s="19">
        <f>SUMIFS('Stock Outflow'!$F$2:$F$601,'Stock Outflow'!$A$2:$A$601,$A211,'Stock Outflow'!$D$2:$D$601,$D211)</f>
        <v>97</v>
      </c>
      <c r="I211" s="19">
        <f>SUMIFS('Stock Outflow'!$E$2:$E$601,'Stock Outflow'!$A$2:$A$601,$A211,'Stock Outflow'!$D$2:$D$601,$D211)</f>
        <v>2</v>
      </c>
      <c r="J211" s="19">
        <f t="shared" si="18"/>
        <v>182</v>
      </c>
      <c r="K211" s="20">
        <f>INDEX('Item Master'!$F$2:$F$51,MATCH($A211,'Item Master'!$A$2:$A$51,0))</f>
        <v>150</v>
      </c>
      <c r="L211" s="20">
        <f t="shared" si="19"/>
        <v>14550</v>
      </c>
      <c r="M211" s="21">
        <f t="shared" si="20"/>
        <v>3.2333333333333334</v>
      </c>
      <c r="N211" s="19">
        <f>INDEX('Item Master'!$E$2:$E$51,MATCH($A211,'Item Master'!$A$2:$A$51,0))</f>
        <v>5</v>
      </c>
      <c r="O211" s="22">
        <f>INDEX('Product Summary'!$L$2:$L$51,MATCH($A211,'Product Summary'!$A$2:$A$51,0))</f>
        <v>13.055555555555555</v>
      </c>
      <c r="P211" s="22">
        <f>INDEX('Product Summary'!$M$2:$M$51,MATCH($A211,'Product Summary'!$A$2:$A$51,0))</f>
        <v>31.904870624048705</v>
      </c>
      <c r="Q211" s="22">
        <f t="shared" si="21"/>
        <v>56.288659793814432</v>
      </c>
      <c r="R211" s="22">
        <f t="shared" si="22"/>
        <v>46.421174033799367</v>
      </c>
      <c r="S211" s="19" t="str">
        <f t="shared" si="23"/>
        <v>HEALTHY</v>
      </c>
    </row>
    <row r="212" spans="1:19" x14ac:dyDescent="0.3">
      <c r="A212" s="19" t="s">
        <v>106</v>
      </c>
      <c r="B212" s="19" t="s">
        <v>107</v>
      </c>
      <c r="C212" s="19" t="s">
        <v>34</v>
      </c>
      <c r="D212" s="19" t="s">
        <v>39</v>
      </c>
      <c r="E212" s="19">
        <f>SUMIFS('Stock Inflow'!$G$2:$G$601,'Stock Inflow'!$A$2:$A$601,$A212,'Stock Inflow'!$D$2:$D$601,$D212)</f>
        <v>182</v>
      </c>
      <c r="F212" s="19">
        <f>SUMIFS('Stock Inflow'!$F$2:$F$601,'Stock Inflow'!$A$2:$A$601,$A212,'Stock Inflow'!$D$2:$D$601,$D212)</f>
        <v>128</v>
      </c>
      <c r="G212" s="19">
        <f>SUMIFS('Stock Inflow'!$E$2:$E$601,'Stock Inflow'!$A$2:$A$601,$A212,'Stock Inflow'!$D$2:$D$601,$D212)</f>
        <v>2</v>
      </c>
      <c r="H212" s="19">
        <f>SUMIFS('Stock Outflow'!$F$2:$F$601,'Stock Outflow'!$A$2:$A$601,$A212,'Stock Outflow'!$D$2:$D$601,$D212)</f>
        <v>118</v>
      </c>
      <c r="I212" s="19">
        <f>SUMIFS('Stock Outflow'!$E$2:$E$601,'Stock Outflow'!$A$2:$A$601,$A212,'Stock Outflow'!$D$2:$D$601,$D212)</f>
        <v>2</v>
      </c>
      <c r="J212" s="19">
        <f t="shared" si="18"/>
        <v>192</v>
      </c>
      <c r="K212" s="20">
        <f>INDEX('Item Master'!$F$2:$F$51,MATCH($A212,'Item Master'!$A$2:$A$51,0))</f>
        <v>150</v>
      </c>
      <c r="L212" s="20">
        <f t="shared" si="19"/>
        <v>17700</v>
      </c>
      <c r="M212" s="21">
        <f t="shared" si="20"/>
        <v>3.9333333333333331</v>
      </c>
      <c r="N212" s="19">
        <f>INDEX('Item Master'!$E$2:$E$51,MATCH($A212,'Item Master'!$A$2:$A$51,0))</f>
        <v>5</v>
      </c>
      <c r="O212" s="22">
        <f>INDEX('Product Summary'!$L$2:$L$51,MATCH($A212,'Product Summary'!$A$2:$A$51,0))</f>
        <v>13.055555555555555</v>
      </c>
      <c r="P212" s="22">
        <f>INDEX('Product Summary'!$M$2:$M$51,MATCH($A212,'Product Summary'!$A$2:$A$51,0))</f>
        <v>31.904870624048705</v>
      </c>
      <c r="Q212" s="22">
        <f t="shared" si="21"/>
        <v>48.813559322033903</v>
      </c>
      <c r="R212" s="22">
        <f t="shared" si="22"/>
        <v>40.70215153625881</v>
      </c>
      <c r="S212" s="19" t="str">
        <f t="shared" si="23"/>
        <v>HEALTHY</v>
      </c>
    </row>
    <row r="213" spans="1:19" x14ac:dyDescent="0.3">
      <c r="A213" s="19" t="s">
        <v>106</v>
      </c>
      <c r="B213" s="19" t="s">
        <v>107</v>
      </c>
      <c r="C213" s="19" t="s">
        <v>34</v>
      </c>
      <c r="D213" s="19" t="s">
        <v>41</v>
      </c>
      <c r="E213" s="19">
        <f>SUMIFS('Stock Inflow'!$G$2:$G$601,'Stock Inflow'!$A$2:$A$601,$A213,'Stock Inflow'!$D$2:$D$601,$D213)</f>
        <v>192</v>
      </c>
      <c r="F213" s="19">
        <f>SUMIFS('Stock Inflow'!$F$2:$F$601,'Stock Inflow'!$A$2:$A$601,$A213,'Stock Inflow'!$D$2:$D$601,$D213)</f>
        <v>118</v>
      </c>
      <c r="G213" s="19">
        <f>SUMIFS('Stock Inflow'!$E$2:$E$601,'Stock Inflow'!$A$2:$A$601,$A213,'Stock Inflow'!$D$2:$D$601,$D213)</f>
        <v>4</v>
      </c>
      <c r="H213" s="19">
        <f>SUMIFS('Stock Outflow'!$F$2:$F$601,'Stock Outflow'!$A$2:$A$601,$A213,'Stock Outflow'!$D$2:$D$601,$D213)</f>
        <v>92</v>
      </c>
      <c r="I213" s="19">
        <f>SUMIFS('Stock Outflow'!$E$2:$E$601,'Stock Outflow'!$A$2:$A$601,$A213,'Stock Outflow'!$D$2:$D$601,$D213)</f>
        <v>1</v>
      </c>
      <c r="J213" s="19">
        <f t="shared" si="18"/>
        <v>221</v>
      </c>
      <c r="K213" s="20">
        <f>INDEX('Item Master'!$F$2:$F$51,MATCH($A213,'Item Master'!$A$2:$A$51,0))</f>
        <v>150</v>
      </c>
      <c r="L213" s="20">
        <f t="shared" si="19"/>
        <v>13800</v>
      </c>
      <c r="M213" s="21">
        <f t="shared" si="20"/>
        <v>3.0666666666666669</v>
      </c>
      <c r="N213" s="19">
        <f>INDEX('Item Master'!$E$2:$E$51,MATCH($A213,'Item Master'!$A$2:$A$51,0))</f>
        <v>5</v>
      </c>
      <c r="O213" s="22">
        <f>INDEX('Product Summary'!$L$2:$L$51,MATCH($A213,'Product Summary'!$A$2:$A$51,0))</f>
        <v>13.055555555555555</v>
      </c>
      <c r="P213" s="22">
        <f>INDEX('Product Summary'!$M$2:$M$51,MATCH($A213,'Product Summary'!$A$2:$A$51,0))</f>
        <v>31.904870624048705</v>
      </c>
      <c r="Q213" s="22">
        <f t="shared" si="21"/>
        <v>72.065217391304344</v>
      </c>
      <c r="R213" s="22">
        <f t="shared" si="22"/>
        <v>61.661455231288464</v>
      </c>
      <c r="S213" s="19" t="str">
        <f t="shared" si="23"/>
        <v>HEALTHY</v>
      </c>
    </row>
    <row r="214" spans="1:19" x14ac:dyDescent="0.3">
      <c r="A214" s="19" t="s">
        <v>106</v>
      </c>
      <c r="B214" s="19" t="s">
        <v>107</v>
      </c>
      <c r="C214" s="19" t="s">
        <v>34</v>
      </c>
      <c r="D214" s="19" t="s">
        <v>43</v>
      </c>
      <c r="E214" s="19">
        <f>SUMIFS('Stock Inflow'!$G$2:$G$601,'Stock Inflow'!$A$2:$A$601,$A214,'Stock Inflow'!$D$2:$D$601,$D214)</f>
        <v>221</v>
      </c>
      <c r="F214" s="19">
        <f>SUMIFS('Stock Inflow'!$F$2:$F$601,'Stock Inflow'!$A$2:$A$601,$A214,'Stock Inflow'!$D$2:$D$601,$D214)</f>
        <v>141</v>
      </c>
      <c r="G214" s="19">
        <f>SUMIFS('Stock Inflow'!$E$2:$E$601,'Stock Inflow'!$A$2:$A$601,$A214,'Stock Inflow'!$D$2:$D$601,$D214)</f>
        <v>3</v>
      </c>
      <c r="H214" s="19">
        <f>SUMIFS('Stock Outflow'!$F$2:$F$601,'Stock Outflow'!$A$2:$A$601,$A214,'Stock Outflow'!$D$2:$D$601,$D214)</f>
        <v>120</v>
      </c>
      <c r="I214" s="19">
        <f>SUMIFS('Stock Outflow'!$E$2:$E$601,'Stock Outflow'!$A$2:$A$601,$A214,'Stock Outflow'!$D$2:$D$601,$D214)</f>
        <v>1</v>
      </c>
      <c r="J214" s="19">
        <f t="shared" si="18"/>
        <v>244</v>
      </c>
      <c r="K214" s="20">
        <f>INDEX('Item Master'!$F$2:$F$51,MATCH($A214,'Item Master'!$A$2:$A$51,0))</f>
        <v>150</v>
      </c>
      <c r="L214" s="20">
        <f t="shared" si="19"/>
        <v>18000</v>
      </c>
      <c r="M214" s="21">
        <f t="shared" si="20"/>
        <v>4</v>
      </c>
      <c r="N214" s="19">
        <f>INDEX('Item Master'!$E$2:$E$51,MATCH($A214,'Item Master'!$A$2:$A$51,0))</f>
        <v>5</v>
      </c>
      <c r="O214" s="22">
        <f>INDEX('Product Summary'!$L$2:$L$51,MATCH($A214,'Product Summary'!$A$2:$A$51,0))</f>
        <v>13.055555555555555</v>
      </c>
      <c r="P214" s="22">
        <f>INDEX('Product Summary'!$M$2:$M$51,MATCH($A214,'Product Summary'!$A$2:$A$51,0))</f>
        <v>31.904870624048705</v>
      </c>
      <c r="Q214" s="22">
        <f t="shared" si="21"/>
        <v>61</v>
      </c>
      <c r="R214" s="22">
        <f t="shared" si="22"/>
        <v>53.023782343987826</v>
      </c>
      <c r="S214" s="19" t="str">
        <f t="shared" si="23"/>
        <v>HEALTHY</v>
      </c>
    </row>
    <row r="215" spans="1:19" x14ac:dyDescent="0.3">
      <c r="A215" s="19" t="s">
        <v>106</v>
      </c>
      <c r="B215" s="19" t="s">
        <v>107</v>
      </c>
      <c r="C215" s="19" t="s">
        <v>34</v>
      </c>
      <c r="D215" s="19" t="s">
        <v>45</v>
      </c>
      <c r="E215" s="19">
        <f>SUMIFS('Stock Inflow'!$G$2:$G$601,'Stock Inflow'!$A$2:$A$601,$A215,'Stock Inflow'!$D$2:$D$601,$D215)</f>
        <v>244</v>
      </c>
      <c r="F215" s="19">
        <f>SUMIFS('Stock Inflow'!$F$2:$F$601,'Stock Inflow'!$A$2:$A$601,$A215,'Stock Inflow'!$D$2:$D$601,$D215)</f>
        <v>240</v>
      </c>
      <c r="G215" s="19">
        <f>SUMIFS('Stock Inflow'!$E$2:$E$601,'Stock Inflow'!$A$2:$A$601,$A215,'Stock Inflow'!$D$2:$D$601,$D215)</f>
        <v>3</v>
      </c>
      <c r="H215" s="19">
        <f>SUMIFS('Stock Outflow'!$F$2:$F$601,'Stock Outflow'!$A$2:$A$601,$A215,'Stock Outflow'!$D$2:$D$601,$D215)</f>
        <v>193</v>
      </c>
      <c r="I215" s="19">
        <f>SUMIFS('Stock Outflow'!$E$2:$E$601,'Stock Outflow'!$A$2:$A$601,$A215,'Stock Outflow'!$D$2:$D$601,$D215)</f>
        <v>3</v>
      </c>
      <c r="J215" s="19">
        <f t="shared" si="18"/>
        <v>291</v>
      </c>
      <c r="K215" s="20">
        <f>INDEX('Item Master'!$F$2:$F$51,MATCH($A215,'Item Master'!$A$2:$A$51,0))</f>
        <v>150</v>
      </c>
      <c r="L215" s="20">
        <f t="shared" si="19"/>
        <v>28950</v>
      </c>
      <c r="M215" s="21">
        <f t="shared" si="20"/>
        <v>6.4333333333333336</v>
      </c>
      <c r="N215" s="19">
        <f>INDEX('Item Master'!$E$2:$E$51,MATCH($A215,'Item Master'!$A$2:$A$51,0))</f>
        <v>5</v>
      </c>
      <c r="O215" s="22">
        <f>INDEX('Product Summary'!$L$2:$L$51,MATCH($A215,'Product Summary'!$A$2:$A$51,0))</f>
        <v>13.055555555555555</v>
      </c>
      <c r="P215" s="22">
        <f>INDEX('Product Summary'!$M$2:$M$51,MATCH($A215,'Product Summary'!$A$2:$A$51,0))</f>
        <v>31.904870624048705</v>
      </c>
      <c r="Q215" s="22">
        <f t="shared" si="21"/>
        <v>45.233160621761655</v>
      </c>
      <c r="R215" s="22">
        <f t="shared" si="22"/>
        <v>40.273854307142685</v>
      </c>
      <c r="S215" s="19" t="str">
        <f t="shared" si="23"/>
        <v>HEALTHY</v>
      </c>
    </row>
    <row r="216" spans="1:19" x14ac:dyDescent="0.3">
      <c r="A216" s="19" t="s">
        <v>106</v>
      </c>
      <c r="B216" s="19" t="s">
        <v>107</v>
      </c>
      <c r="C216" s="19" t="s">
        <v>34</v>
      </c>
      <c r="D216" s="19" t="s">
        <v>47</v>
      </c>
      <c r="E216" s="19">
        <f>SUMIFS('Stock Inflow'!$G$2:$G$601,'Stock Inflow'!$A$2:$A$601,$A216,'Stock Inflow'!$D$2:$D$601,$D216)</f>
        <v>291</v>
      </c>
      <c r="F216" s="19">
        <f>SUMIFS('Stock Inflow'!$F$2:$F$601,'Stock Inflow'!$A$2:$A$601,$A216,'Stock Inflow'!$D$2:$D$601,$D216)</f>
        <v>118</v>
      </c>
      <c r="G216" s="19">
        <f>SUMIFS('Stock Inflow'!$E$2:$E$601,'Stock Inflow'!$A$2:$A$601,$A216,'Stock Inflow'!$D$2:$D$601,$D216)</f>
        <v>4</v>
      </c>
      <c r="H216" s="19">
        <f>SUMIFS('Stock Outflow'!$F$2:$F$601,'Stock Outflow'!$A$2:$A$601,$A216,'Stock Outflow'!$D$2:$D$601,$D216)</f>
        <v>116</v>
      </c>
      <c r="I216" s="19">
        <f>SUMIFS('Stock Outflow'!$E$2:$E$601,'Stock Outflow'!$A$2:$A$601,$A216,'Stock Outflow'!$D$2:$D$601,$D216)</f>
        <v>0</v>
      </c>
      <c r="J216" s="19">
        <f t="shared" si="18"/>
        <v>297</v>
      </c>
      <c r="K216" s="20">
        <f>INDEX('Item Master'!$F$2:$F$51,MATCH($A216,'Item Master'!$A$2:$A$51,0))</f>
        <v>150</v>
      </c>
      <c r="L216" s="20">
        <f t="shared" si="19"/>
        <v>17400</v>
      </c>
      <c r="M216" s="21">
        <f t="shared" si="20"/>
        <v>3.8666666666666667</v>
      </c>
      <c r="N216" s="19">
        <f>INDEX('Item Master'!$E$2:$E$51,MATCH($A216,'Item Master'!$A$2:$A$51,0))</f>
        <v>5</v>
      </c>
      <c r="O216" s="22">
        <f>INDEX('Product Summary'!$L$2:$L$51,MATCH($A216,'Product Summary'!$A$2:$A$51,0))</f>
        <v>13.055555555555555</v>
      </c>
      <c r="P216" s="22">
        <f>INDEX('Product Summary'!$M$2:$M$51,MATCH($A216,'Product Summary'!$A$2:$A$51,0))</f>
        <v>31.904870624048705</v>
      </c>
      <c r="Q216" s="22">
        <f t="shared" si="21"/>
        <v>76.810344827586206</v>
      </c>
      <c r="R216" s="22">
        <f t="shared" si="22"/>
        <v>68.55908518343567</v>
      </c>
      <c r="S216" s="19" t="str">
        <f t="shared" si="23"/>
        <v>HEALTHY</v>
      </c>
    </row>
    <row r="217" spans="1:19" x14ac:dyDescent="0.3">
      <c r="A217" s="19" t="s">
        <v>106</v>
      </c>
      <c r="B217" s="19" t="s">
        <v>107</v>
      </c>
      <c r="C217" s="19" t="s">
        <v>34</v>
      </c>
      <c r="D217" s="19" t="s">
        <v>49</v>
      </c>
      <c r="E217" s="19">
        <f>SUMIFS('Stock Inflow'!$G$2:$G$601,'Stock Inflow'!$A$2:$A$601,$A217,'Stock Inflow'!$D$2:$D$601,$D217)</f>
        <v>297</v>
      </c>
      <c r="F217" s="19">
        <f>SUMIFS('Stock Inflow'!$F$2:$F$601,'Stock Inflow'!$A$2:$A$601,$A217,'Stock Inflow'!$D$2:$D$601,$D217)</f>
        <v>122</v>
      </c>
      <c r="G217" s="19">
        <f>SUMIFS('Stock Inflow'!$E$2:$E$601,'Stock Inflow'!$A$2:$A$601,$A217,'Stock Inflow'!$D$2:$D$601,$D217)</f>
        <v>1</v>
      </c>
      <c r="H217" s="19">
        <f>SUMIFS('Stock Outflow'!$F$2:$F$601,'Stock Outflow'!$A$2:$A$601,$A217,'Stock Outflow'!$D$2:$D$601,$D217)</f>
        <v>115</v>
      </c>
      <c r="I217" s="19">
        <f>SUMIFS('Stock Outflow'!$E$2:$E$601,'Stock Outflow'!$A$2:$A$601,$A217,'Stock Outflow'!$D$2:$D$601,$D217)</f>
        <v>3</v>
      </c>
      <c r="J217" s="19">
        <f t="shared" si="18"/>
        <v>302</v>
      </c>
      <c r="K217" s="20">
        <f>INDEX('Item Master'!$F$2:$F$51,MATCH($A217,'Item Master'!$A$2:$A$51,0))</f>
        <v>150</v>
      </c>
      <c r="L217" s="20">
        <f t="shared" si="19"/>
        <v>17250</v>
      </c>
      <c r="M217" s="21">
        <f t="shared" si="20"/>
        <v>3.8333333333333335</v>
      </c>
      <c r="N217" s="19">
        <f>INDEX('Item Master'!$E$2:$E$51,MATCH($A217,'Item Master'!$A$2:$A$51,0))</f>
        <v>5</v>
      </c>
      <c r="O217" s="22">
        <f>INDEX('Product Summary'!$L$2:$L$51,MATCH($A217,'Product Summary'!$A$2:$A$51,0))</f>
        <v>13.055555555555555</v>
      </c>
      <c r="P217" s="22">
        <f>INDEX('Product Summary'!$M$2:$M$51,MATCH($A217,'Product Summary'!$A$2:$A$51,0))</f>
        <v>31.904870624048705</v>
      </c>
      <c r="Q217" s="22">
        <f t="shared" si="21"/>
        <v>78.782608695652172</v>
      </c>
      <c r="R217" s="22">
        <f t="shared" si="22"/>
        <v>70.459598967639465</v>
      </c>
      <c r="S217" s="19" t="str">
        <f t="shared" si="23"/>
        <v>HEALTHY</v>
      </c>
    </row>
    <row r="218" spans="1:19" x14ac:dyDescent="0.3">
      <c r="A218" s="19" t="s">
        <v>108</v>
      </c>
      <c r="B218" s="19" t="s">
        <v>109</v>
      </c>
      <c r="C218" s="19" t="s">
        <v>34</v>
      </c>
      <c r="D218" s="19" t="s">
        <v>27</v>
      </c>
      <c r="E218" s="19">
        <f>SUMIFS('Stock Inflow'!$G$2:$G$601,'Stock Inflow'!$A$2:$A$601,$A218,'Stock Inflow'!$D$2:$D$601,$D218)</f>
        <v>334</v>
      </c>
      <c r="F218" s="19">
        <f>SUMIFS('Stock Inflow'!$F$2:$F$601,'Stock Inflow'!$A$2:$A$601,$A218,'Stock Inflow'!$D$2:$D$601,$D218)</f>
        <v>177</v>
      </c>
      <c r="G218" s="19">
        <f>SUMIFS('Stock Inflow'!$E$2:$E$601,'Stock Inflow'!$A$2:$A$601,$A218,'Stock Inflow'!$D$2:$D$601,$D218)</f>
        <v>5</v>
      </c>
      <c r="H218" s="19">
        <f>SUMIFS('Stock Outflow'!$F$2:$F$601,'Stock Outflow'!$A$2:$A$601,$A218,'Stock Outflow'!$D$2:$D$601,$D218)</f>
        <v>140</v>
      </c>
      <c r="I218" s="19">
        <f>SUMIFS('Stock Outflow'!$E$2:$E$601,'Stock Outflow'!$A$2:$A$601,$A218,'Stock Outflow'!$D$2:$D$601,$D218)</f>
        <v>1</v>
      </c>
      <c r="J218" s="19">
        <f t="shared" si="18"/>
        <v>375</v>
      </c>
      <c r="K218" s="20">
        <f>INDEX('Item Master'!$F$2:$F$51,MATCH($A218,'Item Master'!$A$2:$A$51,0))</f>
        <v>150</v>
      </c>
      <c r="L218" s="20">
        <f t="shared" si="19"/>
        <v>21000</v>
      </c>
      <c r="M218" s="21">
        <f t="shared" si="20"/>
        <v>4.666666666666667</v>
      </c>
      <c r="N218" s="19">
        <f>INDEX('Item Master'!$E$2:$E$51,MATCH($A218,'Item Master'!$A$2:$A$51,0))</f>
        <v>5</v>
      </c>
      <c r="O218" s="22">
        <f>INDEX('Product Summary'!$L$2:$L$51,MATCH($A218,'Product Summary'!$A$2:$A$51,0))</f>
        <v>7.6527777777777759</v>
      </c>
      <c r="P218" s="22">
        <f>INDEX('Product Summary'!$M$2:$M$51,MATCH($A218,'Product Summary'!$A$2:$A$51,0))</f>
        <v>29.200722983257226</v>
      </c>
      <c r="Q218" s="22">
        <f t="shared" si="21"/>
        <v>80.357142857142847</v>
      </c>
      <c r="R218" s="22">
        <f t="shared" si="22"/>
        <v>74.099845075016304</v>
      </c>
      <c r="S218" s="19" t="str">
        <f t="shared" si="23"/>
        <v>HEALTHY</v>
      </c>
    </row>
    <row r="219" spans="1:19" x14ac:dyDescent="0.3">
      <c r="A219" s="19" t="s">
        <v>108</v>
      </c>
      <c r="B219" s="19" t="s">
        <v>109</v>
      </c>
      <c r="C219" s="19" t="s">
        <v>34</v>
      </c>
      <c r="D219" s="19" t="s">
        <v>29</v>
      </c>
      <c r="E219" s="19">
        <f>SUMIFS('Stock Inflow'!$G$2:$G$601,'Stock Inflow'!$A$2:$A$601,$A219,'Stock Inflow'!$D$2:$D$601,$D219)</f>
        <v>375</v>
      </c>
      <c r="F219" s="19">
        <f>SUMIFS('Stock Inflow'!$F$2:$F$601,'Stock Inflow'!$A$2:$A$601,$A219,'Stock Inflow'!$D$2:$D$601,$D219)</f>
        <v>137</v>
      </c>
      <c r="G219" s="19">
        <f>SUMIFS('Stock Inflow'!$E$2:$E$601,'Stock Inflow'!$A$2:$A$601,$A219,'Stock Inflow'!$D$2:$D$601,$D219)</f>
        <v>2</v>
      </c>
      <c r="H219" s="19">
        <f>SUMIFS('Stock Outflow'!$F$2:$F$601,'Stock Outflow'!$A$2:$A$601,$A219,'Stock Outflow'!$D$2:$D$601,$D219)</f>
        <v>139</v>
      </c>
      <c r="I219" s="19">
        <f>SUMIFS('Stock Outflow'!$E$2:$E$601,'Stock Outflow'!$A$2:$A$601,$A219,'Stock Outflow'!$D$2:$D$601,$D219)</f>
        <v>1</v>
      </c>
      <c r="J219" s="19">
        <f t="shared" si="18"/>
        <v>374</v>
      </c>
      <c r="K219" s="20">
        <f>INDEX('Item Master'!$F$2:$F$51,MATCH($A219,'Item Master'!$A$2:$A$51,0))</f>
        <v>150</v>
      </c>
      <c r="L219" s="20">
        <f t="shared" si="19"/>
        <v>20850</v>
      </c>
      <c r="M219" s="21">
        <f t="shared" si="20"/>
        <v>4.6333333333333337</v>
      </c>
      <c r="N219" s="19">
        <f>INDEX('Item Master'!$E$2:$E$51,MATCH($A219,'Item Master'!$A$2:$A$51,0))</f>
        <v>5</v>
      </c>
      <c r="O219" s="22">
        <f>INDEX('Product Summary'!$L$2:$L$51,MATCH($A219,'Product Summary'!$A$2:$A$51,0))</f>
        <v>7.6527777777777759</v>
      </c>
      <c r="P219" s="22">
        <f>INDEX('Product Summary'!$M$2:$M$51,MATCH($A219,'Product Summary'!$A$2:$A$51,0))</f>
        <v>29.200722983257226</v>
      </c>
      <c r="Q219" s="22">
        <f t="shared" si="21"/>
        <v>80.719424460431654</v>
      </c>
      <c r="R219" s="22">
        <f t="shared" si="22"/>
        <v>74.417110147498434</v>
      </c>
      <c r="S219" s="19" t="str">
        <f t="shared" si="23"/>
        <v>HEALTHY</v>
      </c>
    </row>
    <row r="220" spans="1:19" x14ac:dyDescent="0.3">
      <c r="A220" s="19" t="s">
        <v>108</v>
      </c>
      <c r="B220" s="19" t="s">
        <v>109</v>
      </c>
      <c r="C220" s="19" t="s">
        <v>34</v>
      </c>
      <c r="D220" s="19" t="s">
        <v>31</v>
      </c>
      <c r="E220" s="19">
        <f>SUMIFS('Stock Inflow'!$G$2:$G$601,'Stock Inflow'!$A$2:$A$601,$A220,'Stock Inflow'!$D$2:$D$601,$D220)</f>
        <v>374</v>
      </c>
      <c r="F220" s="19">
        <f>SUMIFS('Stock Inflow'!$F$2:$F$601,'Stock Inflow'!$A$2:$A$601,$A220,'Stock Inflow'!$D$2:$D$601,$D220)</f>
        <v>165</v>
      </c>
      <c r="G220" s="19">
        <f>SUMIFS('Stock Inflow'!$E$2:$E$601,'Stock Inflow'!$A$2:$A$601,$A220,'Stock Inflow'!$D$2:$D$601,$D220)</f>
        <v>4</v>
      </c>
      <c r="H220" s="19">
        <f>SUMIFS('Stock Outflow'!$F$2:$F$601,'Stock Outflow'!$A$2:$A$601,$A220,'Stock Outflow'!$D$2:$D$601,$D220)</f>
        <v>137</v>
      </c>
      <c r="I220" s="19">
        <f>SUMIFS('Stock Outflow'!$E$2:$E$601,'Stock Outflow'!$A$2:$A$601,$A220,'Stock Outflow'!$D$2:$D$601,$D220)</f>
        <v>1</v>
      </c>
      <c r="J220" s="19">
        <f t="shared" si="18"/>
        <v>405</v>
      </c>
      <c r="K220" s="20">
        <f>INDEX('Item Master'!$F$2:$F$51,MATCH($A220,'Item Master'!$A$2:$A$51,0))</f>
        <v>150</v>
      </c>
      <c r="L220" s="20">
        <f t="shared" si="19"/>
        <v>20550</v>
      </c>
      <c r="M220" s="21">
        <f t="shared" si="20"/>
        <v>4.5666666666666664</v>
      </c>
      <c r="N220" s="19">
        <f>INDEX('Item Master'!$E$2:$E$51,MATCH($A220,'Item Master'!$A$2:$A$51,0))</f>
        <v>5</v>
      </c>
      <c r="O220" s="22">
        <f>INDEX('Product Summary'!$L$2:$L$51,MATCH($A220,'Product Summary'!$A$2:$A$51,0))</f>
        <v>7.6527777777777759</v>
      </c>
      <c r="P220" s="22">
        <f>INDEX('Product Summary'!$M$2:$M$51,MATCH($A220,'Product Summary'!$A$2:$A$51,0))</f>
        <v>29.200722983257226</v>
      </c>
      <c r="Q220" s="22">
        <f t="shared" si="21"/>
        <v>88.686131386861319</v>
      </c>
      <c r="R220" s="22">
        <f t="shared" si="22"/>
        <v>82.291812485418134</v>
      </c>
      <c r="S220" s="19" t="str">
        <f t="shared" si="23"/>
        <v>HEALTHY</v>
      </c>
    </row>
    <row r="221" spans="1:19" x14ac:dyDescent="0.3">
      <c r="A221" s="19" t="s">
        <v>108</v>
      </c>
      <c r="B221" s="19" t="s">
        <v>109</v>
      </c>
      <c r="C221" s="19" t="s">
        <v>34</v>
      </c>
      <c r="D221" s="19" t="s">
        <v>33</v>
      </c>
      <c r="E221" s="19">
        <f>SUMIFS('Stock Inflow'!$G$2:$G$601,'Stock Inflow'!$A$2:$A$601,$A221,'Stock Inflow'!$D$2:$D$601,$D221)</f>
        <v>405</v>
      </c>
      <c r="F221" s="19">
        <f>SUMIFS('Stock Inflow'!$F$2:$F$601,'Stock Inflow'!$A$2:$A$601,$A221,'Stock Inflow'!$D$2:$D$601,$D221)</f>
        <v>129</v>
      </c>
      <c r="G221" s="19">
        <f>SUMIFS('Stock Inflow'!$E$2:$E$601,'Stock Inflow'!$A$2:$A$601,$A221,'Stock Inflow'!$D$2:$D$601,$D221)</f>
        <v>1</v>
      </c>
      <c r="H221" s="19">
        <f>SUMIFS('Stock Outflow'!$F$2:$F$601,'Stock Outflow'!$A$2:$A$601,$A221,'Stock Outflow'!$D$2:$D$601,$D221)</f>
        <v>112</v>
      </c>
      <c r="I221" s="19">
        <f>SUMIFS('Stock Outflow'!$E$2:$E$601,'Stock Outflow'!$A$2:$A$601,$A221,'Stock Outflow'!$D$2:$D$601,$D221)</f>
        <v>3</v>
      </c>
      <c r="J221" s="19">
        <f t="shared" si="18"/>
        <v>420</v>
      </c>
      <c r="K221" s="20">
        <f>INDEX('Item Master'!$F$2:$F$51,MATCH($A221,'Item Master'!$A$2:$A$51,0))</f>
        <v>150</v>
      </c>
      <c r="L221" s="20">
        <f t="shared" si="19"/>
        <v>16800</v>
      </c>
      <c r="M221" s="21">
        <f t="shared" si="20"/>
        <v>3.7333333333333334</v>
      </c>
      <c r="N221" s="19">
        <f>INDEX('Item Master'!$E$2:$E$51,MATCH($A221,'Item Master'!$A$2:$A$51,0))</f>
        <v>5</v>
      </c>
      <c r="O221" s="22">
        <f>INDEX('Product Summary'!$L$2:$L$51,MATCH($A221,'Product Summary'!$A$2:$A$51,0))</f>
        <v>7.6527777777777759</v>
      </c>
      <c r="P221" s="22">
        <f>INDEX('Product Summary'!$M$2:$M$51,MATCH($A221,'Product Summary'!$A$2:$A$51,0))</f>
        <v>29.200722983257226</v>
      </c>
      <c r="Q221" s="22">
        <f t="shared" si="21"/>
        <v>112.5</v>
      </c>
      <c r="R221" s="22">
        <f t="shared" si="22"/>
        <v>104.67837777234182</v>
      </c>
      <c r="S221" s="19" t="str">
        <f t="shared" si="23"/>
        <v>HEALTHY</v>
      </c>
    </row>
    <row r="222" spans="1:19" x14ac:dyDescent="0.3">
      <c r="A222" s="19" t="s">
        <v>108</v>
      </c>
      <c r="B222" s="19" t="s">
        <v>109</v>
      </c>
      <c r="C222" s="19" t="s">
        <v>34</v>
      </c>
      <c r="D222" s="19" t="s">
        <v>35</v>
      </c>
      <c r="E222" s="19">
        <f>SUMIFS('Stock Inflow'!$G$2:$G$601,'Stock Inflow'!$A$2:$A$601,$A222,'Stock Inflow'!$D$2:$D$601,$D222)</f>
        <v>420</v>
      </c>
      <c r="F222" s="19">
        <f>SUMIFS('Stock Inflow'!$F$2:$F$601,'Stock Inflow'!$A$2:$A$601,$A222,'Stock Inflow'!$D$2:$D$601,$D222)</f>
        <v>114</v>
      </c>
      <c r="G222" s="19">
        <f>SUMIFS('Stock Inflow'!$E$2:$E$601,'Stock Inflow'!$A$2:$A$601,$A222,'Stock Inflow'!$D$2:$D$601,$D222)</f>
        <v>2</v>
      </c>
      <c r="H222" s="19">
        <f>SUMIFS('Stock Outflow'!$F$2:$F$601,'Stock Outflow'!$A$2:$A$601,$A222,'Stock Outflow'!$D$2:$D$601,$D222)</f>
        <v>109</v>
      </c>
      <c r="I222" s="19">
        <f>SUMIFS('Stock Outflow'!$E$2:$E$601,'Stock Outflow'!$A$2:$A$601,$A222,'Stock Outflow'!$D$2:$D$601,$D222)</f>
        <v>3</v>
      </c>
      <c r="J222" s="19">
        <f t="shared" si="18"/>
        <v>424</v>
      </c>
      <c r="K222" s="20">
        <f>INDEX('Item Master'!$F$2:$F$51,MATCH($A222,'Item Master'!$A$2:$A$51,0))</f>
        <v>150</v>
      </c>
      <c r="L222" s="20">
        <f t="shared" si="19"/>
        <v>16350</v>
      </c>
      <c r="M222" s="21">
        <f t="shared" si="20"/>
        <v>3.6333333333333333</v>
      </c>
      <c r="N222" s="19">
        <f>INDEX('Item Master'!$E$2:$E$51,MATCH($A222,'Item Master'!$A$2:$A$51,0))</f>
        <v>5</v>
      </c>
      <c r="O222" s="22">
        <f>INDEX('Product Summary'!$L$2:$L$51,MATCH($A222,'Product Summary'!$A$2:$A$51,0))</f>
        <v>7.6527777777777759</v>
      </c>
      <c r="P222" s="22">
        <f>INDEX('Product Summary'!$M$2:$M$51,MATCH($A222,'Product Summary'!$A$2:$A$51,0))</f>
        <v>29.200722983257226</v>
      </c>
      <c r="Q222" s="22">
        <f t="shared" si="21"/>
        <v>116.69724770642202</v>
      </c>
      <c r="R222" s="22">
        <f t="shared" si="22"/>
        <v>108.66035147249802</v>
      </c>
      <c r="S222" s="19" t="str">
        <f t="shared" si="23"/>
        <v>HEALTHY</v>
      </c>
    </row>
    <row r="223" spans="1:19" x14ac:dyDescent="0.3">
      <c r="A223" s="19" t="s">
        <v>108</v>
      </c>
      <c r="B223" s="19" t="s">
        <v>109</v>
      </c>
      <c r="C223" s="19" t="s">
        <v>34</v>
      </c>
      <c r="D223" s="19" t="s">
        <v>37</v>
      </c>
      <c r="E223" s="19">
        <f>SUMIFS('Stock Inflow'!$G$2:$G$601,'Stock Inflow'!$A$2:$A$601,$A223,'Stock Inflow'!$D$2:$D$601,$D223)</f>
        <v>424</v>
      </c>
      <c r="F223" s="19">
        <f>SUMIFS('Stock Inflow'!$F$2:$F$601,'Stock Inflow'!$A$2:$A$601,$A223,'Stock Inflow'!$D$2:$D$601,$D223)</f>
        <v>128</v>
      </c>
      <c r="G223" s="19">
        <f>SUMIFS('Stock Inflow'!$E$2:$E$601,'Stock Inflow'!$A$2:$A$601,$A223,'Stock Inflow'!$D$2:$D$601,$D223)</f>
        <v>2</v>
      </c>
      <c r="H223" s="19">
        <f>SUMIFS('Stock Outflow'!$F$2:$F$601,'Stock Outflow'!$A$2:$A$601,$A223,'Stock Outflow'!$D$2:$D$601,$D223)</f>
        <v>120</v>
      </c>
      <c r="I223" s="19">
        <f>SUMIFS('Stock Outflow'!$E$2:$E$601,'Stock Outflow'!$A$2:$A$601,$A223,'Stock Outflow'!$D$2:$D$601,$D223)</f>
        <v>3</v>
      </c>
      <c r="J223" s="19">
        <f t="shared" si="18"/>
        <v>431</v>
      </c>
      <c r="K223" s="20">
        <f>INDEX('Item Master'!$F$2:$F$51,MATCH($A223,'Item Master'!$A$2:$A$51,0))</f>
        <v>150</v>
      </c>
      <c r="L223" s="20">
        <f t="shared" si="19"/>
        <v>18000</v>
      </c>
      <c r="M223" s="21">
        <f t="shared" si="20"/>
        <v>4</v>
      </c>
      <c r="N223" s="19">
        <f>INDEX('Item Master'!$E$2:$E$51,MATCH($A223,'Item Master'!$A$2:$A$51,0))</f>
        <v>5</v>
      </c>
      <c r="O223" s="22">
        <f>INDEX('Product Summary'!$L$2:$L$51,MATCH($A223,'Product Summary'!$A$2:$A$51,0))</f>
        <v>7.6527777777777759</v>
      </c>
      <c r="P223" s="22">
        <f>INDEX('Product Summary'!$M$2:$M$51,MATCH($A223,'Product Summary'!$A$2:$A$51,0))</f>
        <v>29.200722983257226</v>
      </c>
      <c r="Q223" s="22">
        <f t="shared" si="21"/>
        <v>107.75</v>
      </c>
      <c r="R223" s="22">
        <f t="shared" si="22"/>
        <v>100.4498192541857</v>
      </c>
      <c r="S223" s="19" t="str">
        <f t="shared" si="23"/>
        <v>HEALTHY</v>
      </c>
    </row>
    <row r="224" spans="1:19" x14ac:dyDescent="0.3">
      <c r="A224" s="19" t="s">
        <v>108</v>
      </c>
      <c r="B224" s="19" t="s">
        <v>109</v>
      </c>
      <c r="C224" s="19" t="s">
        <v>34</v>
      </c>
      <c r="D224" s="19" t="s">
        <v>39</v>
      </c>
      <c r="E224" s="19">
        <f>SUMIFS('Stock Inflow'!$G$2:$G$601,'Stock Inflow'!$A$2:$A$601,$A224,'Stock Inflow'!$D$2:$D$601,$D224)</f>
        <v>431</v>
      </c>
      <c r="F224" s="19">
        <f>SUMIFS('Stock Inflow'!$F$2:$F$601,'Stock Inflow'!$A$2:$A$601,$A224,'Stock Inflow'!$D$2:$D$601,$D224)</f>
        <v>148</v>
      </c>
      <c r="G224" s="19">
        <f>SUMIFS('Stock Inflow'!$E$2:$E$601,'Stock Inflow'!$A$2:$A$601,$A224,'Stock Inflow'!$D$2:$D$601,$D224)</f>
        <v>4</v>
      </c>
      <c r="H224" s="19">
        <f>SUMIFS('Stock Outflow'!$F$2:$F$601,'Stock Outflow'!$A$2:$A$601,$A224,'Stock Outflow'!$D$2:$D$601,$D224)</f>
        <v>141</v>
      </c>
      <c r="I224" s="19">
        <f>SUMIFS('Stock Outflow'!$E$2:$E$601,'Stock Outflow'!$A$2:$A$601,$A224,'Stock Outflow'!$D$2:$D$601,$D224)</f>
        <v>1</v>
      </c>
      <c r="J224" s="19">
        <f t="shared" si="18"/>
        <v>441</v>
      </c>
      <c r="K224" s="20">
        <f>INDEX('Item Master'!$F$2:$F$51,MATCH($A224,'Item Master'!$A$2:$A$51,0))</f>
        <v>150</v>
      </c>
      <c r="L224" s="20">
        <f t="shared" si="19"/>
        <v>21150</v>
      </c>
      <c r="M224" s="21">
        <f t="shared" si="20"/>
        <v>4.7</v>
      </c>
      <c r="N224" s="19">
        <f>INDEX('Item Master'!$E$2:$E$51,MATCH($A224,'Item Master'!$A$2:$A$51,0))</f>
        <v>5</v>
      </c>
      <c r="O224" s="22">
        <f>INDEX('Product Summary'!$L$2:$L$51,MATCH($A224,'Product Summary'!$A$2:$A$51,0))</f>
        <v>7.6527777777777759</v>
      </c>
      <c r="P224" s="22">
        <f>INDEX('Product Summary'!$M$2:$M$51,MATCH($A224,'Product Summary'!$A$2:$A$51,0))</f>
        <v>29.200722983257226</v>
      </c>
      <c r="Q224" s="22">
        <f t="shared" si="21"/>
        <v>93.829787234042556</v>
      </c>
      <c r="R224" s="22">
        <f t="shared" si="22"/>
        <v>87.616867450370805</v>
      </c>
      <c r="S224" s="19" t="str">
        <f t="shared" si="23"/>
        <v>HEALTHY</v>
      </c>
    </row>
    <row r="225" spans="1:19" x14ac:dyDescent="0.3">
      <c r="A225" s="19" t="s">
        <v>108</v>
      </c>
      <c r="B225" s="19" t="s">
        <v>109</v>
      </c>
      <c r="C225" s="19" t="s">
        <v>34</v>
      </c>
      <c r="D225" s="19" t="s">
        <v>41</v>
      </c>
      <c r="E225" s="19">
        <f>SUMIFS('Stock Inflow'!$G$2:$G$601,'Stock Inflow'!$A$2:$A$601,$A225,'Stock Inflow'!$D$2:$D$601,$D225)</f>
        <v>441</v>
      </c>
      <c r="F225" s="19">
        <f>SUMIFS('Stock Inflow'!$F$2:$F$601,'Stock Inflow'!$A$2:$A$601,$A225,'Stock Inflow'!$D$2:$D$601,$D225)</f>
        <v>144</v>
      </c>
      <c r="G225" s="19">
        <f>SUMIFS('Stock Inflow'!$E$2:$E$601,'Stock Inflow'!$A$2:$A$601,$A225,'Stock Inflow'!$D$2:$D$601,$D225)</f>
        <v>4</v>
      </c>
      <c r="H225" s="19">
        <f>SUMIFS('Stock Outflow'!$F$2:$F$601,'Stock Outflow'!$A$2:$A$601,$A225,'Stock Outflow'!$D$2:$D$601,$D225)</f>
        <v>114</v>
      </c>
      <c r="I225" s="19">
        <f>SUMIFS('Stock Outflow'!$E$2:$E$601,'Stock Outflow'!$A$2:$A$601,$A225,'Stock Outflow'!$D$2:$D$601,$D225)</f>
        <v>4</v>
      </c>
      <c r="J225" s="19">
        <f t="shared" si="18"/>
        <v>471</v>
      </c>
      <c r="K225" s="20">
        <f>INDEX('Item Master'!$F$2:$F$51,MATCH($A225,'Item Master'!$A$2:$A$51,0))</f>
        <v>150</v>
      </c>
      <c r="L225" s="20">
        <f t="shared" si="19"/>
        <v>17100</v>
      </c>
      <c r="M225" s="21">
        <f t="shared" si="20"/>
        <v>3.8</v>
      </c>
      <c r="N225" s="19">
        <f>INDEX('Item Master'!$E$2:$E$51,MATCH($A225,'Item Master'!$A$2:$A$51,0))</f>
        <v>5</v>
      </c>
      <c r="O225" s="22">
        <f>INDEX('Product Summary'!$L$2:$L$51,MATCH($A225,'Product Summary'!$A$2:$A$51,0))</f>
        <v>7.6527777777777759</v>
      </c>
      <c r="P225" s="22">
        <f>INDEX('Product Summary'!$M$2:$M$51,MATCH($A225,'Product Summary'!$A$2:$A$51,0))</f>
        <v>29.200722983257226</v>
      </c>
      <c r="Q225" s="22">
        <f t="shared" si="21"/>
        <v>123.94736842105264</v>
      </c>
      <c r="R225" s="22">
        <f t="shared" si="22"/>
        <v>116.26296763598495</v>
      </c>
      <c r="S225" s="19" t="str">
        <f t="shared" si="23"/>
        <v>HEALTHY</v>
      </c>
    </row>
    <row r="226" spans="1:19" x14ac:dyDescent="0.3">
      <c r="A226" s="19" t="s">
        <v>108</v>
      </c>
      <c r="B226" s="19" t="s">
        <v>109</v>
      </c>
      <c r="C226" s="19" t="s">
        <v>34</v>
      </c>
      <c r="D226" s="19" t="s">
        <v>43</v>
      </c>
      <c r="E226" s="19">
        <f>SUMIFS('Stock Inflow'!$G$2:$G$601,'Stock Inflow'!$A$2:$A$601,$A226,'Stock Inflow'!$D$2:$D$601,$D226)</f>
        <v>471</v>
      </c>
      <c r="F226" s="19">
        <f>SUMIFS('Stock Inflow'!$F$2:$F$601,'Stock Inflow'!$A$2:$A$601,$A226,'Stock Inflow'!$D$2:$D$601,$D226)</f>
        <v>149</v>
      </c>
      <c r="G226" s="19">
        <f>SUMIFS('Stock Inflow'!$E$2:$E$601,'Stock Inflow'!$A$2:$A$601,$A226,'Stock Inflow'!$D$2:$D$601,$D226)</f>
        <v>4</v>
      </c>
      <c r="H226" s="19">
        <f>SUMIFS('Stock Outflow'!$F$2:$F$601,'Stock Outflow'!$A$2:$A$601,$A226,'Stock Outflow'!$D$2:$D$601,$D226)</f>
        <v>119</v>
      </c>
      <c r="I226" s="19">
        <f>SUMIFS('Stock Outflow'!$E$2:$E$601,'Stock Outflow'!$A$2:$A$601,$A226,'Stock Outflow'!$D$2:$D$601,$D226)</f>
        <v>2</v>
      </c>
      <c r="J226" s="19">
        <f t="shared" si="18"/>
        <v>503</v>
      </c>
      <c r="K226" s="20">
        <f>INDEX('Item Master'!$F$2:$F$51,MATCH($A226,'Item Master'!$A$2:$A$51,0))</f>
        <v>150</v>
      </c>
      <c r="L226" s="20">
        <f t="shared" si="19"/>
        <v>17850</v>
      </c>
      <c r="M226" s="21">
        <f t="shared" si="20"/>
        <v>3.9666666666666668</v>
      </c>
      <c r="N226" s="19">
        <f>INDEX('Item Master'!$E$2:$E$51,MATCH($A226,'Item Master'!$A$2:$A$51,0))</f>
        <v>5</v>
      </c>
      <c r="O226" s="22">
        <f>INDEX('Product Summary'!$L$2:$L$51,MATCH($A226,'Product Summary'!$A$2:$A$51,0))</f>
        <v>7.6527777777777759</v>
      </c>
      <c r="P226" s="22">
        <f>INDEX('Product Summary'!$M$2:$M$51,MATCH($A226,'Product Summary'!$A$2:$A$51,0))</f>
        <v>29.200722983257226</v>
      </c>
      <c r="Q226" s="22">
        <f t="shared" si="21"/>
        <v>126.80672268907563</v>
      </c>
      <c r="R226" s="22">
        <f t="shared" si="22"/>
        <v>119.44519588657381</v>
      </c>
      <c r="S226" s="19" t="str">
        <f t="shared" si="23"/>
        <v>HEALTHY</v>
      </c>
    </row>
    <row r="227" spans="1:19" x14ac:dyDescent="0.3">
      <c r="A227" s="19" t="s">
        <v>108</v>
      </c>
      <c r="B227" s="19" t="s">
        <v>109</v>
      </c>
      <c r="C227" s="19" t="s">
        <v>34</v>
      </c>
      <c r="D227" s="19" t="s">
        <v>45</v>
      </c>
      <c r="E227" s="19">
        <f>SUMIFS('Stock Inflow'!$G$2:$G$601,'Stock Inflow'!$A$2:$A$601,$A227,'Stock Inflow'!$D$2:$D$601,$D227)</f>
        <v>503</v>
      </c>
      <c r="F227" s="19">
        <f>SUMIFS('Stock Inflow'!$F$2:$F$601,'Stock Inflow'!$A$2:$A$601,$A227,'Stock Inflow'!$D$2:$D$601,$D227)</f>
        <v>213</v>
      </c>
      <c r="G227" s="19">
        <f>SUMIFS('Stock Inflow'!$E$2:$E$601,'Stock Inflow'!$A$2:$A$601,$A227,'Stock Inflow'!$D$2:$D$601,$D227)</f>
        <v>3</v>
      </c>
      <c r="H227" s="19">
        <f>SUMIFS('Stock Outflow'!$F$2:$F$601,'Stock Outflow'!$A$2:$A$601,$A227,'Stock Outflow'!$D$2:$D$601,$D227)</f>
        <v>177</v>
      </c>
      <c r="I227" s="19">
        <f>SUMIFS('Stock Outflow'!$E$2:$E$601,'Stock Outflow'!$A$2:$A$601,$A227,'Stock Outflow'!$D$2:$D$601,$D227)</f>
        <v>4</v>
      </c>
      <c r="J227" s="19">
        <f t="shared" si="18"/>
        <v>538</v>
      </c>
      <c r="K227" s="20">
        <f>INDEX('Item Master'!$F$2:$F$51,MATCH($A227,'Item Master'!$A$2:$A$51,0))</f>
        <v>150</v>
      </c>
      <c r="L227" s="20">
        <f t="shared" si="19"/>
        <v>26550</v>
      </c>
      <c r="M227" s="21">
        <f t="shared" si="20"/>
        <v>5.9</v>
      </c>
      <c r="N227" s="19">
        <f>INDEX('Item Master'!$E$2:$E$51,MATCH($A227,'Item Master'!$A$2:$A$51,0))</f>
        <v>5</v>
      </c>
      <c r="O227" s="22">
        <f>INDEX('Product Summary'!$L$2:$L$51,MATCH($A227,'Product Summary'!$A$2:$A$51,0))</f>
        <v>7.6527777777777759</v>
      </c>
      <c r="P227" s="22">
        <f>INDEX('Product Summary'!$M$2:$M$51,MATCH($A227,'Product Summary'!$A$2:$A$51,0))</f>
        <v>29.200722983257226</v>
      </c>
      <c r="Q227" s="22">
        <f t="shared" si="21"/>
        <v>91.18644067796609</v>
      </c>
      <c r="R227" s="22">
        <f t="shared" si="22"/>
        <v>86.237165596058091</v>
      </c>
      <c r="S227" s="19" t="str">
        <f t="shared" si="23"/>
        <v>HEALTHY</v>
      </c>
    </row>
    <row r="228" spans="1:19" x14ac:dyDescent="0.3">
      <c r="A228" s="19" t="s">
        <v>108</v>
      </c>
      <c r="B228" s="19" t="s">
        <v>109</v>
      </c>
      <c r="C228" s="19" t="s">
        <v>34</v>
      </c>
      <c r="D228" s="19" t="s">
        <v>47</v>
      </c>
      <c r="E228" s="19">
        <f>SUMIFS('Stock Inflow'!$G$2:$G$601,'Stock Inflow'!$A$2:$A$601,$A228,'Stock Inflow'!$D$2:$D$601,$D228)</f>
        <v>538</v>
      </c>
      <c r="F228" s="19">
        <f>SUMIFS('Stock Inflow'!$F$2:$F$601,'Stock Inflow'!$A$2:$A$601,$A228,'Stock Inflow'!$D$2:$D$601,$D228)</f>
        <v>163</v>
      </c>
      <c r="G228" s="19">
        <f>SUMIFS('Stock Inflow'!$E$2:$E$601,'Stock Inflow'!$A$2:$A$601,$A228,'Stock Inflow'!$D$2:$D$601,$D228)</f>
        <v>5</v>
      </c>
      <c r="H228" s="19">
        <f>SUMIFS('Stock Outflow'!$F$2:$F$601,'Stock Outflow'!$A$2:$A$601,$A228,'Stock Outflow'!$D$2:$D$601,$D228)</f>
        <v>154</v>
      </c>
      <c r="I228" s="19">
        <f>SUMIFS('Stock Outflow'!$E$2:$E$601,'Stock Outflow'!$A$2:$A$601,$A228,'Stock Outflow'!$D$2:$D$601,$D228)</f>
        <v>3</v>
      </c>
      <c r="J228" s="19">
        <f t="shared" si="18"/>
        <v>549</v>
      </c>
      <c r="K228" s="20">
        <f>INDEX('Item Master'!$F$2:$F$51,MATCH($A228,'Item Master'!$A$2:$A$51,0))</f>
        <v>150</v>
      </c>
      <c r="L228" s="20">
        <f t="shared" si="19"/>
        <v>23100</v>
      </c>
      <c r="M228" s="21">
        <f t="shared" si="20"/>
        <v>5.1333333333333337</v>
      </c>
      <c r="N228" s="19">
        <f>INDEX('Item Master'!$E$2:$E$51,MATCH($A228,'Item Master'!$A$2:$A$51,0))</f>
        <v>5</v>
      </c>
      <c r="O228" s="22">
        <f>INDEX('Product Summary'!$L$2:$L$51,MATCH($A228,'Product Summary'!$A$2:$A$51,0))</f>
        <v>7.6527777777777759</v>
      </c>
      <c r="P228" s="22">
        <f>INDEX('Product Summary'!$M$2:$M$51,MATCH($A228,'Product Summary'!$A$2:$A$51,0))</f>
        <v>29.200722983257226</v>
      </c>
      <c r="Q228" s="22">
        <f t="shared" si="21"/>
        <v>106.94805194805194</v>
      </c>
      <c r="R228" s="22">
        <f t="shared" si="22"/>
        <v>101.25959941884598</v>
      </c>
      <c r="S228" s="19" t="str">
        <f t="shared" si="23"/>
        <v>HEALTHY</v>
      </c>
    </row>
    <row r="229" spans="1:19" x14ac:dyDescent="0.3">
      <c r="A229" s="19" t="s">
        <v>108</v>
      </c>
      <c r="B229" s="19" t="s">
        <v>109</v>
      </c>
      <c r="C229" s="19" t="s">
        <v>34</v>
      </c>
      <c r="D229" s="19" t="s">
        <v>49</v>
      </c>
      <c r="E229" s="19">
        <f>SUMIFS('Stock Inflow'!$G$2:$G$601,'Stock Inflow'!$A$2:$A$601,$A229,'Stock Inflow'!$D$2:$D$601,$D229)</f>
        <v>549</v>
      </c>
      <c r="F229" s="19">
        <f>SUMIFS('Stock Inflow'!$F$2:$F$601,'Stock Inflow'!$A$2:$A$601,$A229,'Stock Inflow'!$D$2:$D$601,$D229)</f>
        <v>117</v>
      </c>
      <c r="G229" s="19">
        <f>SUMIFS('Stock Inflow'!$E$2:$E$601,'Stock Inflow'!$A$2:$A$601,$A229,'Stock Inflow'!$D$2:$D$601,$D229)</f>
        <v>2</v>
      </c>
      <c r="H229" s="19">
        <f>SUMIFS('Stock Outflow'!$F$2:$F$601,'Stock Outflow'!$A$2:$A$601,$A229,'Stock Outflow'!$D$2:$D$601,$D229)</f>
        <v>111</v>
      </c>
      <c r="I229" s="19">
        <f>SUMIFS('Stock Outflow'!$E$2:$E$601,'Stock Outflow'!$A$2:$A$601,$A229,'Stock Outflow'!$D$2:$D$601,$D229)</f>
        <v>0</v>
      </c>
      <c r="J229" s="19">
        <f t="shared" si="18"/>
        <v>557</v>
      </c>
      <c r="K229" s="20">
        <f>INDEX('Item Master'!$F$2:$F$51,MATCH($A229,'Item Master'!$A$2:$A$51,0))</f>
        <v>150</v>
      </c>
      <c r="L229" s="20">
        <f t="shared" si="19"/>
        <v>16650</v>
      </c>
      <c r="M229" s="21">
        <f t="shared" si="20"/>
        <v>3.7</v>
      </c>
      <c r="N229" s="19">
        <f>INDEX('Item Master'!$E$2:$E$51,MATCH($A229,'Item Master'!$A$2:$A$51,0))</f>
        <v>5</v>
      </c>
      <c r="O229" s="22">
        <f>INDEX('Product Summary'!$L$2:$L$51,MATCH($A229,'Product Summary'!$A$2:$A$51,0))</f>
        <v>7.6527777777777759</v>
      </c>
      <c r="P229" s="22">
        <f>INDEX('Product Summary'!$M$2:$M$51,MATCH($A229,'Product Summary'!$A$2:$A$51,0))</f>
        <v>29.200722983257226</v>
      </c>
      <c r="Q229" s="22">
        <f t="shared" si="21"/>
        <v>150.54054054054055</v>
      </c>
      <c r="R229" s="22">
        <f t="shared" si="22"/>
        <v>142.64845324776829</v>
      </c>
      <c r="S229" s="19" t="str">
        <f t="shared" si="23"/>
        <v>OVERSTOCK</v>
      </c>
    </row>
    <row r="230" spans="1:19" x14ac:dyDescent="0.3">
      <c r="A230" s="19" t="s">
        <v>110</v>
      </c>
      <c r="B230" s="19" t="s">
        <v>111</v>
      </c>
      <c r="C230" s="19" t="s">
        <v>34</v>
      </c>
      <c r="D230" s="19" t="s">
        <v>27</v>
      </c>
      <c r="E230" s="19">
        <f>SUMIFS('Stock Inflow'!$G$2:$G$601,'Stock Inflow'!$A$2:$A$601,$A230,'Stock Inflow'!$D$2:$D$601,$D230)</f>
        <v>379</v>
      </c>
      <c r="F230" s="19">
        <f>SUMIFS('Stock Inflow'!$F$2:$F$601,'Stock Inflow'!$A$2:$A$601,$A230,'Stock Inflow'!$D$2:$D$601,$D230)</f>
        <v>92</v>
      </c>
      <c r="G230" s="19">
        <f>SUMIFS('Stock Inflow'!$E$2:$E$601,'Stock Inflow'!$A$2:$A$601,$A230,'Stock Inflow'!$D$2:$D$601,$D230)</f>
        <v>2</v>
      </c>
      <c r="H230" s="19">
        <f>SUMIFS('Stock Outflow'!$F$2:$F$601,'Stock Outflow'!$A$2:$A$601,$A230,'Stock Outflow'!$D$2:$D$601,$D230)</f>
        <v>80</v>
      </c>
      <c r="I230" s="19">
        <f>SUMIFS('Stock Outflow'!$E$2:$E$601,'Stock Outflow'!$A$2:$A$601,$A230,'Stock Outflow'!$D$2:$D$601,$D230)</f>
        <v>2</v>
      </c>
      <c r="J230" s="19">
        <f t="shared" si="18"/>
        <v>391</v>
      </c>
      <c r="K230" s="20">
        <f>INDEX('Item Master'!$F$2:$F$51,MATCH($A230,'Item Master'!$A$2:$A$51,0))</f>
        <v>350</v>
      </c>
      <c r="L230" s="20">
        <f t="shared" si="19"/>
        <v>28000</v>
      </c>
      <c r="M230" s="21">
        <f t="shared" si="20"/>
        <v>2.6666666666666665</v>
      </c>
      <c r="N230" s="19">
        <f>INDEX('Item Master'!$E$2:$E$51,MATCH($A230,'Item Master'!$A$2:$A$51,0))</f>
        <v>3</v>
      </c>
      <c r="O230" s="22">
        <f>INDEX('Product Summary'!$L$2:$L$51,MATCH($A230,'Product Summary'!$A$2:$A$51,0))</f>
        <v>4.2166666666666668</v>
      </c>
      <c r="P230" s="22">
        <f>INDEX('Product Summary'!$M$2:$M$51,MATCH($A230,'Product Summary'!$A$2:$A$51,0))</f>
        <v>12.978310502283106</v>
      </c>
      <c r="Q230" s="22">
        <f t="shared" si="21"/>
        <v>146.625</v>
      </c>
      <c r="R230" s="22">
        <f t="shared" si="22"/>
        <v>141.75813356164386</v>
      </c>
      <c r="S230" s="19" t="str">
        <f t="shared" si="23"/>
        <v>HEALTHY</v>
      </c>
    </row>
    <row r="231" spans="1:19" x14ac:dyDescent="0.3">
      <c r="A231" s="19" t="s">
        <v>110</v>
      </c>
      <c r="B231" s="19" t="s">
        <v>111</v>
      </c>
      <c r="C231" s="19" t="s">
        <v>34</v>
      </c>
      <c r="D231" s="19" t="s">
        <v>29</v>
      </c>
      <c r="E231" s="19">
        <f>SUMIFS('Stock Inflow'!$G$2:$G$601,'Stock Inflow'!$A$2:$A$601,$A231,'Stock Inflow'!$D$2:$D$601,$D231)</f>
        <v>391</v>
      </c>
      <c r="F231" s="19">
        <f>SUMIFS('Stock Inflow'!$F$2:$F$601,'Stock Inflow'!$A$2:$A$601,$A231,'Stock Inflow'!$D$2:$D$601,$D231)</f>
        <v>94</v>
      </c>
      <c r="G231" s="19">
        <f>SUMIFS('Stock Inflow'!$E$2:$E$601,'Stock Inflow'!$A$2:$A$601,$A231,'Stock Inflow'!$D$2:$D$601,$D231)</f>
        <v>3</v>
      </c>
      <c r="H231" s="19">
        <f>SUMIFS('Stock Outflow'!$F$2:$F$601,'Stock Outflow'!$A$2:$A$601,$A231,'Stock Outflow'!$D$2:$D$601,$D231)</f>
        <v>82</v>
      </c>
      <c r="I231" s="19">
        <f>SUMIFS('Stock Outflow'!$E$2:$E$601,'Stock Outflow'!$A$2:$A$601,$A231,'Stock Outflow'!$D$2:$D$601,$D231)</f>
        <v>1</v>
      </c>
      <c r="J231" s="19">
        <f t="shared" si="18"/>
        <v>405</v>
      </c>
      <c r="K231" s="20">
        <f>INDEX('Item Master'!$F$2:$F$51,MATCH($A231,'Item Master'!$A$2:$A$51,0))</f>
        <v>350</v>
      </c>
      <c r="L231" s="20">
        <f t="shared" si="19"/>
        <v>28700</v>
      </c>
      <c r="M231" s="21">
        <f t="shared" si="20"/>
        <v>2.7333333333333334</v>
      </c>
      <c r="N231" s="19">
        <f>INDEX('Item Master'!$E$2:$E$51,MATCH($A231,'Item Master'!$A$2:$A$51,0))</f>
        <v>3</v>
      </c>
      <c r="O231" s="22">
        <f>INDEX('Product Summary'!$L$2:$L$51,MATCH($A231,'Product Summary'!$A$2:$A$51,0))</f>
        <v>4.2166666666666668</v>
      </c>
      <c r="P231" s="22">
        <f>INDEX('Product Summary'!$M$2:$M$51,MATCH($A231,'Product Summary'!$A$2:$A$51,0))</f>
        <v>12.978310502283106</v>
      </c>
      <c r="Q231" s="22">
        <f t="shared" si="21"/>
        <v>148.17073170731706</v>
      </c>
      <c r="R231" s="22">
        <f t="shared" si="22"/>
        <v>143.42256932843301</v>
      </c>
      <c r="S231" s="19" t="str">
        <f t="shared" si="23"/>
        <v>HEALTHY</v>
      </c>
    </row>
    <row r="232" spans="1:19" x14ac:dyDescent="0.3">
      <c r="A232" s="19" t="s">
        <v>110</v>
      </c>
      <c r="B232" s="19" t="s">
        <v>111</v>
      </c>
      <c r="C232" s="19" t="s">
        <v>34</v>
      </c>
      <c r="D232" s="19" t="s">
        <v>31</v>
      </c>
      <c r="E232" s="19">
        <f>SUMIFS('Stock Inflow'!$G$2:$G$601,'Stock Inflow'!$A$2:$A$601,$A232,'Stock Inflow'!$D$2:$D$601,$D232)</f>
        <v>405</v>
      </c>
      <c r="F232" s="19">
        <f>SUMIFS('Stock Inflow'!$F$2:$F$601,'Stock Inflow'!$A$2:$A$601,$A232,'Stock Inflow'!$D$2:$D$601,$D232)</f>
        <v>100</v>
      </c>
      <c r="G232" s="19">
        <f>SUMIFS('Stock Inflow'!$E$2:$E$601,'Stock Inflow'!$A$2:$A$601,$A232,'Stock Inflow'!$D$2:$D$601,$D232)</f>
        <v>2</v>
      </c>
      <c r="H232" s="19">
        <f>SUMIFS('Stock Outflow'!$F$2:$F$601,'Stock Outflow'!$A$2:$A$601,$A232,'Stock Outflow'!$D$2:$D$601,$D232)</f>
        <v>86</v>
      </c>
      <c r="I232" s="19">
        <f>SUMIFS('Stock Outflow'!$E$2:$E$601,'Stock Outflow'!$A$2:$A$601,$A232,'Stock Outflow'!$D$2:$D$601,$D232)</f>
        <v>1</v>
      </c>
      <c r="J232" s="19">
        <f t="shared" si="18"/>
        <v>420</v>
      </c>
      <c r="K232" s="20">
        <f>INDEX('Item Master'!$F$2:$F$51,MATCH($A232,'Item Master'!$A$2:$A$51,0))</f>
        <v>350</v>
      </c>
      <c r="L232" s="20">
        <f t="shared" si="19"/>
        <v>30100</v>
      </c>
      <c r="M232" s="21">
        <f t="shared" si="20"/>
        <v>2.8666666666666667</v>
      </c>
      <c r="N232" s="19">
        <f>INDEX('Item Master'!$E$2:$E$51,MATCH($A232,'Item Master'!$A$2:$A$51,0))</f>
        <v>3</v>
      </c>
      <c r="O232" s="22">
        <f>INDEX('Product Summary'!$L$2:$L$51,MATCH($A232,'Product Summary'!$A$2:$A$51,0))</f>
        <v>4.2166666666666668</v>
      </c>
      <c r="P232" s="22">
        <f>INDEX('Product Summary'!$M$2:$M$51,MATCH($A232,'Product Summary'!$A$2:$A$51,0))</f>
        <v>12.978310502283106</v>
      </c>
      <c r="Q232" s="22">
        <f t="shared" si="21"/>
        <v>146.51162790697674</v>
      </c>
      <c r="R232" s="22">
        <f t="shared" si="22"/>
        <v>141.98431028990126</v>
      </c>
      <c r="S232" s="19" t="str">
        <f t="shared" si="23"/>
        <v>HEALTHY</v>
      </c>
    </row>
    <row r="233" spans="1:19" x14ac:dyDescent="0.3">
      <c r="A233" s="19" t="s">
        <v>110</v>
      </c>
      <c r="B233" s="19" t="s">
        <v>111</v>
      </c>
      <c r="C233" s="19" t="s">
        <v>34</v>
      </c>
      <c r="D233" s="19" t="s">
        <v>33</v>
      </c>
      <c r="E233" s="19">
        <f>SUMIFS('Stock Inflow'!$G$2:$G$601,'Stock Inflow'!$A$2:$A$601,$A233,'Stock Inflow'!$D$2:$D$601,$D233)</f>
        <v>420</v>
      </c>
      <c r="F233" s="19">
        <f>SUMIFS('Stock Inflow'!$F$2:$F$601,'Stock Inflow'!$A$2:$A$601,$A233,'Stock Inflow'!$D$2:$D$601,$D233)</f>
        <v>102</v>
      </c>
      <c r="G233" s="19">
        <f>SUMIFS('Stock Inflow'!$E$2:$E$601,'Stock Inflow'!$A$2:$A$601,$A233,'Stock Inflow'!$D$2:$D$601,$D233)</f>
        <v>1</v>
      </c>
      <c r="H233" s="19">
        <f>SUMIFS('Stock Outflow'!$F$2:$F$601,'Stock Outflow'!$A$2:$A$601,$A233,'Stock Outflow'!$D$2:$D$601,$D233)</f>
        <v>88</v>
      </c>
      <c r="I233" s="19">
        <f>SUMIFS('Stock Outflow'!$E$2:$E$601,'Stock Outflow'!$A$2:$A$601,$A233,'Stock Outflow'!$D$2:$D$601,$D233)</f>
        <v>0</v>
      </c>
      <c r="J233" s="19">
        <f t="shared" si="18"/>
        <v>435</v>
      </c>
      <c r="K233" s="20">
        <f>INDEX('Item Master'!$F$2:$F$51,MATCH($A233,'Item Master'!$A$2:$A$51,0))</f>
        <v>350</v>
      </c>
      <c r="L233" s="20">
        <f t="shared" si="19"/>
        <v>30800</v>
      </c>
      <c r="M233" s="21">
        <f t="shared" si="20"/>
        <v>2.9333333333333331</v>
      </c>
      <c r="N233" s="19">
        <f>INDEX('Item Master'!$E$2:$E$51,MATCH($A233,'Item Master'!$A$2:$A$51,0))</f>
        <v>3</v>
      </c>
      <c r="O233" s="22">
        <f>INDEX('Product Summary'!$L$2:$L$51,MATCH($A233,'Product Summary'!$A$2:$A$51,0))</f>
        <v>4.2166666666666668</v>
      </c>
      <c r="P233" s="22">
        <f>INDEX('Product Summary'!$M$2:$M$51,MATCH($A233,'Product Summary'!$A$2:$A$51,0))</f>
        <v>12.978310502283106</v>
      </c>
      <c r="Q233" s="22">
        <f t="shared" si="21"/>
        <v>148.29545454545456</v>
      </c>
      <c r="R233" s="22">
        <f t="shared" si="22"/>
        <v>143.87103051058531</v>
      </c>
      <c r="S233" s="19" t="str">
        <f t="shared" si="23"/>
        <v>HEALTHY</v>
      </c>
    </row>
    <row r="234" spans="1:19" x14ac:dyDescent="0.3">
      <c r="A234" s="19" t="s">
        <v>110</v>
      </c>
      <c r="B234" s="19" t="s">
        <v>111</v>
      </c>
      <c r="C234" s="19" t="s">
        <v>34</v>
      </c>
      <c r="D234" s="19" t="s">
        <v>35</v>
      </c>
      <c r="E234" s="19">
        <f>SUMIFS('Stock Inflow'!$G$2:$G$601,'Stock Inflow'!$A$2:$A$601,$A234,'Stock Inflow'!$D$2:$D$601,$D234)</f>
        <v>435</v>
      </c>
      <c r="F234" s="19">
        <f>SUMIFS('Stock Inflow'!$F$2:$F$601,'Stock Inflow'!$A$2:$A$601,$A234,'Stock Inflow'!$D$2:$D$601,$D234)</f>
        <v>92</v>
      </c>
      <c r="G234" s="19">
        <f>SUMIFS('Stock Inflow'!$E$2:$E$601,'Stock Inflow'!$A$2:$A$601,$A234,'Stock Inflow'!$D$2:$D$601,$D234)</f>
        <v>1</v>
      </c>
      <c r="H234" s="19">
        <f>SUMIFS('Stock Outflow'!$F$2:$F$601,'Stock Outflow'!$A$2:$A$601,$A234,'Stock Outflow'!$D$2:$D$601,$D234)</f>
        <v>71</v>
      </c>
      <c r="I234" s="19">
        <f>SUMIFS('Stock Outflow'!$E$2:$E$601,'Stock Outflow'!$A$2:$A$601,$A234,'Stock Outflow'!$D$2:$D$601,$D234)</f>
        <v>1</v>
      </c>
      <c r="J234" s="19">
        <f t="shared" si="18"/>
        <v>456</v>
      </c>
      <c r="K234" s="20">
        <f>INDEX('Item Master'!$F$2:$F$51,MATCH($A234,'Item Master'!$A$2:$A$51,0))</f>
        <v>350</v>
      </c>
      <c r="L234" s="20">
        <f t="shared" si="19"/>
        <v>24850</v>
      </c>
      <c r="M234" s="21">
        <f t="shared" si="20"/>
        <v>2.3666666666666667</v>
      </c>
      <c r="N234" s="19">
        <f>INDEX('Item Master'!$E$2:$E$51,MATCH($A234,'Item Master'!$A$2:$A$51,0))</f>
        <v>3</v>
      </c>
      <c r="O234" s="22">
        <f>INDEX('Product Summary'!$L$2:$L$51,MATCH($A234,'Product Summary'!$A$2:$A$51,0))</f>
        <v>4.2166666666666668</v>
      </c>
      <c r="P234" s="22">
        <f>INDEX('Product Summary'!$M$2:$M$51,MATCH($A234,'Product Summary'!$A$2:$A$51,0))</f>
        <v>12.978310502283106</v>
      </c>
      <c r="Q234" s="22">
        <f t="shared" si="21"/>
        <v>192.67605633802816</v>
      </c>
      <c r="R234" s="22">
        <f t="shared" si="22"/>
        <v>187.19226316804941</v>
      </c>
      <c r="S234" s="19" t="str">
        <f t="shared" si="23"/>
        <v>OVERSTOCK</v>
      </c>
    </row>
    <row r="235" spans="1:19" x14ac:dyDescent="0.3">
      <c r="A235" s="19" t="s">
        <v>110</v>
      </c>
      <c r="B235" s="19" t="s">
        <v>111</v>
      </c>
      <c r="C235" s="19" t="s">
        <v>34</v>
      </c>
      <c r="D235" s="19" t="s">
        <v>37</v>
      </c>
      <c r="E235" s="19">
        <f>SUMIFS('Stock Inflow'!$G$2:$G$601,'Stock Inflow'!$A$2:$A$601,$A235,'Stock Inflow'!$D$2:$D$601,$D235)</f>
        <v>456</v>
      </c>
      <c r="F235" s="19">
        <f>SUMIFS('Stock Inflow'!$F$2:$F$601,'Stock Inflow'!$A$2:$A$601,$A235,'Stock Inflow'!$D$2:$D$601,$D235)</f>
        <v>89</v>
      </c>
      <c r="G235" s="19">
        <f>SUMIFS('Stock Inflow'!$E$2:$E$601,'Stock Inflow'!$A$2:$A$601,$A235,'Stock Inflow'!$D$2:$D$601,$D235)</f>
        <v>2</v>
      </c>
      <c r="H235" s="19">
        <f>SUMIFS('Stock Outflow'!$F$2:$F$601,'Stock Outflow'!$A$2:$A$601,$A235,'Stock Outflow'!$D$2:$D$601,$D235)</f>
        <v>84</v>
      </c>
      <c r="I235" s="19">
        <f>SUMIFS('Stock Outflow'!$E$2:$E$601,'Stock Outflow'!$A$2:$A$601,$A235,'Stock Outflow'!$D$2:$D$601,$D235)</f>
        <v>3</v>
      </c>
      <c r="J235" s="19">
        <f t="shared" si="18"/>
        <v>460</v>
      </c>
      <c r="K235" s="20">
        <f>INDEX('Item Master'!$F$2:$F$51,MATCH($A235,'Item Master'!$A$2:$A$51,0))</f>
        <v>350</v>
      </c>
      <c r="L235" s="20">
        <f t="shared" si="19"/>
        <v>29400</v>
      </c>
      <c r="M235" s="21">
        <f t="shared" si="20"/>
        <v>2.8</v>
      </c>
      <c r="N235" s="19">
        <f>INDEX('Item Master'!$E$2:$E$51,MATCH($A235,'Item Master'!$A$2:$A$51,0))</f>
        <v>3</v>
      </c>
      <c r="O235" s="22">
        <f>INDEX('Product Summary'!$L$2:$L$51,MATCH($A235,'Product Summary'!$A$2:$A$51,0))</f>
        <v>4.2166666666666668</v>
      </c>
      <c r="P235" s="22">
        <f>INDEX('Product Summary'!$M$2:$M$51,MATCH($A235,'Product Summary'!$A$2:$A$51,0))</f>
        <v>12.978310502283106</v>
      </c>
      <c r="Q235" s="22">
        <f t="shared" si="21"/>
        <v>164.28571428571431</v>
      </c>
      <c r="R235" s="22">
        <f t="shared" si="22"/>
        <v>159.65060339204177</v>
      </c>
      <c r="S235" s="19" t="str">
        <f t="shared" si="23"/>
        <v>OVERSTOCK</v>
      </c>
    </row>
    <row r="236" spans="1:19" x14ac:dyDescent="0.3">
      <c r="A236" s="19" t="s">
        <v>110</v>
      </c>
      <c r="B236" s="19" t="s">
        <v>111</v>
      </c>
      <c r="C236" s="19" t="s">
        <v>34</v>
      </c>
      <c r="D236" s="19" t="s">
        <v>39</v>
      </c>
      <c r="E236" s="19">
        <f>SUMIFS('Stock Inflow'!$G$2:$G$601,'Stock Inflow'!$A$2:$A$601,$A236,'Stock Inflow'!$D$2:$D$601,$D236)</f>
        <v>460</v>
      </c>
      <c r="F236" s="19">
        <f>SUMIFS('Stock Inflow'!$F$2:$F$601,'Stock Inflow'!$A$2:$A$601,$A236,'Stock Inflow'!$D$2:$D$601,$D236)</f>
        <v>98</v>
      </c>
      <c r="G236" s="19">
        <f>SUMIFS('Stock Inflow'!$E$2:$E$601,'Stock Inflow'!$A$2:$A$601,$A236,'Stock Inflow'!$D$2:$D$601,$D236)</f>
        <v>2</v>
      </c>
      <c r="H236" s="19">
        <f>SUMIFS('Stock Outflow'!$F$2:$F$601,'Stock Outflow'!$A$2:$A$601,$A236,'Stock Outflow'!$D$2:$D$601,$D236)</f>
        <v>88</v>
      </c>
      <c r="I236" s="19">
        <f>SUMIFS('Stock Outflow'!$E$2:$E$601,'Stock Outflow'!$A$2:$A$601,$A236,'Stock Outflow'!$D$2:$D$601,$D236)</f>
        <v>2</v>
      </c>
      <c r="J236" s="19">
        <f t="shared" si="18"/>
        <v>470</v>
      </c>
      <c r="K236" s="20">
        <f>INDEX('Item Master'!$F$2:$F$51,MATCH($A236,'Item Master'!$A$2:$A$51,0))</f>
        <v>350</v>
      </c>
      <c r="L236" s="20">
        <f t="shared" si="19"/>
        <v>30800</v>
      </c>
      <c r="M236" s="21">
        <f t="shared" si="20"/>
        <v>2.9333333333333331</v>
      </c>
      <c r="N236" s="19">
        <f>INDEX('Item Master'!$E$2:$E$51,MATCH($A236,'Item Master'!$A$2:$A$51,0))</f>
        <v>3</v>
      </c>
      <c r="O236" s="22">
        <f>INDEX('Product Summary'!$L$2:$L$51,MATCH($A236,'Product Summary'!$A$2:$A$51,0))</f>
        <v>4.2166666666666668</v>
      </c>
      <c r="P236" s="22">
        <f>INDEX('Product Summary'!$M$2:$M$51,MATCH($A236,'Product Summary'!$A$2:$A$51,0))</f>
        <v>12.978310502283106</v>
      </c>
      <c r="Q236" s="22">
        <f t="shared" si="21"/>
        <v>160.22727272727275</v>
      </c>
      <c r="R236" s="22">
        <f t="shared" si="22"/>
        <v>155.8028486924035</v>
      </c>
      <c r="S236" s="19" t="str">
        <f t="shared" si="23"/>
        <v>OVERSTOCK</v>
      </c>
    </row>
    <row r="237" spans="1:19" x14ac:dyDescent="0.3">
      <c r="A237" s="19" t="s">
        <v>110</v>
      </c>
      <c r="B237" s="19" t="s">
        <v>111</v>
      </c>
      <c r="C237" s="19" t="s">
        <v>34</v>
      </c>
      <c r="D237" s="19" t="s">
        <v>41</v>
      </c>
      <c r="E237" s="19">
        <f>SUMIFS('Stock Inflow'!$G$2:$G$601,'Stock Inflow'!$A$2:$A$601,$A237,'Stock Inflow'!$D$2:$D$601,$D237)</f>
        <v>470</v>
      </c>
      <c r="F237" s="19">
        <f>SUMIFS('Stock Inflow'!$F$2:$F$601,'Stock Inflow'!$A$2:$A$601,$A237,'Stock Inflow'!$D$2:$D$601,$D237)</f>
        <v>108</v>
      </c>
      <c r="G237" s="19">
        <f>SUMIFS('Stock Inflow'!$E$2:$E$601,'Stock Inflow'!$A$2:$A$601,$A237,'Stock Inflow'!$D$2:$D$601,$D237)</f>
        <v>3</v>
      </c>
      <c r="H237" s="19">
        <f>SUMIFS('Stock Outflow'!$F$2:$F$601,'Stock Outflow'!$A$2:$A$601,$A237,'Stock Outflow'!$D$2:$D$601,$D237)</f>
        <v>93</v>
      </c>
      <c r="I237" s="19">
        <f>SUMIFS('Stock Outflow'!$E$2:$E$601,'Stock Outflow'!$A$2:$A$601,$A237,'Stock Outflow'!$D$2:$D$601,$D237)</f>
        <v>2</v>
      </c>
      <c r="J237" s="19">
        <f t="shared" si="18"/>
        <v>486</v>
      </c>
      <c r="K237" s="20">
        <f>INDEX('Item Master'!$F$2:$F$51,MATCH($A237,'Item Master'!$A$2:$A$51,0))</f>
        <v>350</v>
      </c>
      <c r="L237" s="20">
        <f t="shared" si="19"/>
        <v>32550</v>
      </c>
      <c r="M237" s="21">
        <f t="shared" si="20"/>
        <v>3.1</v>
      </c>
      <c r="N237" s="19">
        <f>INDEX('Item Master'!$E$2:$E$51,MATCH($A237,'Item Master'!$A$2:$A$51,0))</f>
        <v>3</v>
      </c>
      <c r="O237" s="22">
        <f>INDEX('Product Summary'!$L$2:$L$51,MATCH($A237,'Product Summary'!$A$2:$A$51,0))</f>
        <v>4.2166666666666668</v>
      </c>
      <c r="P237" s="22">
        <f>INDEX('Product Summary'!$M$2:$M$51,MATCH($A237,'Product Summary'!$A$2:$A$51,0))</f>
        <v>12.978310502283106</v>
      </c>
      <c r="Q237" s="22">
        <f t="shared" si="21"/>
        <v>156.7741935483871</v>
      </c>
      <c r="R237" s="22">
        <f t="shared" si="22"/>
        <v>152.58764177345708</v>
      </c>
      <c r="S237" s="19" t="str">
        <f t="shared" si="23"/>
        <v>OVERSTOCK</v>
      </c>
    </row>
    <row r="238" spans="1:19" x14ac:dyDescent="0.3">
      <c r="A238" s="19" t="s">
        <v>110</v>
      </c>
      <c r="B238" s="19" t="s">
        <v>111</v>
      </c>
      <c r="C238" s="19" t="s">
        <v>34</v>
      </c>
      <c r="D238" s="19" t="s">
        <v>43</v>
      </c>
      <c r="E238" s="19">
        <f>SUMIFS('Stock Inflow'!$G$2:$G$601,'Stock Inflow'!$A$2:$A$601,$A238,'Stock Inflow'!$D$2:$D$601,$D238)</f>
        <v>486</v>
      </c>
      <c r="F238" s="19">
        <f>SUMIFS('Stock Inflow'!$F$2:$F$601,'Stock Inflow'!$A$2:$A$601,$A238,'Stock Inflow'!$D$2:$D$601,$D238)</f>
        <v>95</v>
      </c>
      <c r="G238" s="19">
        <f>SUMIFS('Stock Inflow'!$E$2:$E$601,'Stock Inflow'!$A$2:$A$601,$A238,'Stock Inflow'!$D$2:$D$601,$D238)</f>
        <v>3</v>
      </c>
      <c r="H238" s="19">
        <f>SUMIFS('Stock Outflow'!$F$2:$F$601,'Stock Outflow'!$A$2:$A$601,$A238,'Stock Outflow'!$D$2:$D$601,$D238)</f>
        <v>94</v>
      </c>
      <c r="I238" s="19">
        <f>SUMIFS('Stock Outflow'!$E$2:$E$601,'Stock Outflow'!$A$2:$A$601,$A238,'Stock Outflow'!$D$2:$D$601,$D238)</f>
        <v>1</v>
      </c>
      <c r="J238" s="19">
        <f t="shared" si="18"/>
        <v>489</v>
      </c>
      <c r="K238" s="20">
        <f>INDEX('Item Master'!$F$2:$F$51,MATCH($A238,'Item Master'!$A$2:$A$51,0))</f>
        <v>350</v>
      </c>
      <c r="L238" s="20">
        <f t="shared" si="19"/>
        <v>32900</v>
      </c>
      <c r="M238" s="21">
        <f t="shared" si="20"/>
        <v>3.1333333333333333</v>
      </c>
      <c r="N238" s="19">
        <f>INDEX('Item Master'!$E$2:$E$51,MATCH($A238,'Item Master'!$A$2:$A$51,0))</f>
        <v>3</v>
      </c>
      <c r="O238" s="22">
        <f>INDEX('Product Summary'!$L$2:$L$51,MATCH($A238,'Product Summary'!$A$2:$A$51,0))</f>
        <v>4.2166666666666668</v>
      </c>
      <c r="P238" s="22">
        <f>INDEX('Product Summary'!$M$2:$M$51,MATCH($A238,'Product Summary'!$A$2:$A$51,0))</f>
        <v>12.978310502283106</v>
      </c>
      <c r="Q238" s="22">
        <f t="shared" si="21"/>
        <v>156.06382978723406</v>
      </c>
      <c r="R238" s="22">
        <f t="shared" si="22"/>
        <v>151.92181579714369</v>
      </c>
      <c r="S238" s="19" t="str">
        <f t="shared" si="23"/>
        <v>OVERSTOCK</v>
      </c>
    </row>
    <row r="239" spans="1:19" x14ac:dyDescent="0.3">
      <c r="A239" s="19" t="s">
        <v>110</v>
      </c>
      <c r="B239" s="19" t="s">
        <v>111</v>
      </c>
      <c r="C239" s="19" t="s">
        <v>34</v>
      </c>
      <c r="D239" s="19" t="s">
        <v>45</v>
      </c>
      <c r="E239" s="19">
        <f>SUMIFS('Stock Inflow'!$G$2:$G$601,'Stock Inflow'!$A$2:$A$601,$A239,'Stock Inflow'!$D$2:$D$601,$D239)</f>
        <v>489</v>
      </c>
      <c r="F239" s="19">
        <f>SUMIFS('Stock Inflow'!$F$2:$F$601,'Stock Inflow'!$A$2:$A$601,$A239,'Stock Inflow'!$D$2:$D$601,$D239)</f>
        <v>130</v>
      </c>
      <c r="G239" s="19">
        <f>SUMIFS('Stock Inflow'!$E$2:$E$601,'Stock Inflow'!$A$2:$A$601,$A239,'Stock Inflow'!$D$2:$D$601,$D239)</f>
        <v>3</v>
      </c>
      <c r="H239" s="19">
        <f>SUMIFS('Stock Outflow'!$F$2:$F$601,'Stock Outflow'!$A$2:$A$601,$A239,'Stock Outflow'!$D$2:$D$601,$D239)</f>
        <v>131</v>
      </c>
      <c r="I239" s="19">
        <f>SUMIFS('Stock Outflow'!$E$2:$E$601,'Stock Outflow'!$A$2:$A$601,$A239,'Stock Outflow'!$D$2:$D$601,$D239)</f>
        <v>4</v>
      </c>
      <c r="J239" s="19">
        <f t="shared" si="18"/>
        <v>487</v>
      </c>
      <c r="K239" s="20">
        <f>INDEX('Item Master'!$F$2:$F$51,MATCH($A239,'Item Master'!$A$2:$A$51,0))</f>
        <v>350</v>
      </c>
      <c r="L239" s="20">
        <f t="shared" si="19"/>
        <v>45850</v>
      </c>
      <c r="M239" s="21">
        <f t="shared" si="20"/>
        <v>4.3666666666666663</v>
      </c>
      <c r="N239" s="19">
        <f>INDEX('Item Master'!$E$2:$E$51,MATCH($A239,'Item Master'!$A$2:$A$51,0))</f>
        <v>3</v>
      </c>
      <c r="O239" s="22">
        <f>INDEX('Product Summary'!$L$2:$L$51,MATCH($A239,'Product Summary'!$A$2:$A$51,0))</f>
        <v>4.2166666666666668</v>
      </c>
      <c r="P239" s="22">
        <f>INDEX('Product Summary'!$M$2:$M$51,MATCH($A239,'Product Summary'!$A$2:$A$51,0))</f>
        <v>12.978310502283106</v>
      </c>
      <c r="Q239" s="22">
        <f t="shared" si="21"/>
        <v>111.52671755725191</v>
      </c>
      <c r="R239" s="22">
        <f t="shared" si="22"/>
        <v>108.55458538115656</v>
      </c>
      <c r="S239" s="19" t="str">
        <f t="shared" si="23"/>
        <v>HEALTHY</v>
      </c>
    </row>
    <row r="240" spans="1:19" x14ac:dyDescent="0.3">
      <c r="A240" s="19" t="s">
        <v>110</v>
      </c>
      <c r="B240" s="19" t="s">
        <v>111</v>
      </c>
      <c r="C240" s="19" t="s">
        <v>34</v>
      </c>
      <c r="D240" s="19" t="s">
        <v>47</v>
      </c>
      <c r="E240" s="19">
        <f>SUMIFS('Stock Inflow'!$G$2:$G$601,'Stock Inflow'!$A$2:$A$601,$A240,'Stock Inflow'!$D$2:$D$601,$D240)</f>
        <v>487</v>
      </c>
      <c r="F240" s="19">
        <f>SUMIFS('Stock Inflow'!$F$2:$F$601,'Stock Inflow'!$A$2:$A$601,$A240,'Stock Inflow'!$D$2:$D$601,$D240)</f>
        <v>116</v>
      </c>
      <c r="G240" s="19">
        <f>SUMIFS('Stock Inflow'!$E$2:$E$601,'Stock Inflow'!$A$2:$A$601,$A240,'Stock Inflow'!$D$2:$D$601,$D240)</f>
        <v>3</v>
      </c>
      <c r="H240" s="19">
        <f>SUMIFS('Stock Outflow'!$F$2:$F$601,'Stock Outflow'!$A$2:$A$601,$A240,'Stock Outflow'!$D$2:$D$601,$D240)</f>
        <v>92</v>
      </c>
      <c r="I240" s="19">
        <f>SUMIFS('Stock Outflow'!$E$2:$E$601,'Stock Outflow'!$A$2:$A$601,$A240,'Stock Outflow'!$D$2:$D$601,$D240)</f>
        <v>0</v>
      </c>
      <c r="J240" s="19">
        <f t="shared" si="18"/>
        <v>514</v>
      </c>
      <c r="K240" s="20">
        <f>INDEX('Item Master'!$F$2:$F$51,MATCH($A240,'Item Master'!$A$2:$A$51,0))</f>
        <v>350</v>
      </c>
      <c r="L240" s="20">
        <f t="shared" si="19"/>
        <v>32200</v>
      </c>
      <c r="M240" s="21">
        <f t="shared" si="20"/>
        <v>3.0666666666666669</v>
      </c>
      <c r="N240" s="19">
        <f>INDEX('Item Master'!$E$2:$E$51,MATCH($A240,'Item Master'!$A$2:$A$51,0))</f>
        <v>3</v>
      </c>
      <c r="O240" s="22">
        <f>INDEX('Product Summary'!$L$2:$L$51,MATCH($A240,'Product Summary'!$A$2:$A$51,0))</f>
        <v>4.2166666666666668</v>
      </c>
      <c r="P240" s="22">
        <f>INDEX('Product Summary'!$M$2:$M$51,MATCH($A240,'Product Summary'!$A$2:$A$51,0))</f>
        <v>12.978310502283106</v>
      </c>
      <c r="Q240" s="22">
        <f t="shared" si="21"/>
        <v>167.60869565217391</v>
      </c>
      <c r="R240" s="22">
        <f t="shared" si="22"/>
        <v>163.37663787969029</v>
      </c>
      <c r="S240" s="19" t="str">
        <f t="shared" si="23"/>
        <v>OVERSTOCK</v>
      </c>
    </row>
    <row r="241" spans="1:19" x14ac:dyDescent="0.3">
      <c r="A241" s="19" t="s">
        <v>110</v>
      </c>
      <c r="B241" s="19" t="s">
        <v>111</v>
      </c>
      <c r="C241" s="19" t="s">
        <v>34</v>
      </c>
      <c r="D241" s="19" t="s">
        <v>49</v>
      </c>
      <c r="E241" s="19">
        <f>SUMIFS('Stock Inflow'!$G$2:$G$601,'Stock Inflow'!$A$2:$A$601,$A241,'Stock Inflow'!$D$2:$D$601,$D241)</f>
        <v>514</v>
      </c>
      <c r="F241" s="19">
        <f>SUMIFS('Stock Inflow'!$F$2:$F$601,'Stock Inflow'!$A$2:$A$601,$A241,'Stock Inflow'!$D$2:$D$601,$D241)</f>
        <v>99</v>
      </c>
      <c r="G241" s="19">
        <f>SUMIFS('Stock Inflow'!$E$2:$E$601,'Stock Inflow'!$A$2:$A$601,$A241,'Stock Inflow'!$D$2:$D$601,$D241)</f>
        <v>3</v>
      </c>
      <c r="H241" s="19">
        <f>SUMIFS('Stock Outflow'!$F$2:$F$601,'Stock Outflow'!$A$2:$A$601,$A241,'Stock Outflow'!$D$2:$D$601,$D241)</f>
        <v>77</v>
      </c>
      <c r="I241" s="19">
        <f>SUMIFS('Stock Outflow'!$E$2:$E$601,'Stock Outflow'!$A$2:$A$601,$A241,'Stock Outflow'!$D$2:$D$601,$D241)</f>
        <v>2</v>
      </c>
      <c r="J241" s="19">
        <f t="shared" si="18"/>
        <v>537</v>
      </c>
      <c r="K241" s="20">
        <f>INDEX('Item Master'!$F$2:$F$51,MATCH($A241,'Item Master'!$A$2:$A$51,0))</f>
        <v>350</v>
      </c>
      <c r="L241" s="20">
        <f t="shared" si="19"/>
        <v>26950</v>
      </c>
      <c r="M241" s="21">
        <f t="shared" si="20"/>
        <v>2.5666666666666669</v>
      </c>
      <c r="N241" s="19">
        <f>INDEX('Item Master'!$E$2:$E$51,MATCH($A241,'Item Master'!$A$2:$A$51,0))</f>
        <v>3</v>
      </c>
      <c r="O241" s="22">
        <f>INDEX('Product Summary'!$L$2:$L$51,MATCH($A241,'Product Summary'!$A$2:$A$51,0))</f>
        <v>4.2166666666666668</v>
      </c>
      <c r="P241" s="22">
        <f>INDEX('Product Summary'!$M$2:$M$51,MATCH($A241,'Product Summary'!$A$2:$A$51,0))</f>
        <v>12.978310502283106</v>
      </c>
      <c r="Q241" s="22">
        <f t="shared" si="21"/>
        <v>209.22077922077921</v>
      </c>
      <c r="R241" s="22">
        <f t="shared" si="22"/>
        <v>204.16429460950008</v>
      </c>
      <c r="S241" s="19" t="str">
        <f t="shared" si="23"/>
        <v>OVERSTOCK</v>
      </c>
    </row>
    <row r="242" spans="1:19" x14ac:dyDescent="0.3">
      <c r="A242" s="19" t="s">
        <v>112</v>
      </c>
      <c r="B242" s="19" t="s">
        <v>113</v>
      </c>
      <c r="C242" s="19" t="s">
        <v>34</v>
      </c>
      <c r="D242" s="19" t="s">
        <v>27</v>
      </c>
      <c r="E242" s="19">
        <f>SUMIFS('Stock Inflow'!$G$2:$G$601,'Stock Inflow'!$A$2:$A$601,$A242,'Stock Inflow'!$D$2:$D$601,$D242)</f>
        <v>385</v>
      </c>
      <c r="F242" s="19">
        <f>SUMIFS('Stock Inflow'!$F$2:$F$601,'Stock Inflow'!$A$2:$A$601,$A242,'Stock Inflow'!$D$2:$D$601,$D242)</f>
        <v>81</v>
      </c>
      <c r="G242" s="19">
        <f>SUMIFS('Stock Inflow'!$E$2:$E$601,'Stock Inflow'!$A$2:$A$601,$A242,'Stock Inflow'!$D$2:$D$601,$D242)</f>
        <v>2</v>
      </c>
      <c r="H242" s="19">
        <f>SUMIFS('Stock Outflow'!$F$2:$F$601,'Stock Outflow'!$A$2:$A$601,$A242,'Stock Outflow'!$D$2:$D$601,$D242)</f>
        <v>88</v>
      </c>
      <c r="I242" s="19">
        <f>SUMIFS('Stock Outflow'!$E$2:$E$601,'Stock Outflow'!$A$2:$A$601,$A242,'Stock Outflow'!$D$2:$D$601,$D242)</f>
        <v>2</v>
      </c>
      <c r="J242" s="19">
        <f t="shared" si="18"/>
        <v>378</v>
      </c>
      <c r="K242" s="20">
        <f>INDEX('Item Master'!$F$2:$F$51,MATCH($A242,'Item Master'!$A$2:$A$51,0))</f>
        <v>350</v>
      </c>
      <c r="L242" s="20">
        <f t="shared" si="19"/>
        <v>30800</v>
      </c>
      <c r="M242" s="21">
        <f t="shared" si="20"/>
        <v>2.9333333333333331</v>
      </c>
      <c r="N242" s="19">
        <f>INDEX('Item Master'!$E$2:$E$51,MATCH($A242,'Item Master'!$A$2:$A$51,0))</f>
        <v>5</v>
      </c>
      <c r="O242" s="22">
        <f>INDEX('Product Summary'!$L$2:$L$51,MATCH($A242,'Product Summary'!$A$2:$A$51,0))</f>
        <v>6.8472222222222214</v>
      </c>
      <c r="P242" s="22">
        <f>INDEX('Product Summary'!$M$2:$M$51,MATCH($A242,'Product Summary'!$A$2:$A$51,0))</f>
        <v>20.970509893455098</v>
      </c>
      <c r="Q242" s="22">
        <f t="shared" si="21"/>
        <v>128.86363636363637</v>
      </c>
      <c r="R242" s="22">
        <f t="shared" si="22"/>
        <v>121.7145988999585</v>
      </c>
      <c r="S242" s="19" t="str">
        <f t="shared" si="23"/>
        <v>HEALTHY</v>
      </c>
    </row>
    <row r="243" spans="1:19" x14ac:dyDescent="0.3">
      <c r="A243" s="19" t="s">
        <v>112</v>
      </c>
      <c r="B243" s="19" t="s">
        <v>113</v>
      </c>
      <c r="C243" s="19" t="s">
        <v>34</v>
      </c>
      <c r="D243" s="19" t="s">
        <v>29</v>
      </c>
      <c r="E243" s="19">
        <f>SUMIFS('Stock Inflow'!$G$2:$G$601,'Stock Inflow'!$A$2:$A$601,$A243,'Stock Inflow'!$D$2:$D$601,$D243)</f>
        <v>378</v>
      </c>
      <c r="F243" s="19">
        <f>SUMIFS('Stock Inflow'!$F$2:$F$601,'Stock Inflow'!$A$2:$A$601,$A243,'Stock Inflow'!$D$2:$D$601,$D243)</f>
        <v>82</v>
      </c>
      <c r="G243" s="19">
        <f>SUMIFS('Stock Inflow'!$E$2:$E$601,'Stock Inflow'!$A$2:$A$601,$A243,'Stock Inflow'!$D$2:$D$601,$D243)</f>
        <v>3</v>
      </c>
      <c r="H243" s="19">
        <f>SUMIFS('Stock Outflow'!$F$2:$F$601,'Stock Outflow'!$A$2:$A$601,$A243,'Stock Outflow'!$D$2:$D$601,$D243)</f>
        <v>84</v>
      </c>
      <c r="I243" s="19">
        <f>SUMIFS('Stock Outflow'!$E$2:$E$601,'Stock Outflow'!$A$2:$A$601,$A243,'Stock Outflow'!$D$2:$D$601,$D243)</f>
        <v>1</v>
      </c>
      <c r="J243" s="19">
        <f t="shared" si="18"/>
        <v>378</v>
      </c>
      <c r="K243" s="20">
        <f>INDEX('Item Master'!$F$2:$F$51,MATCH($A243,'Item Master'!$A$2:$A$51,0))</f>
        <v>350</v>
      </c>
      <c r="L243" s="20">
        <f t="shared" si="19"/>
        <v>29400</v>
      </c>
      <c r="M243" s="21">
        <f t="shared" si="20"/>
        <v>2.8</v>
      </c>
      <c r="N243" s="19">
        <f>INDEX('Item Master'!$E$2:$E$51,MATCH($A243,'Item Master'!$A$2:$A$51,0))</f>
        <v>5</v>
      </c>
      <c r="O243" s="22">
        <f>INDEX('Product Summary'!$L$2:$L$51,MATCH($A243,'Product Summary'!$A$2:$A$51,0))</f>
        <v>6.8472222222222214</v>
      </c>
      <c r="P243" s="22">
        <f>INDEX('Product Summary'!$M$2:$M$51,MATCH($A243,'Product Summary'!$A$2:$A$51,0))</f>
        <v>20.970509893455098</v>
      </c>
      <c r="Q243" s="22">
        <f t="shared" si="21"/>
        <v>135</v>
      </c>
      <c r="R243" s="22">
        <f t="shared" si="22"/>
        <v>127.51053218090891</v>
      </c>
      <c r="S243" s="19" t="str">
        <f t="shared" si="23"/>
        <v>HEALTHY</v>
      </c>
    </row>
    <row r="244" spans="1:19" x14ac:dyDescent="0.3">
      <c r="A244" s="19" t="s">
        <v>112</v>
      </c>
      <c r="B244" s="19" t="s">
        <v>113</v>
      </c>
      <c r="C244" s="19" t="s">
        <v>34</v>
      </c>
      <c r="D244" s="19" t="s">
        <v>31</v>
      </c>
      <c r="E244" s="19">
        <f>SUMIFS('Stock Inflow'!$G$2:$G$601,'Stock Inflow'!$A$2:$A$601,$A244,'Stock Inflow'!$D$2:$D$601,$D244)</f>
        <v>378</v>
      </c>
      <c r="F244" s="19">
        <f>SUMIFS('Stock Inflow'!$F$2:$F$601,'Stock Inflow'!$A$2:$A$601,$A244,'Stock Inflow'!$D$2:$D$601,$D244)</f>
        <v>97</v>
      </c>
      <c r="G244" s="19">
        <f>SUMIFS('Stock Inflow'!$E$2:$E$601,'Stock Inflow'!$A$2:$A$601,$A244,'Stock Inflow'!$D$2:$D$601,$D244)</f>
        <v>1</v>
      </c>
      <c r="H244" s="19">
        <f>SUMIFS('Stock Outflow'!$F$2:$F$601,'Stock Outflow'!$A$2:$A$601,$A244,'Stock Outflow'!$D$2:$D$601,$D244)</f>
        <v>79</v>
      </c>
      <c r="I244" s="19">
        <f>SUMIFS('Stock Outflow'!$E$2:$E$601,'Stock Outflow'!$A$2:$A$601,$A244,'Stock Outflow'!$D$2:$D$601,$D244)</f>
        <v>2</v>
      </c>
      <c r="J244" s="19">
        <f t="shared" si="18"/>
        <v>395</v>
      </c>
      <c r="K244" s="20">
        <f>INDEX('Item Master'!$F$2:$F$51,MATCH($A244,'Item Master'!$A$2:$A$51,0))</f>
        <v>350</v>
      </c>
      <c r="L244" s="20">
        <f t="shared" si="19"/>
        <v>27650</v>
      </c>
      <c r="M244" s="21">
        <f t="shared" si="20"/>
        <v>2.6333333333333333</v>
      </c>
      <c r="N244" s="19">
        <f>INDEX('Item Master'!$E$2:$E$51,MATCH($A244,'Item Master'!$A$2:$A$51,0))</f>
        <v>5</v>
      </c>
      <c r="O244" s="22">
        <f>INDEX('Product Summary'!$L$2:$L$51,MATCH($A244,'Product Summary'!$A$2:$A$51,0))</f>
        <v>6.8472222222222214</v>
      </c>
      <c r="P244" s="22">
        <f>INDEX('Product Summary'!$M$2:$M$51,MATCH($A244,'Product Summary'!$A$2:$A$51,0))</f>
        <v>20.970509893455098</v>
      </c>
      <c r="Q244" s="22">
        <f t="shared" si="21"/>
        <v>150</v>
      </c>
      <c r="R244" s="22">
        <f t="shared" si="22"/>
        <v>142.03651523033352</v>
      </c>
      <c r="S244" s="19" t="str">
        <f t="shared" si="23"/>
        <v>HEALTHY</v>
      </c>
    </row>
    <row r="245" spans="1:19" x14ac:dyDescent="0.3">
      <c r="A245" s="19" t="s">
        <v>112</v>
      </c>
      <c r="B245" s="19" t="s">
        <v>113</v>
      </c>
      <c r="C245" s="19" t="s">
        <v>34</v>
      </c>
      <c r="D245" s="19" t="s">
        <v>33</v>
      </c>
      <c r="E245" s="19">
        <f>SUMIFS('Stock Inflow'!$G$2:$G$601,'Stock Inflow'!$A$2:$A$601,$A245,'Stock Inflow'!$D$2:$D$601,$D245)</f>
        <v>395</v>
      </c>
      <c r="F245" s="19">
        <f>SUMIFS('Stock Inflow'!$F$2:$F$601,'Stock Inflow'!$A$2:$A$601,$A245,'Stock Inflow'!$D$2:$D$601,$D245)</f>
        <v>96</v>
      </c>
      <c r="G245" s="19">
        <f>SUMIFS('Stock Inflow'!$E$2:$E$601,'Stock Inflow'!$A$2:$A$601,$A245,'Stock Inflow'!$D$2:$D$601,$D245)</f>
        <v>2</v>
      </c>
      <c r="H245" s="19">
        <f>SUMIFS('Stock Outflow'!$F$2:$F$601,'Stock Outflow'!$A$2:$A$601,$A245,'Stock Outflow'!$D$2:$D$601,$D245)</f>
        <v>84</v>
      </c>
      <c r="I245" s="19">
        <f>SUMIFS('Stock Outflow'!$E$2:$E$601,'Stock Outflow'!$A$2:$A$601,$A245,'Stock Outflow'!$D$2:$D$601,$D245)</f>
        <v>3</v>
      </c>
      <c r="J245" s="19">
        <f t="shared" si="18"/>
        <v>406</v>
      </c>
      <c r="K245" s="20">
        <f>INDEX('Item Master'!$F$2:$F$51,MATCH($A245,'Item Master'!$A$2:$A$51,0))</f>
        <v>350</v>
      </c>
      <c r="L245" s="20">
        <f t="shared" si="19"/>
        <v>29400</v>
      </c>
      <c r="M245" s="21">
        <f t="shared" si="20"/>
        <v>2.8</v>
      </c>
      <c r="N245" s="19">
        <f>INDEX('Item Master'!$E$2:$E$51,MATCH($A245,'Item Master'!$A$2:$A$51,0))</f>
        <v>5</v>
      </c>
      <c r="O245" s="22">
        <f>INDEX('Product Summary'!$L$2:$L$51,MATCH($A245,'Product Summary'!$A$2:$A$51,0))</f>
        <v>6.8472222222222214</v>
      </c>
      <c r="P245" s="22">
        <f>INDEX('Product Summary'!$M$2:$M$51,MATCH($A245,'Product Summary'!$A$2:$A$51,0))</f>
        <v>20.970509893455098</v>
      </c>
      <c r="Q245" s="22">
        <f t="shared" si="21"/>
        <v>145</v>
      </c>
      <c r="R245" s="22">
        <f t="shared" si="22"/>
        <v>137.51053218090891</v>
      </c>
      <c r="S245" s="19" t="str">
        <f t="shared" si="23"/>
        <v>HEALTHY</v>
      </c>
    </row>
    <row r="246" spans="1:19" x14ac:dyDescent="0.3">
      <c r="A246" s="19" t="s">
        <v>112</v>
      </c>
      <c r="B246" s="19" t="s">
        <v>113</v>
      </c>
      <c r="C246" s="19" t="s">
        <v>34</v>
      </c>
      <c r="D246" s="19" t="s">
        <v>35</v>
      </c>
      <c r="E246" s="19">
        <f>SUMIFS('Stock Inflow'!$G$2:$G$601,'Stock Inflow'!$A$2:$A$601,$A246,'Stock Inflow'!$D$2:$D$601,$D246)</f>
        <v>406</v>
      </c>
      <c r="F246" s="19">
        <f>SUMIFS('Stock Inflow'!$F$2:$F$601,'Stock Inflow'!$A$2:$A$601,$A246,'Stock Inflow'!$D$2:$D$601,$D246)</f>
        <v>98</v>
      </c>
      <c r="G246" s="19">
        <f>SUMIFS('Stock Inflow'!$E$2:$E$601,'Stock Inflow'!$A$2:$A$601,$A246,'Stock Inflow'!$D$2:$D$601,$D246)</f>
        <v>3</v>
      </c>
      <c r="H246" s="19">
        <f>SUMIFS('Stock Outflow'!$F$2:$F$601,'Stock Outflow'!$A$2:$A$601,$A246,'Stock Outflow'!$D$2:$D$601,$D246)</f>
        <v>88</v>
      </c>
      <c r="I246" s="19">
        <f>SUMIFS('Stock Outflow'!$E$2:$E$601,'Stock Outflow'!$A$2:$A$601,$A246,'Stock Outflow'!$D$2:$D$601,$D246)</f>
        <v>0</v>
      </c>
      <c r="J246" s="19">
        <f t="shared" si="18"/>
        <v>419</v>
      </c>
      <c r="K246" s="20">
        <f>INDEX('Item Master'!$F$2:$F$51,MATCH($A246,'Item Master'!$A$2:$A$51,0))</f>
        <v>350</v>
      </c>
      <c r="L246" s="20">
        <f t="shared" si="19"/>
        <v>30800</v>
      </c>
      <c r="M246" s="21">
        <f t="shared" si="20"/>
        <v>2.9333333333333331</v>
      </c>
      <c r="N246" s="19">
        <f>INDEX('Item Master'!$E$2:$E$51,MATCH($A246,'Item Master'!$A$2:$A$51,0))</f>
        <v>5</v>
      </c>
      <c r="O246" s="22">
        <f>INDEX('Product Summary'!$L$2:$L$51,MATCH($A246,'Product Summary'!$A$2:$A$51,0))</f>
        <v>6.8472222222222214</v>
      </c>
      <c r="P246" s="22">
        <f>INDEX('Product Summary'!$M$2:$M$51,MATCH($A246,'Product Summary'!$A$2:$A$51,0))</f>
        <v>20.970509893455098</v>
      </c>
      <c r="Q246" s="22">
        <f t="shared" si="21"/>
        <v>142.84090909090909</v>
      </c>
      <c r="R246" s="22">
        <f t="shared" si="22"/>
        <v>135.69187162723122</v>
      </c>
      <c r="S246" s="19" t="str">
        <f t="shared" si="23"/>
        <v>HEALTHY</v>
      </c>
    </row>
    <row r="247" spans="1:19" x14ac:dyDescent="0.3">
      <c r="A247" s="19" t="s">
        <v>112</v>
      </c>
      <c r="B247" s="19" t="s">
        <v>113</v>
      </c>
      <c r="C247" s="19" t="s">
        <v>34</v>
      </c>
      <c r="D247" s="19" t="s">
        <v>37</v>
      </c>
      <c r="E247" s="19">
        <f>SUMIFS('Stock Inflow'!$G$2:$G$601,'Stock Inflow'!$A$2:$A$601,$A247,'Stock Inflow'!$D$2:$D$601,$D247)</f>
        <v>419</v>
      </c>
      <c r="F247" s="19">
        <f>SUMIFS('Stock Inflow'!$F$2:$F$601,'Stock Inflow'!$A$2:$A$601,$A247,'Stock Inflow'!$D$2:$D$601,$D247)</f>
        <v>81</v>
      </c>
      <c r="G247" s="19">
        <f>SUMIFS('Stock Inflow'!$E$2:$E$601,'Stock Inflow'!$A$2:$A$601,$A247,'Stock Inflow'!$D$2:$D$601,$D247)</f>
        <v>2</v>
      </c>
      <c r="H247" s="19">
        <f>SUMIFS('Stock Outflow'!$F$2:$F$601,'Stock Outflow'!$A$2:$A$601,$A247,'Stock Outflow'!$D$2:$D$601,$D247)</f>
        <v>85</v>
      </c>
      <c r="I247" s="19">
        <f>SUMIFS('Stock Outflow'!$E$2:$E$601,'Stock Outflow'!$A$2:$A$601,$A247,'Stock Outflow'!$D$2:$D$601,$D247)</f>
        <v>2</v>
      </c>
      <c r="J247" s="19">
        <f t="shared" si="18"/>
        <v>415</v>
      </c>
      <c r="K247" s="20">
        <f>INDEX('Item Master'!$F$2:$F$51,MATCH($A247,'Item Master'!$A$2:$A$51,0))</f>
        <v>350</v>
      </c>
      <c r="L247" s="20">
        <f t="shared" si="19"/>
        <v>29750</v>
      </c>
      <c r="M247" s="21">
        <f t="shared" si="20"/>
        <v>2.8333333333333335</v>
      </c>
      <c r="N247" s="19">
        <f>INDEX('Item Master'!$E$2:$E$51,MATCH($A247,'Item Master'!$A$2:$A$51,0))</f>
        <v>5</v>
      </c>
      <c r="O247" s="22">
        <f>INDEX('Product Summary'!$L$2:$L$51,MATCH($A247,'Product Summary'!$A$2:$A$51,0))</f>
        <v>6.8472222222222214</v>
      </c>
      <c r="P247" s="22">
        <f>INDEX('Product Summary'!$M$2:$M$51,MATCH($A247,'Product Summary'!$A$2:$A$51,0))</f>
        <v>20.970509893455098</v>
      </c>
      <c r="Q247" s="22">
        <f t="shared" si="21"/>
        <v>146.47058823529412</v>
      </c>
      <c r="R247" s="22">
        <f t="shared" si="22"/>
        <v>139.06923180230996</v>
      </c>
      <c r="S247" s="19" t="str">
        <f t="shared" si="23"/>
        <v>HEALTHY</v>
      </c>
    </row>
    <row r="248" spans="1:19" x14ac:dyDescent="0.3">
      <c r="A248" s="19" t="s">
        <v>112</v>
      </c>
      <c r="B248" s="19" t="s">
        <v>113</v>
      </c>
      <c r="C248" s="19" t="s">
        <v>34</v>
      </c>
      <c r="D248" s="19" t="s">
        <v>39</v>
      </c>
      <c r="E248" s="19">
        <f>SUMIFS('Stock Inflow'!$G$2:$G$601,'Stock Inflow'!$A$2:$A$601,$A248,'Stock Inflow'!$D$2:$D$601,$D248)</f>
        <v>415</v>
      </c>
      <c r="F248" s="19">
        <f>SUMIFS('Stock Inflow'!$F$2:$F$601,'Stock Inflow'!$A$2:$A$601,$A248,'Stock Inflow'!$D$2:$D$601,$D248)</f>
        <v>72</v>
      </c>
      <c r="G248" s="19">
        <f>SUMIFS('Stock Inflow'!$E$2:$E$601,'Stock Inflow'!$A$2:$A$601,$A248,'Stock Inflow'!$D$2:$D$601,$D248)</f>
        <v>1</v>
      </c>
      <c r="H248" s="19">
        <f>SUMIFS('Stock Outflow'!$F$2:$F$601,'Stock Outflow'!$A$2:$A$601,$A248,'Stock Outflow'!$D$2:$D$601,$D248)</f>
        <v>79</v>
      </c>
      <c r="I248" s="19">
        <f>SUMIFS('Stock Outflow'!$E$2:$E$601,'Stock Outflow'!$A$2:$A$601,$A248,'Stock Outflow'!$D$2:$D$601,$D248)</f>
        <v>0</v>
      </c>
      <c r="J248" s="19">
        <f t="shared" si="18"/>
        <v>409</v>
      </c>
      <c r="K248" s="20">
        <f>INDEX('Item Master'!$F$2:$F$51,MATCH($A248,'Item Master'!$A$2:$A$51,0))</f>
        <v>350</v>
      </c>
      <c r="L248" s="20">
        <f t="shared" si="19"/>
        <v>27650</v>
      </c>
      <c r="M248" s="21">
        <f t="shared" si="20"/>
        <v>2.6333333333333333</v>
      </c>
      <c r="N248" s="19">
        <f>INDEX('Item Master'!$E$2:$E$51,MATCH($A248,'Item Master'!$A$2:$A$51,0))</f>
        <v>5</v>
      </c>
      <c r="O248" s="22">
        <f>INDEX('Product Summary'!$L$2:$L$51,MATCH($A248,'Product Summary'!$A$2:$A$51,0))</f>
        <v>6.8472222222222214</v>
      </c>
      <c r="P248" s="22">
        <f>INDEX('Product Summary'!$M$2:$M$51,MATCH($A248,'Product Summary'!$A$2:$A$51,0))</f>
        <v>20.970509893455098</v>
      </c>
      <c r="Q248" s="22">
        <f t="shared" si="21"/>
        <v>155.31645569620252</v>
      </c>
      <c r="R248" s="22">
        <f t="shared" si="22"/>
        <v>147.35297092653605</v>
      </c>
      <c r="S248" s="19" t="str">
        <f t="shared" si="23"/>
        <v>OVERSTOCK</v>
      </c>
    </row>
    <row r="249" spans="1:19" x14ac:dyDescent="0.3">
      <c r="A249" s="19" t="s">
        <v>112</v>
      </c>
      <c r="B249" s="19" t="s">
        <v>113</v>
      </c>
      <c r="C249" s="19" t="s">
        <v>34</v>
      </c>
      <c r="D249" s="19" t="s">
        <v>41</v>
      </c>
      <c r="E249" s="19">
        <f>SUMIFS('Stock Inflow'!$G$2:$G$601,'Stock Inflow'!$A$2:$A$601,$A249,'Stock Inflow'!$D$2:$D$601,$D249)</f>
        <v>409</v>
      </c>
      <c r="F249" s="19">
        <f>SUMIFS('Stock Inflow'!$F$2:$F$601,'Stock Inflow'!$A$2:$A$601,$A249,'Stock Inflow'!$D$2:$D$601,$D249)</f>
        <v>71</v>
      </c>
      <c r="G249" s="19">
        <f>SUMIFS('Stock Inflow'!$E$2:$E$601,'Stock Inflow'!$A$2:$A$601,$A249,'Stock Inflow'!$D$2:$D$601,$D249)</f>
        <v>1</v>
      </c>
      <c r="H249" s="19">
        <f>SUMIFS('Stock Outflow'!$F$2:$F$601,'Stock Outflow'!$A$2:$A$601,$A249,'Stock Outflow'!$D$2:$D$601,$D249)</f>
        <v>75</v>
      </c>
      <c r="I249" s="19">
        <f>SUMIFS('Stock Outflow'!$E$2:$E$601,'Stock Outflow'!$A$2:$A$601,$A249,'Stock Outflow'!$D$2:$D$601,$D249)</f>
        <v>1</v>
      </c>
      <c r="J249" s="19">
        <f t="shared" si="18"/>
        <v>405</v>
      </c>
      <c r="K249" s="20">
        <f>INDEX('Item Master'!$F$2:$F$51,MATCH($A249,'Item Master'!$A$2:$A$51,0))</f>
        <v>350</v>
      </c>
      <c r="L249" s="20">
        <f t="shared" si="19"/>
        <v>26250</v>
      </c>
      <c r="M249" s="21">
        <f t="shared" si="20"/>
        <v>2.5</v>
      </c>
      <c r="N249" s="19">
        <f>INDEX('Item Master'!$E$2:$E$51,MATCH($A249,'Item Master'!$A$2:$A$51,0))</f>
        <v>5</v>
      </c>
      <c r="O249" s="22">
        <f>INDEX('Product Summary'!$L$2:$L$51,MATCH($A249,'Product Summary'!$A$2:$A$51,0))</f>
        <v>6.8472222222222214</v>
      </c>
      <c r="P249" s="22">
        <f>INDEX('Product Summary'!$M$2:$M$51,MATCH($A249,'Product Summary'!$A$2:$A$51,0))</f>
        <v>20.970509893455098</v>
      </c>
      <c r="Q249" s="22">
        <f t="shared" si="21"/>
        <v>162</v>
      </c>
      <c r="R249" s="22">
        <f t="shared" si="22"/>
        <v>153.61179604261798</v>
      </c>
      <c r="S249" s="19" t="str">
        <f t="shared" si="23"/>
        <v>OVERSTOCK</v>
      </c>
    </row>
    <row r="250" spans="1:19" x14ac:dyDescent="0.3">
      <c r="A250" s="19" t="s">
        <v>112</v>
      </c>
      <c r="B250" s="19" t="s">
        <v>113</v>
      </c>
      <c r="C250" s="19" t="s">
        <v>34</v>
      </c>
      <c r="D250" s="19" t="s">
        <v>43</v>
      </c>
      <c r="E250" s="19">
        <f>SUMIFS('Stock Inflow'!$G$2:$G$601,'Stock Inflow'!$A$2:$A$601,$A250,'Stock Inflow'!$D$2:$D$601,$D250)</f>
        <v>405</v>
      </c>
      <c r="F250" s="19">
        <f>SUMIFS('Stock Inflow'!$F$2:$F$601,'Stock Inflow'!$A$2:$A$601,$A250,'Stock Inflow'!$D$2:$D$601,$D250)</f>
        <v>84</v>
      </c>
      <c r="G250" s="19">
        <f>SUMIFS('Stock Inflow'!$E$2:$E$601,'Stock Inflow'!$A$2:$A$601,$A250,'Stock Inflow'!$D$2:$D$601,$D250)</f>
        <v>2</v>
      </c>
      <c r="H250" s="19">
        <f>SUMIFS('Stock Outflow'!$F$2:$F$601,'Stock Outflow'!$A$2:$A$601,$A250,'Stock Outflow'!$D$2:$D$601,$D250)</f>
        <v>74</v>
      </c>
      <c r="I250" s="19">
        <f>SUMIFS('Stock Outflow'!$E$2:$E$601,'Stock Outflow'!$A$2:$A$601,$A250,'Stock Outflow'!$D$2:$D$601,$D250)</f>
        <v>1</v>
      </c>
      <c r="J250" s="19">
        <f t="shared" si="18"/>
        <v>416</v>
      </c>
      <c r="K250" s="20">
        <f>INDEX('Item Master'!$F$2:$F$51,MATCH($A250,'Item Master'!$A$2:$A$51,0))</f>
        <v>350</v>
      </c>
      <c r="L250" s="20">
        <f t="shared" si="19"/>
        <v>25900</v>
      </c>
      <c r="M250" s="21">
        <f t="shared" si="20"/>
        <v>2.4666666666666668</v>
      </c>
      <c r="N250" s="19">
        <f>INDEX('Item Master'!$E$2:$E$51,MATCH($A250,'Item Master'!$A$2:$A$51,0))</f>
        <v>5</v>
      </c>
      <c r="O250" s="22">
        <f>INDEX('Product Summary'!$L$2:$L$51,MATCH($A250,'Product Summary'!$A$2:$A$51,0))</f>
        <v>6.8472222222222214</v>
      </c>
      <c r="P250" s="22">
        <f>INDEX('Product Summary'!$M$2:$M$51,MATCH($A250,'Product Summary'!$A$2:$A$51,0))</f>
        <v>20.970509893455098</v>
      </c>
      <c r="Q250" s="22">
        <f t="shared" si="21"/>
        <v>168.64864864864865</v>
      </c>
      <c r="R250" s="22">
        <f t="shared" si="22"/>
        <v>160.14709058373441</v>
      </c>
      <c r="S250" s="19" t="str">
        <f t="shared" si="23"/>
        <v>OVERSTOCK</v>
      </c>
    </row>
    <row r="251" spans="1:19" x14ac:dyDescent="0.3">
      <c r="A251" s="19" t="s">
        <v>112</v>
      </c>
      <c r="B251" s="19" t="s">
        <v>113</v>
      </c>
      <c r="C251" s="19" t="s">
        <v>34</v>
      </c>
      <c r="D251" s="19" t="s">
        <v>45</v>
      </c>
      <c r="E251" s="19">
        <f>SUMIFS('Stock Inflow'!$G$2:$G$601,'Stock Inflow'!$A$2:$A$601,$A251,'Stock Inflow'!$D$2:$D$601,$D251)</f>
        <v>416</v>
      </c>
      <c r="F251" s="19">
        <f>SUMIFS('Stock Inflow'!$F$2:$F$601,'Stock Inflow'!$A$2:$A$601,$A251,'Stock Inflow'!$D$2:$D$601,$D251)</f>
        <v>151</v>
      </c>
      <c r="G251" s="19">
        <f>SUMIFS('Stock Inflow'!$E$2:$E$601,'Stock Inflow'!$A$2:$A$601,$A251,'Stock Inflow'!$D$2:$D$601,$D251)</f>
        <v>5</v>
      </c>
      <c r="H251" s="19">
        <f>SUMIFS('Stock Outflow'!$F$2:$F$601,'Stock Outflow'!$A$2:$A$601,$A251,'Stock Outflow'!$D$2:$D$601,$D251)</f>
        <v>127</v>
      </c>
      <c r="I251" s="19">
        <f>SUMIFS('Stock Outflow'!$E$2:$E$601,'Stock Outflow'!$A$2:$A$601,$A251,'Stock Outflow'!$D$2:$D$601,$D251)</f>
        <v>3</v>
      </c>
      <c r="J251" s="19">
        <f t="shared" si="18"/>
        <v>442</v>
      </c>
      <c r="K251" s="20">
        <f>INDEX('Item Master'!$F$2:$F$51,MATCH($A251,'Item Master'!$A$2:$A$51,0))</f>
        <v>350</v>
      </c>
      <c r="L251" s="20">
        <f t="shared" si="19"/>
        <v>44450</v>
      </c>
      <c r="M251" s="21">
        <f t="shared" si="20"/>
        <v>4.2333333333333334</v>
      </c>
      <c r="N251" s="19">
        <f>INDEX('Item Master'!$E$2:$E$51,MATCH($A251,'Item Master'!$A$2:$A$51,0))</f>
        <v>5</v>
      </c>
      <c r="O251" s="22">
        <f>INDEX('Product Summary'!$L$2:$L$51,MATCH($A251,'Product Summary'!$A$2:$A$51,0))</f>
        <v>6.8472222222222214</v>
      </c>
      <c r="P251" s="22">
        <f>INDEX('Product Summary'!$M$2:$M$51,MATCH($A251,'Product Summary'!$A$2:$A$51,0))</f>
        <v>20.970509893455098</v>
      </c>
      <c r="Q251" s="22">
        <f t="shared" si="21"/>
        <v>104.40944881889763</v>
      </c>
      <c r="R251" s="22">
        <f t="shared" si="22"/>
        <v>99.455785064538176</v>
      </c>
      <c r="S251" s="19" t="str">
        <f t="shared" si="23"/>
        <v>HEALTHY</v>
      </c>
    </row>
    <row r="252" spans="1:19" x14ac:dyDescent="0.3">
      <c r="A252" s="19" t="s">
        <v>112</v>
      </c>
      <c r="B252" s="19" t="s">
        <v>113</v>
      </c>
      <c r="C252" s="19" t="s">
        <v>34</v>
      </c>
      <c r="D252" s="19" t="s">
        <v>47</v>
      </c>
      <c r="E252" s="19">
        <f>SUMIFS('Stock Inflow'!$G$2:$G$601,'Stock Inflow'!$A$2:$A$601,$A252,'Stock Inflow'!$D$2:$D$601,$D252)</f>
        <v>442</v>
      </c>
      <c r="F252" s="19">
        <f>SUMIFS('Stock Inflow'!$F$2:$F$601,'Stock Inflow'!$A$2:$A$601,$A252,'Stock Inflow'!$D$2:$D$601,$D252)</f>
        <v>96</v>
      </c>
      <c r="G252" s="19">
        <f>SUMIFS('Stock Inflow'!$E$2:$E$601,'Stock Inflow'!$A$2:$A$601,$A252,'Stock Inflow'!$D$2:$D$601,$D252)</f>
        <v>1</v>
      </c>
      <c r="H252" s="19">
        <f>SUMIFS('Stock Outflow'!$F$2:$F$601,'Stock Outflow'!$A$2:$A$601,$A252,'Stock Outflow'!$D$2:$D$601,$D252)</f>
        <v>83</v>
      </c>
      <c r="I252" s="19">
        <f>SUMIFS('Stock Outflow'!$E$2:$E$601,'Stock Outflow'!$A$2:$A$601,$A252,'Stock Outflow'!$D$2:$D$601,$D252)</f>
        <v>3</v>
      </c>
      <c r="J252" s="19">
        <f t="shared" si="18"/>
        <v>453</v>
      </c>
      <c r="K252" s="20">
        <f>INDEX('Item Master'!$F$2:$F$51,MATCH($A252,'Item Master'!$A$2:$A$51,0))</f>
        <v>350</v>
      </c>
      <c r="L252" s="20">
        <f t="shared" si="19"/>
        <v>29050</v>
      </c>
      <c r="M252" s="21">
        <f t="shared" si="20"/>
        <v>2.7666666666666666</v>
      </c>
      <c r="N252" s="19">
        <f>INDEX('Item Master'!$E$2:$E$51,MATCH($A252,'Item Master'!$A$2:$A$51,0))</f>
        <v>5</v>
      </c>
      <c r="O252" s="22">
        <f>INDEX('Product Summary'!$L$2:$L$51,MATCH($A252,'Product Summary'!$A$2:$A$51,0))</f>
        <v>6.8472222222222214</v>
      </c>
      <c r="P252" s="22">
        <f>INDEX('Product Summary'!$M$2:$M$51,MATCH($A252,'Product Summary'!$A$2:$A$51,0))</f>
        <v>20.970509893455098</v>
      </c>
      <c r="Q252" s="22">
        <f t="shared" si="21"/>
        <v>163.73493975903614</v>
      </c>
      <c r="R252" s="22">
        <f t="shared" si="22"/>
        <v>156.15523738790782</v>
      </c>
      <c r="S252" s="19" t="str">
        <f t="shared" si="23"/>
        <v>OVERSTOCK</v>
      </c>
    </row>
    <row r="253" spans="1:19" x14ac:dyDescent="0.3">
      <c r="A253" s="19" t="s">
        <v>112</v>
      </c>
      <c r="B253" s="19" t="s">
        <v>113</v>
      </c>
      <c r="C253" s="19" t="s">
        <v>34</v>
      </c>
      <c r="D253" s="19" t="s">
        <v>49</v>
      </c>
      <c r="E253" s="19">
        <f>SUMIFS('Stock Inflow'!$G$2:$G$601,'Stock Inflow'!$A$2:$A$601,$A253,'Stock Inflow'!$D$2:$D$601,$D253)</f>
        <v>453</v>
      </c>
      <c r="F253" s="19">
        <f>SUMIFS('Stock Inflow'!$F$2:$F$601,'Stock Inflow'!$A$2:$A$601,$A253,'Stock Inflow'!$D$2:$D$601,$D253)</f>
        <v>91</v>
      </c>
      <c r="G253" s="19">
        <f>SUMIFS('Stock Inflow'!$E$2:$E$601,'Stock Inflow'!$A$2:$A$601,$A253,'Stock Inflow'!$D$2:$D$601,$D253)</f>
        <v>1</v>
      </c>
      <c r="H253" s="19">
        <f>SUMIFS('Stock Outflow'!$F$2:$F$601,'Stock Outflow'!$A$2:$A$601,$A253,'Stock Outflow'!$D$2:$D$601,$D253)</f>
        <v>85</v>
      </c>
      <c r="I253" s="19">
        <f>SUMIFS('Stock Outflow'!$E$2:$E$601,'Stock Outflow'!$A$2:$A$601,$A253,'Stock Outflow'!$D$2:$D$601,$D253)</f>
        <v>2</v>
      </c>
      <c r="J253" s="19">
        <f t="shared" si="18"/>
        <v>458</v>
      </c>
      <c r="K253" s="20">
        <f>INDEX('Item Master'!$F$2:$F$51,MATCH($A253,'Item Master'!$A$2:$A$51,0))</f>
        <v>350</v>
      </c>
      <c r="L253" s="20">
        <f t="shared" si="19"/>
        <v>29750</v>
      </c>
      <c r="M253" s="21">
        <f t="shared" si="20"/>
        <v>2.8333333333333335</v>
      </c>
      <c r="N253" s="19">
        <f>INDEX('Item Master'!$E$2:$E$51,MATCH($A253,'Item Master'!$A$2:$A$51,0))</f>
        <v>5</v>
      </c>
      <c r="O253" s="22">
        <f>INDEX('Product Summary'!$L$2:$L$51,MATCH($A253,'Product Summary'!$A$2:$A$51,0))</f>
        <v>6.8472222222222214</v>
      </c>
      <c r="P253" s="22">
        <f>INDEX('Product Summary'!$M$2:$M$51,MATCH($A253,'Product Summary'!$A$2:$A$51,0))</f>
        <v>20.970509893455098</v>
      </c>
      <c r="Q253" s="22">
        <f t="shared" si="21"/>
        <v>161.64705882352939</v>
      </c>
      <c r="R253" s="22">
        <f t="shared" si="22"/>
        <v>154.24570239054526</v>
      </c>
      <c r="S253" s="19" t="str">
        <f t="shared" si="23"/>
        <v>OVERSTOCK</v>
      </c>
    </row>
    <row r="254" spans="1:19" x14ac:dyDescent="0.3">
      <c r="A254" s="19" t="s">
        <v>114</v>
      </c>
      <c r="B254" s="19" t="s">
        <v>115</v>
      </c>
      <c r="C254" s="19" t="s">
        <v>34</v>
      </c>
      <c r="D254" s="19" t="s">
        <v>27</v>
      </c>
      <c r="E254" s="19">
        <f>SUMIFS('Stock Inflow'!$G$2:$G$601,'Stock Inflow'!$A$2:$A$601,$A254,'Stock Inflow'!$D$2:$D$601,$D254)</f>
        <v>121</v>
      </c>
      <c r="F254" s="19">
        <f>SUMIFS('Stock Inflow'!$F$2:$F$601,'Stock Inflow'!$A$2:$A$601,$A254,'Stock Inflow'!$D$2:$D$601,$D254)</f>
        <v>54</v>
      </c>
      <c r="G254" s="19">
        <f>SUMIFS('Stock Inflow'!$E$2:$E$601,'Stock Inflow'!$A$2:$A$601,$A254,'Stock Inflow'!$D$2:$D$601,$D254)</f>
        <v>1</v>
      </c>
      <c r="H254" s="19">
        <f>SUMIFS('Stock Outflow'!$F$2:$F$601,'Stock Outflow'!$A$2:$A$601,$A254,'Stock Outflow'!$D$2:$D$601,$D254)</f>
        <v>56</v>
      </c>
      <c r="I254" s="19">
        <f>SUMIFS('Stock Outflow'!$E$2:$E$601,'Stock Outflow'!$A$2:$A$601,$A254,'Stock Outflow'!$D$2:$D$601,$D254)</f>
        <v>1</v>
      </c>
      <c r="J254" s="19">
        <f t="shared" si="18"/>
        <v>119</v>
      </c>
      <c r="K254" s="20">
        <f>INDEX('Item Master'!$F$2:$F$51,MATCH($A254,'Item Master'!$A$2:$A$51,0))</f>
        <v>450</v>
      </c>
      <c r="L254" s="20">
        <f t="shared" si="19"/>
        <v>25200</v>
      </c>
      <c r="M254" s="21">
        <f t="shared" si="20"/>
        <v>1.8666666666666667</v>
      </c>
      <c r="N254" s="19">
        <f>INDEX('Item Master'!$E$2:$E$51,MATCH($A254,'Item Master'!$A$2:$A$51,0))</f>
        <v>10</v>
      </c>
      <c r="O254" s="22">
        <f>INDEX('Product Summary'!$L$2:$L$51,MATCH($A254,'Product Summary'!$A$2:$A$51,0))</f>
        <v>14.416666666666666</v>
      </c>
      <c r="P254" s="22">
        <f>INDEX('Product Summary'!$M$2:$M$51,MATCH($A254,'Product Summary'!$A$2:$A$51,0))</f>
        <v>35.375570776255707</v>
      </c>
      <c r="Q254" s="22">
        <f t="shared" si="21"/>
        <v>63.75</v>
      </c>
      <c r="R254" s="22">
        <f t="shared" si="22"/>
        <v>44.798801369863014</v>
      </c>
      <c r="S254" s="19" t="str">
        <f t="shared" si="23"/>
        <v>HEALTHY</v>
      </c>
    </row>
    <row r="255" spans="1:19" x14ac:dyDescent="0.3">
      <c r="A255" s="19" t="s">
        <v>114</v>
      </c>
      <c r="B255" s="19" t="s">
        <v>115</v>
      </c>
      <c r="C255" s="19" t="s">
        <v>34</v>
      </c>
      <c r="D255" s="19" t="s">
        <v>29</v>
      </c>
      <c r="E255" s="19">
        <f>SUMIFS('Stock Inflow'!$G$2:$G$601,'Stock Inflow'!$A$2:$A$601,$A255,'Stock Inflow'!$D$2:$D$601,$D255)</f>
        <v>119</v>
      </c>
      <c r="F255" s="19">
        <f>SUMIFS('Stock Inflow'!$F$2:$F$601,'Stock Inflow'!$A$2:$A$601,$A255,'Stock Inflow'!$D$2:$D$601,$D255)</f>
        <v>72</v>
      </c>
      <c r="G255" s="19">
        <f>SUMIFS('Stock Inflow'!$E$2:$E$601,'Stock Inflow'!$A$2:$A$601,$A255,'Stock Inflow'!$D$2:$D$601,$D255)</f>
        <v>1</v>
      </c>
      <c r="H255" s="19">
        <f>SUMIFS('Stock Outflow'!$F$2:$F$601,'Stock Outflow'!$A$2:$A$601,$A255,'Stock Outflow'!$D$2:$D$601,$D255)</f>
        <v>61</v>
      </c>
      <c r="I255" s="19">
        <f>SUMIFS('Stock Outflow'!$E$2:$E$601,'Stock Outflow'!$A$2:$A$601,$A255,'Stock Outflow'!$D$2:$D$601,$D255)</f>
        <v>1</v>
      </c>
      <c r="J255" s="19">
        <f t="shared" si="18"/>
        <v>130</v>
      </c>
      <c r="K255" s="20">
        <f>INDEX('Item Master'!$F$2:$F$51,MATCH($A255,'Item Master'!$A$2:$A$51,0))</f>
        <v>450</v>
      </c>
      <c r="L255" s="20">
        <f t="shared" si="19"/>
        <v>27450</v>
      </c>
      <c r="M255" s="21">
        <f t="shared" si="20"/>
        <v>2.0333333333333332</v>
      </c>
      <c r="N255" s="19">
        <f>INDEX('Item Master'!$E$2:$E$51,MATCH($A255,'Item Master'!$A$2:$A$51,0))</f>
        <v>10</v>
      </c>
      <c r="O255" s="22">
        <f>INDEX('Product Summary'!$L$2:$L$51,MATCH($A255,'Product Summary'!$A$2:$A$51,0))</f>
        <v>14.416666666666666</v>
      </c>
      <c r="P255" s="22">
        <f>INDEX('Product Summary'!$M$2:$M$51,MATCH($A255,'Product Summary'!$A$2:$A$51,0))</f>
        <v>35.375570776255707</v>
      </c>
      <c r="Q255" s="22">
        <f t="shared" si="21"/>
        <v>63.934426229508198</v>
      </c>
      <c r="R255" s="22">
        <f t="shared" si="22"/>
        <v>46.536604536267689</v>
      </c>
      <c r="S255" s="19" t="str">
        <f t="shared" si="23"/>
        <v>HEALTHY</v>
      </c>
    </row>
    <row r="256" spans="1:19" x14ac:dyDescent="0.3">
      <c r="A256" s="19" t="s">
        <v>114</v>
      </c>
      <c r="B256" s="19" t="s">
        <v>115</v>
      </c>
      <c r="C256" s="19" t="s">
        <v>34</v>
      </c>
      <c r="D256" s="19" t="s">
        <v>31</v>
      </c>
      <c r="E256" s="19">
        <f>SUMIFS('Stock Inflow'!$G$2:$G$601,'Stock Inflow'!$A$2:$A$601,$A256,'Stock Inflow'!$D$2:$D$601,$D256)</f>
        <v>130</v>
      </c>
      <c r="F256" s="19">
        <f>SUMIFS('Stock Inflow'!$F$2:$F$601,'Stock Inflow'!$A$2:$A$601,$A256,'Stock Inflow'!$D$2:$D$601,$D256)</f>
        <v>61</v>
      </c>
      <c r="G256" s="19">
        <f>SUMIFS('Stock Inflow'!$E$2:$E$601,'Stock Inflow'!$A$2:$A$601,$A256,'Stock Inflow'!$D$2:$D$601,$D256)</f>
        <v>1</v>
      </c>
      <c r="H256" s="19">
        <f>SUMIFS('Stock Outflow'!$F$2:$F$601,'Stock Outflow'!$A$2:$A$601,$A256,'Stock Outflow'!$D$2:$D$601,$D256)</f>
        <v>55</v>
      </c>
      <c r="I256" s="19">
        <f>SUMIFS('Stock Outflow'!$E$2:$E$601,'Stock Outflow'!$A$2:$A$601,$A256,'Stock Outflow'!$D$2:$D$601,$D256)</f>
        <v>1</v>
      </c>
      <c r="J256" s="19">
        <f t="shared" si="18"/>
        <v>136</v>
      </c>
      <c r="K256" s="20">
        <f>INDEX('Item Master'!$F$2:$F$51,MATCH($A256,'Item Master'!$A$2:$A$51,0))</f>
        <v>450</v>
      </c>
      <c r="L256" s="20">
        <f t="shared" si="19"/>
        <v>24750</v>
      </c>
      <c r="M256" s="21">
        <f t="shared" si="20"/>
        <v>1.8333333333333333</v>
      </c>
      <c r="N256" s="19">
        <f>INDEX('Item Master'!$E$2:$E$51,MATCH($A256,'Item Master'!$A$2:$A$51,0))</f>
        <v>10</v>
      </c>
      <c r="O256" s="22">
        <f>INDEX('Product Summary'!$L$2:$L$51,MATCH($A256,'Product Summary'!$A$2:$A$51,0))</f>
        <v>14.416666666666666</v>
      </c>
      <c r="P256" s="22">
        <f>INDEX('Product Summary'!$M$2:$M$51,MATCH($A256,'Product Summary'!$A$2:$A$51,0))</f>
        <v>35.375570776255707</v>
      </c>
      <c r="Q256" s="22">
        <f t="shared" si="21"/>
        <v>74.181818181818187</v>
      </c>
      <c r="R256" s="22">
        <f t="shared" si="22"/>
        <v>54.886052303860531</v>
      </c>
      <c r="S256" s="19" t="str">
        <f t="shared" si="23"/>
        <v>HEALTHY</v>
      </c>
    </row>
    <row r="257" spans="1:19" x14ac:dyDescent="0.3">
      <c r="A257" s="19" t="s">
        <v>114</v>
      </c>
      <c r="B257" s="19" t="s">
        <v>115</v>
      </c>
      <c r="C257" s="19" t="s">
        <v>34</v>
      </c>
      <c r="D257" s="19" t="s">
        <v>33</v>
      </c>
      <c r="E257" s="19">
        <f>SUMIFS('Stock Inflow'!$G$2:$G$601,'Stock Inflow'!$A$2:$A$601,$A257,'Stock Inflow'!$D$2:$D$601,$D257)</f>
        <v>136</v>
      </c>
      <c r="F257" s="19">
        <f>SUMIFS('Stock Inflow'!$F$2:$F$601,'Stock Inflow'!$A$2:$A$601,$A257,'Stock Inflow'!$D$2:$D$601,$D257)</f>
        <v>60</v>
      </c>
      <c r="G257" s="19">
        <f>SUMIFS('Stock Inflow'!$E$2:$E$601,'Stock Inflow'!$A$2:$A$601,$A257,'Stock Inflow'!$D$2:$D$601,$D257)</f>
        <v>2</v>
      </c>
      <c r="H257" s="19">
        <f>SUMIFS('Stock Outflow'!$F$2:$F$601,'Stock Outflow'!$A$2:$A$601,$A257,'Stock Outflow'!$D$2:$D$601,$D257)</f>
        <v>52</v>
      </c>
      <c r="I257" s="19">
        <f>SUMIFS('Stock Outflow'!$E$2:$E$601,'Stock Outflow'!$A$2:$A$601,$A257,'Stock Outflow'!$D$2:$D$601,$D257)</f>
        <v>1</v>
      </c>
      <c r="J257" s="19">
        <f t="shared" si="18"/>
        <v>145</v>
      </c>
      <c r="K257" s="20">
        <f>INDEX('Item Master'!$F$2:$F$51,MATCH($A257,'Item Master'!$A$2:$A$51,0))</f>
        <v>450</v>
      </c>
      <c r="L257" s="20">
        <f t="shared" si="19"/>
        <v>23400</v>
      </c>
      <c r="M257" s="21">
        <f t="shared" si="20"/>
        <v>1.7333333333333334</v>
      </c>
      <c r="N257" s="19">
        <f>INDEX('Item Master'!$E$2:$E$51,MATCH($A257,'Item Master'!$A$2:$A$51,0))</f>
        <v>10</v>
      </c>
      <c r="O257" s="22">
        <f>INDEX('Product Summary'!$L$2:$L$51,MATCH($A257,'Product Summary'!$A$2:$A$51,0))</f>
        <v>14.416666666666666</v>
      </c>
      <c r="P257" s="22">
        <f>INDEX('Product Summary'!$M$2:$M$51,MATCH($A257,'Product Summary'!$A$2:$A$51,0))</f>
        <v>35.375570776255707</v>
      </c>
      <c r="Q257" s="22">
        <f t="shared" si="21"/>
        <v>83.653846153846146</v>
      </c>
      <c r="R257" s="22">
        <f t="shared" si="22"/>
        <v>63.244863013698634</v>
      </c>
      <c r="S257" s="19" t="str">
        <f t="shared" si="23"/>
        <v>HEALTHY</v>
      </c>
    </row>
    <row r="258" spans="1:19" x14ac:dyDescent="0.3">
      <c r="A258" s="19" t="s">
        <v>114</v>
      </c>
      <c r="B258" s="19" t="s">
        <v>115</v>
      </c>
      <c r="C258" s="19" t="s">
        <v>34</v>
      </c>
      <c r="D258" s="19" t="s">
        <v>35</v>
      </c>
      <c r="E258" s="19">
        <f>SUMIFS('Stock Inflow'!$G$2:$G$601,'Stock Inflow'!$A$2:$A$601,$A258,'Stock Inflow'!$D$2:$D$601,$D258)</f>
        <v>145</v>
      </c>
      <c r="F258" s="19">
        <f>SUMIFS('Stock Inflow'!$F$2:$F$601,'Stock Inflow'!$A$2:$A$601,$A258,'Stock Inflow'!$D$2:$D$601,$D258)</f>
        <v>70</v>
      </c>
      <c r="G258" s="19">
        <f>SUMIFS('Stock Inflow'!$E$2:$E$601,'Stock Inflow'!$A$2:$A$601,$A258,'Stock Inflow'!$D$2:$D$601,$D258)</f>
        <v>2</v>
      </c>
      <c r="H258" s="19">
        <f>SUMIFS('Stock Outflow'!$F$2:$F$601,'Stock Outflow'!$A$2:$A$601,$A258,'Stock Outflow'!$D$2:$D$601,$D258)</f>
        <v>65</v>
      </c>
      <c r="I258" s="19">
        <f>SUMIFS('Stock Outflow'!$E$2:$E$601,'Stock Outflow'!$A$2:$A$601,$A258,'Stock Outflow'!$D$2:$D$601,$D258)</f>
        <v>1</v>
      </c>
      <c r="J258" s="19">
        <f t="shared" ref="J258:J321" si="24">E258+F258+G258-H258-I258</f>
        <v>151</v>
      </c>
      <c r="K258" s="20">
        <f>INDEX('Item Master'!$F$2:$F$51,MATCH($A258,'Item Master'!$A$2:$A$51,0))</f>
        <v>450</v>
      </c>
      <c r="L258" s="20">
        <f t="shared" ref="L258:L321" si="25">H258*K258</f>
        <v>29250</v>
      </c>
      <c r="M258" s="21">
        <f t="shared" ref="M258:M321" si="26">H258/30</f>
        <v>2.1666666666666665</v>
      </c>
      <c r="N258" s="19">
        <f>INDEX('Item Master'!$E$2:$E$51,MATCH($A258,'Item Master'!$A$2:$A$51,0))</f>
        <v>10</v>
      </c>
      <c r="O258" s="22">
        <f>INDEX('Product Summary'!$L$2:$L$51,MATCH($A258,'Product Summary'!$A$2:$A$51,0))</f>
        <v>14.416666666666666</v>
      </c>
      <c r="P258" s="22">
        <f>INDEX('Product Summary'!$M$2:$M$51,MATCH($A258,'Product Summary'!$A$2:$A$51,0))</f>
        <v>35.375570776255707</v>
      </c>
      <c r="Q258" s="22">
        <f t="shared" ref="Q258:Q321" si="27">IF(M258=0,"",J258/M258)</f>
        <v>69.692307692307693</v>
      </c>
      <c r="R258" s="22">
        <f t="shared" ref="R258:R321" si="28">IF(M258=0,"",IF(J258&lt;=P258,0,(J258-P258)/M258))</f>
        <v>53.365121180189682</v>
      </c>
      <c r="S258" s="19" t="str">
        <f t="shared" ref="S258:S321" si="29">IF(J258&lt;=P258,"REORDER NOW",IF(IFERROR(Q258,0)&gt;150,"OVERSTOCK","HEALTHY"))</f>
        <v>HEALTHY</v>
      </c>
    </row>
    <row r="259" spans="1:19" x14ac:dyDescent="0.3">
      <c r="A259" s="19" t="s">
        <v>114</v>
      </c>
      <c r="B259" s="19" t="s">
        <v>115</v>
      </c>
      <c r="C259" s="19" t="s">
        <v>34</v>
      </c>
      <c r="D259" s="19" t="s">
        <v>37</v>
      </c>
      <c r="E259" s="19">
        <f>SUMIFS('Stock Inflow'!$G$2:$G$601,'Stock Inflow'!$A$2:$A$601,$A259,'Stock Inflow'!$D$2:$D$601,$D259)</f>
        <v>151</v>
      </c>
      <c r="F259" s="19">
        <f>SUMIFS('Stock Inflow'!$F$2:$F$601,'Stock Inflow'!$A$2:$A$601,$A259,'Stock Inflow'!$D$2:$D$601,$D259)</f>
        <v>69</v>
      </c>
      <c r="G259" s="19">
        <f>SUMIFS('Stock Inflow'!$E$2:$E$601,'Stock Inflow'!$A$2:$A$601,$A259,'Stock Inflow'!$D$2:$D$601,$D259)</f>
        <v>2</v>
      </c>
      <c r="H259" s="19">
        <f>SUMIFS('Stock Outflow'!$F$2:$F$601,'Stock Outflow'!$A$2:$A$601,$A259,'Stock Outflow'!$D$2:$D$601,$D259)</f>
        <v>65</v>
      </c>
      <c r="I259" s="19">
        <f>SUMIFS('Stock Outflow'!$E$2:$E$601,'Stock Outflow'!$A$2:$A$601,$A259,'Stock Outflow'!$D$2:$D$601,$D259)</f>
        <v>1</v>
      </c>
      <c r="J259" s="19">
        <f t="shared" si="24"/>
        <v>156</v>
      </c>
      <c r="K259" s="20">
        <f>INDEX('Item Master'!$F$2:$F$51,MATCH($A259,'Item Master'!$A$2:$A$51,0))</f>
        <v>450</v>
      </c>
      <c r="L259" s="20">
        <f t="shared" si="25"/>
        <v>29250</v>
      </c>
      <c r="M259" s="21">
        <f t="shared" si="26"/>
        <v>2.1666666666666665</v>
      </c>
      <c r="N259" s="19">
        <f>INDEX('Item Master'!$E$2:$E$51,MATCH($A259,'Item Master'!$A$2:$A$51,0))</f>
        <v>10</v>
      </c>
      <c r="O259" s="22">
        <f>INDEX('Product Summary'!$L$2:$L$51,MATCH($A259,'Product Summary'!$A$2:$A$51,0))</f>
        <v>14.416666666666666</v>
      </c>
      <c r="P259" s="22">
        <f>INDEX('Product Summary'!$M$2:$M$51,MATCH($A259,'Product Summary'!$A$2:$A$51,0))</f>
        <v>35.375570776255707</v>
      </c>
      <c r="Q259" s="22">
        <f t="shared" si="27"/>
        <v>72</v>
      </c>
      <c r="R259" s="22">
        <f t="shared" si="28"/>
        <v>55.672813487881989</v>
      </c>
      <c r="S259" s="19" t="str">
        <f t="shared" si="29"/>
        <v>HEALTHY</v>
      </c>
    </row>
    <row r="260" spans="1:19" x14ac:dyDescent="0.3">
      <c r="A260" s="19" t="s">
        <v>114</v>
      </c>
      <c r="B260" s="19" t="s">
        <v>115</v>
      </c>
      <c r="C260" s="19" t="s">
        <v>34</v>
      </c>
      <c r="D260" s="19" t="s">
        <v>39</v>
      </c>
      <c r="E260" s="19">
        <f>SUMIFS('Stock Inflow'!$G$2:$G$601,'Stock Inflow'!$A$2:$A$601,$A260,'Stock Inflow'!$D$2:$D$601,$D260)</f>
        <v>156</v>
      </c>
      <c r="F260" s="19">
        <f>SUMIFS('Stock Inflow'!$F$2:$F$601,'Stock Inflow'!$A$2:$A$601,$A260,'Stock Inflow'!$D$2:$D$601,$D260)</f>
        <v>56</v>
      </c>
      <c r="G260" s="19">
        <f>SUMIFS('Stock Inflow'!$E$2:$E$601,'Stock Inflow'!$A$2:$A$601,$A260,'Stock Inflow'!$D$2:$D$601,$D260)</f>
        <v>2</v>
      </c>
      <c r="H260" s="19">
        <f>SUMIFS('Stock Outflow'!$F$2:$F$601,'Stock Outflow'!$A$2:$A$601,$A260,'Stock Outflow'!$D$2:$D$601,$D260)</f>
        <v>56</v>
      </c>
      <c r="I260" s="19">
        <f>SUMIFS('Stock Outflow'!$E$2:$E$601,'Stock Outflow'!$A$2:$A$601,$A260,'Stock Outflow'!$D$2:$D$601,$D260)</f>
        <v>1</v>
      </c>
      <c r="J260" s="19">
        <f t="shared" si="24"/>
        <v>157</v>
      </c>
      <c r="K260" s="20">
        <f>INDEX('Item Master'!$F$2:$F$51,MATCH($A260,'Item Master'!$A$2:$A$51,0))</f>
        <v>450</v>
      </c>
      <c r="L260" s="20">
        <f t="shared" si="25"/>
        <v>25200</v>
      </c>
      <c r="M260" s="21">
        <f t="shared" si="26"/>
        <v>1.8666666666666667</v>
      </c>
      <c r="N260" s="19">
        <f>INDEX('Item Master'!$E$2:$E$51,MATCH($A260,'Item Master'!$A$2:$A$51,0))</f>
        <v>10</v>
      </c>
      <c r="O260" s="22">
        <f>INDEX('Product Summary'!$L$2:$L$51,MATCH($A260,'Product Summary'!$A$2:$A$51,0))</f>
        <v>14.416666666666666</v>
      </c>
      <c r="P260" s="22">
        <f>INDEX('Product Summary'!$M$2:$M$51,MATCH($A260,'Product Summary'!$A$2:$A$51,0))</f>
        <v>35.375570776255707</v>
      </c>
      <c r="Q260" s="22">
        <f t="shared" si="27"/>
        <v>84.107142857142861</v>
      </c>
      <c r="R260" s="22">
        <f t="shared" si="28"/>
        <v>65.155944227005875</v>
      </c>
      <c r="S260" s="19" t="str">
        <f t="shared" si="29"/>
        <v>HEALTHY</v>
      </c>
    </row>
    <row r="261" spans="1:19" x14ac:dyDescent="0.3">
      <c r="A261" s="19" t="s">
        <v>114</v>
      </c>
      <c r="B261" s="19" t="s">
        <v>115</v>
      </c>
      <c r="C261" s="19" t="s">
        <v>34</v>
      </c>
      <c r="D261" s="19" t="s">
        <v>41</v>
      </c>
      <c r="E261" s="19">
        <f>SUMIFS('Stock Inflow'!$G$2:$G$601,'Stock Inflow'!$A$2:$A$601,$A261,'Stock Inflow'!$D$2:$D$601,$D261)</f>
        <v>157</v>
      </c>
      <c r="F261" s="19">
        <f>SUMIFS('Stock Inflow'!$F$2:$F$601,'Stock Inflow'!$A$2:$A$601,$A261,'Stock Inflow'!$D$2:$D$601,$D261)</f>
        <v>55</v>
      </c>
      <c r="G261" s="19">
        <f>SUMIFS('Stock Inflow'!$E$2:$E$601,'Stock Inflow'!$A$2:$A$601,$A261,'Stock Inflow'!$D$2:$D$601,$D261)</f>
        <v>1</v>
      </c>
      <c r="H261" s="19">
        <f>SUMIFS('Stock Outflow'!$F$2:$F$601,'Stock Outflow'!$A$2:$A$601,$A261,'Stock Outflow'!$D$2:$D$601,$D261)</f>
        <v>59</v>
      </c>
      <c r="I261" s="19">
        <f>SUMIFS('Stock Outflow'!$E$2:$E$601,'Stock Outflow'!$A$2:$A$601,$A261,'Stock Outflow'!$D$2:$D$601,$D261)</f>
        <v>1</v>
      </c>
      <c r="J261" s="19">
        <f t="shared" si="24"/>
        <v>153</v>
      </c>
      <c r="K261" s="20">
        <f>INDEX('Item Master'!$F$2:$F$51,MATCH($A261,'Item Master'!$A$2:$A$51,0))</f>
        <v>450</v>
      </c>
      <c r="L261" s="20">
        <f t="shared" si="25"/>
        <v>26550</v>
      </c>
      <c r="M261" s="21">
        <f t="shared" si="26"/>
        <v>1.9666666666666666</v>
      </c>
      <c r="N261" s="19">
        <f>INDEX('Item Master'!$E$2:$E$51,MATCH($A261,'Item Master'!$A$2:$A$51,0))</f>
        <v>10</v>
      </c>
      <c r="O261" s="22">
        <f>INDEX('Product Summary'!$L$2:$L$51,MATCH($A261,'Product Summary'!$A$2:$A$51,0))</f>
        <v>14.416666666666666</v>
      </c>
      <c r="P261" s="22">
        <f>INDEX('Product Summary'!$M$2:$M$51,MATCH($A261,'Product Summary'!$A$2:$A$51,0))</f>
        <v>35.375570776255707</v>
      </c>
      <c r="Q261" s="22">
        <f t="shared" si="27"/>
        <v>77.79661016949153</v>
      </c>
      <c r="R261" s="22">
        <f t="shared" si="28"/>
        <v>59.809031808683542</v>
      </c>
      <c r="S261" s="19" t="str">
        <f t="shared" si="29"/>
        <v>HEALTHY</v>
      </c>
    </row>
    <row r="262" spans="1:19" x14ac:dyDescent="0.3">
      <c r="A262" s="19" t="s">
        <v>114</v>
      </c>
      <c r="B262" s="19" t="s">
        <v>115</v>
      </c>
      <c r="C262" s="19" t="s">
        <v>34</v>
      </c>
      <c r="D262" s="19" t="s">
        <v>43</v>
      </c>
      <c r="E262" s="19">
        <f>SUMIFS('Stock Inflow'!$G$2:$G$601,'Stock Inflow'!$A$2:$A$601,$A262,'Stock Inflow'!$D$2:$D$601,$D262)</f>
        <v>153</v>
      </c>
      <c r="F262" s="19">
        <f>SUMIFS('Stock Inflow'!$F$2:$F$601,'Stock Inflow'!$A$2:$A$601,$A262,'Stock Inflow'!$D$2:$D$601,$D262)</f>
        <v>66</v>
      </c>
      <c r="G262" s="19">
        <f>SUMIFS('Stock Inflow'!$E$2:$E$601,'Stock Inflow'!$A$2:$A$601,$A262,'Stock Inflow'!$D$2:$D$601,$D262)</f>
        <v>1</v>
      </c>
      <c r="H262" s="19">
        <f>SUMIFS('Stock Outflow'!$F$2:$F$601,'Stock Outflow'!$A$2:$A$601,$A262,'Stock Outflow'!$D$2:$D$601,$D262)</f>
        <v>63</v>
      </c>
      <c r="I262" s="19">
        <f>SUMIFS('Stock Outflow'!$E$2:$E$601,'Stock Outflow'!$A$2:$A$601,$A262,'Stock Outflow'!$D$2:$D$601,$D262)</f>
        <v>0</v>
      </c>
      <c r="J262" s="19">
        <f t="shared" si="24"/>
        <v>157</v>
      </c>
      <c r="K262" s="20">
        <f>INDEX('Item Master'!$F$2:$F$51,MATCH($A262,'Item Master'!$A$2:$A$51,0))</f>
        <v>450</v>
      </c>
      <c r="L262" s="20">
        <f t="shared" si="25"/>
        <v>28350</v>
      </c>
      <c r="M262" s="21">
        <f t="shared" si="26"/>
        <v>2.1</v>
      </c>
      <c r="N262" s="19">
        <f>INDEX('Item Master'!$E$2:$E$51,MATCH($A262,'Item Master'!$A$2:$A$51,0))</f>
        <v>10</v>
      </c>
      <c r="O262" s="22">
        <f>INDEX('Product Summary'!$L$2:$L$51,MATCH($A262,'Product Summary'!$A$2:$A$51,0))</f>
        <v>14.416666666666666</v>
      </c>
      <c r="P262" s="22">
        <f>INDEX('Product Summary'!$M$2:$M$51,MATCH($A262,'Product Summary'!$A$2:$A$51,0))</f>
        <v>35.375570776255707</v>
      </c>
      <c r="Q262" s="22">
        <f t="shared" si="27"/>
        <v>74.761904761904759</v>
      </c>
      <c r="R262" s="22">
        <f t="shared" si="28"/>
        <v>57.916394868449665</v>
      </c>
      <c r="S262" s="19" t="str">
        <f t="shared" si="29"/>
        <v>HEALTHY</v>
      </c>
    </row>
    <row r="263" spans="1:19" x14ac:dyDescent="0.3">
      <c r="A263" s="19" t="s">
        <v>114</v>
      </c>
      <c r="B263" s="19" t="s">
        <v>115</v>
      </c>
      <c r="C263" s="19" t="s">
        <v>34</v>
      </c>
      <c r="D263" s="19" t="s">
        <v>45</v>
      </c>
      <c r="E263" s="19">
        <f>SUMIFS('Stock Inflow'!$G$2:$G$601,'Stock Inflow'!$A$2:$A$601,$A263,'Stock Inflow'!$D$2:$D$601,$D263)</f>
        <v>157</v>
      </c>
      <c r="F263" s="19">
        <f>SUMIFS('Stock Inflow'!$F$2:$F$601,'Stock Inflow'!$A$2:$A$601,$A263,'Stock Inflow'!$D$2:$D$601,$D263)</f>
        <v>120</v>
      </c>
      <c r="G263" s="19">
        <f>SUMIFS('Stock Inflow'!$E$2:$E$601,'Stock Inflow'!$A$2:$A$601,$A263,'Stock Inflow'!$D$2:$D$601,$D263)</f>
        <v>3</v>
      </c>
      <c r="H263" s="19">
        <f>SUMIFS('Stock Outflow'!$F$2:$F$601,'Stock Outflow'!$A$2:$A$601,$A263,'Stock Outflow'!$D$2:$D$601,$D263)</f>
        <v>107</v>
      </c>
      <c r="I263" s="19">
        <f>SUMIFS('Stock Outflow'!$E$2:$E$601,'Stock Outflow'!$A$2:$A$601,$A263,'Stock Outflow'!$D$2:$D$601,$D263)</f>
        <v>1</v>
      </c>
      <c r="J263" s="19">
        <f t="shared" si="24"/>
        <v>172</v>
      </c>
      <c r="K263" s="20">
        <f>INDEX('Item Master'!$F$2:$F$51,MATCH($A263,'Item Master'!$A$2:$A$51,0))</f>
        <v>450</v>
      </c>
      <c r="L263" s="20">
        <f t="shared" si="25"/>
        <v>48150</v>
      </c>
      <c r="M263" s="21">
        <f t="shared" si="26"/>
        <v>3.5666666666666669</v>
      </c>
      <c r="N263" s="19">
        <f>INDEX('Item Master'!$E$2:$E$51,MATCH($A263,'Item Master'!$A$2:$A$51,0))</f>
        <v>10</v>
      </c>
      <c r="O263" s="22">
        <f>INDEX('Product Summary'!$L$2:$L$51,MATCH($A263,'Product Summary'!$A$2:$A$51,0))</f>
        <v>14.416666666666666</v>
      </c>
      <c r="P263" s="22">
        <f>INDEX('Product Summary'!$M$2:$M$51,MATCH($A263,'Product Summary'!$A$2:$A$51,0))</f>
        <v>35.375570776255707</v>
      </c>
      <c r="Q263" s="22">
        <f t="shared" si="27"/>
        <v>48.22429906542056</v>
      </c>
      <c r="R263" s="22">
        <f t="shared" si="28"/>
        <v>38.305914735629244</v>
      </c>
      <c r="S263" s="19" t="str">
        <f t="shared" si="29"/>
        <v>HEALTHY</v>
      </c>
    </row>
    <row r="264" spans="1:19" x14ac:dyDescent="0.3">
      <c r="A264" s="19" t="s">
        <v>114</v>
      </c>
      <c r="B264" s="19" t="s">
        <v>115</v>
      </c>
      <c r="C264" s="19" t="s">
        <v>34</v>
      </c>
      <c r="D264" s="19" t="s">
        <v>47</v>
      </c>
      <c r="E264" s="19">
        <f>SUMIFS('Stock Inflow'!$G$2:$G$601,'Stock Inflow'!$A$2:$A$601,$A264,'Stock Inflow'!$D$2:$D$601,$D264)</f>
        <v>172</v>
      </c>
      <c r="F264" s="19">
        <f>SUMIFS('Stock Inflow'!$F$2:$F$601,'Stock Inflow'!$A$2:$A$601,$A264,'Stock Inflow'!$D$2:$D$601,$D264)</f>
        <v>96</v>
      </c>
      <c r="G264" s="19">
        <f>SUMIFS('Stock Inflow'!$E$2:$E$601,'Stock Inflow'!$A$2:$A$601,$A264,'Stock Inflow'!$D$2:$D$601,$D264)</f>
        <v>2</v>
      </c>
      <c r="H264" s="19">
        <f>SUMIFS('Stock Outflow'!$F$2:$F$601,'Stock Outflow'!$A$2:$A$601,$A264,'Stock Outflow'!$D$2:$D$601,$D264)</f>
        <v>75</v>
      </c>
      <c r="I264" s="19">
        <f>SUMIFS('Stock Outflow'!$E$2:$E$601,'Stock Outflow'!$A$2:$A$601,$A264,'Stock Outflow'!$D$2:$D$601,$D264)</f>
        <v>3</v>
      </c>
      <c r="J264" s="19">
        <f t="shared" si="24"/>
        <v>192</v>
      </c>
      <c r="K264" s="20">
        <f>INDEX('Item Master'!$F$2:$F$51,MATCH($A264,'Item Master'!$A$2:$A$51,0))</f>
        <v>450</v>
      </c>
      <c r="L264" s="20">
        <f t="shared" si="25"/>
        <v>33750</v>
      </c>
      <c r="M264" s="21">
        <f t="shared" si="26"/>
        <v>2.5</v>
      </c>
      <c r="N264" s="19">
        <f>INDEX('Item Master'!$E$2:$E$51,MATCH($A264,'Item Master'!$A$2:$A$51,0))</f>
        <v>10</v>
      </c>
      <c r="O264" s="22">
        <f>INDEX('Product Summary'!$L$2:$L$51,MATCH($A264,'Product Summary'!$A$2:$A$51,0))</f>
        <v>14.416666666666666</v>
      </c>
      <c r="P264" s="22">
        <f>INDEX('Product Summary'!$M$2:$M$51,MATCH($A264,'Product Summary'!$A$2:$A$51,0))</f>
        <v>35.375570776255707</v>
      </c>
      <c r="Q264" s="22">
        <f t="shared" si="27"/>
        <v>76.8</v>
      </c>
      <c r="R264" s="22">
        <f t="shared" si="28"/>
        <v>62.649771689497719</v>
      </c>
      <c r="S264" s="19" t="str">
        <f t="shared" si="29"/>
        <v>HEALTHY</v>
      </c>
    </row>
    <row r="265" spans="1:19" x14ac:dyDescent="0.3">
      <c r="A265" s="19" t="s">
        <v>114</v>
      </c>
      <c r="B265" s="19" t="s">
        <v>115</v>
      </c>
      <c r="C265" s="19" t="s">
        <v>34</v>
      </c>
      <c r="D265" s="19" t="s">
        <v>49</v>
      </c>
      <c r="E265" s="19">
        <f>SUMIFS('Stock Inflow'!$G$2:$G$601,'Stock Inflow'!$A$2:$A$601,$A265,'Stock Inflow'!$D$2:$D$601,$D265)</f>
        <v>192</v>
      </c>
      <c r="F265" s="19">
        <f>SUMIFS('Stock Inflow'!$F$2:$F$601,'Stock Inflow'!$A$2:$A$601,$A265,'Stock Inflow'!$D$2:$D$601,$D265)</f>
        <v>52</v>
      </c>
      <c r="G265" s="19">
        <f>SUMIFS('Stock Inflow'!$E$2:$E$601,'Stock Inflow'!$A$2:$A$601,$A265,'Stock Inflow'!$D$2:$D$601,$D265)</f>
        <v>1</v>
      </c>
      <c r="H265" s="19">
        <f>SUMIFS('Stock Outflow'!$F$2:$F$601,'Stock Outflow'!$A$2:$A$601,$A265,'Stock Outflow'!$D$2:$D$601,$D265)</f>
        <v>51</v>
      </c>
      <c r="I265" s="19">
        <f>SUMIFS('Stock Outflow'!$E$2:$E$601,'Stock Outflow'!$A$2:$A$601,$A265,'Stock Outflow'!$D$2:$D$601,$D265)</f>
        <v>0</v>
      </c>
      <c r="J265" s="19">
        <f t="shared" si="24"/>
        <v>194</v>
      </c>
      <c r="K265" s="20">
        <f>INDEX('Item Master'!$F$2:$F$51,MATCH($A265,'Item Master'!$A$2:$A$51,0))</f>
        <v>450</v>
      </c>
      <c r="L265" s="20">
        <f t="shared" si="25"/>
        <v>22950</v>
      </c>
      <c r="M265" s="21">
        <f t="shared" si="26"/>
        <v>1.7</v>
      </c>
      <c r="N265" s="19">
        <f>INDEX('Item Master'!$E$2:$E$51,MATCH($A265,'Item Master'!$A$2:$A$51,0))</f>
        <v>10</v>
      </c>
      <c r="O265" s="22">
        <f>INDEX('Product Summary'!$L$2:$L$51,MATCH($A265,'Product Summary'!$A$2:$A$51,0))</f>
        <v>14.416666666666666</v>
      </c>
      <c r="P265" s="22">
        <f>INDEX('Product Summary'!$M$2:$M$51,MATCH($A265,'Product Summary'!$A$2:$A$51,0))</f>
        <v>35.375570776255707</v>
      </c>
      <c r="Q265" s="22">
        <f t="shared" si="27"/>
        <v>114.11764705882354</v>
      </c>
      <c r="R265" s="22">
        <f t="shared" si="28"/>
        <v>93.308487778673125</v>
      </c>
      <c r="S265" s="19" t="str">
        <f t="shared" si="29"/>
        <v>HEALTHY</v>
      </c>
    </row>
    <row r="266" spans="1:19" x14ac:dyDescent="0.3">
      <c r="A266" s="19" t="s">
        <v>116</v>
      </c>
      <c r="B266" s="19" t="s">
        <v>117</v>
      </c>
      <c r="C266" s="19" t="s">
        <v>44</v>
      </c>
      <c r="D266" s="19" t="s">
        <v>27</v>
      </c>
      <c r="E266" s="19">
        <f>SUMIFS('Stock Inflow'!$G$2:$G$601,'Stock Inflow'!$A$2:$A$601,$A266,'Stock Inflow'!$D$2:$D$601,$D266)</f>
        <v>159</v>
      </c>
      <c r="F266" s="19">
        <f>SUMIFS('Stock Inflow'!$F$2:$F$601,'Stock Inflow'!$A$2:$A$601,$A266,'Stock Inflow'!$D$2:$D$601,$D266)</f>
        <v>80</v>
      </c>
      <c r="G266" s="19">
        <f>SUMIFS('Stock Inflow'!$E$2:$E$601,'Stock Inflow'!$A$2:$A$601,$A266,'Stock Inflow'!$D$2:$D$601,$D266)</f>
        <v>1</v>
      </c>
      <c r="H266" s="19">
        <f>SUMIFS('Stock Outflow'!$F$2:$F$601,'Stock Outflow'!$A$2:$A$601,$A266,'Stock Outflow'!$D$2:$D$601,$D266)</f>
        <v>81</v>
      </c>
      <c r="I266" s="19">
        <f>SUMIFS('Stock Outflow'!$E$2:$E$601,'Stock Outflow'!$A$2:$A$601,$A266,'Stock Outflow'!$D$2:$D$601,$D266)</f>
        <v>2</v>
      </c>
      <c r="J266" s="19">
        <f t="shared" si="24"/>
        <v>157</v>
      </c>
      <c r="K266" s="20">
        <f>INDEX('Item Master'!$F$2:$F$51,MATCH($A266,'Item Master'!$A$2:$A$51,0))</f>
        <v>80</v>
      </c>
      <c r="L266" s="20">
        <f t="shared" si="25"/>
        <v>6480</v>
      </c>
      <c r="M266" s="21">
        <f t="shared" si="26"/>
        <v>2.7</v>
      </c>
      <c r="N266" s="19">
        <f>INDEX('Item Master'!$E$2:$E$51,MATCH($A266,'Item Master'!$A$2:$A$51,0))</f>
        <v>14</v>
      </c>
      <c r="O266" s="22">
        <f>INDEX('Product Summary'!$L$2:$L$51,MATCH($A266,'Product Summary'!$A$2:$A$51,0))</f>
        <v>12.52222222222222</v>
      </c>
      <c r="P266" s="22">
        <f>INDEX('Product Summary'!$M$2:$M$51,MATCH($A266,'Product Summary'!$A$2:$A$51,0))</f>
        <v>49.881126331811259</v>
      </c>
      <c r="Q266" s="22">
        <f t="shared" si="27"/>
        <v>58.148148148148145</v>
      </c>
      <c r="R266" s="22">
        <f t="shared" si="28"/>
        <v>39.673656914143976</v>
      </c>
      <c r="S266" s="19" t="str">
        <f t="shared" si="29"/>
        <v>HEALTHY</v>
      </c>
    </row>
    <row r="267" spans="1:19" x14ac:dyDescent="0.3">
      <c r="A267" s="19" t="s">
        <v>116</v>
      </c>
      <c r="B267" s="19" t="s">
        <v>117</v>
      </c>
      <c r="C267" s="19" t="s">
        <v>44</v>
      </c>
      <c r="D267" s="19" t="s">
        <v>29</v>
      </c>
      <c r="E267" s="19">
        <f>SUMIFS('Stock Inflow'!$G$2:$G$601,'Stock Inflow'!$A$2:$A$601,$A267,'Stock Inflow'!$D$2:$D$601,$D267)</f>
        <v>157</v>
      </c>
      <c r="F267" s="19">
        <f>SUMIFS('Stock Inflow'!$F$2:$F$601,'Stock Inflow'!$A$2:$A$601,$A267,'Stock Inflow'!$D$2:$D$601,$D267)</f>
        <v>89</v>
      </c>
      <c r="G267" s="19">
        <f>SUMIFS('Stock Inflow'!$E$2:$E$601,'Stock Inflow'!$A$2:$A$601,$A267,'Stock Inflow'!$D$2:$D$601,$D267)</f>
        <v>2</v>
      </c>
      <c r="H267" s="19">
        <f>SUMIFS('Stock Outflow'!$F$2:$F$601,'Stock Outflow'!$A$2:$A$601,$A267,'Stock Outflow'!$D$2:$D$601,$D267)</f>
        <v>74</v>
      </c>
      <c r="I267" s="19">
        <f>SUMIFS('Stock Outflow'!$E$2:$E$601,'Stock Outflow'!$A$2:$A$601,$A267,'Stock Outflow'!$D$2:$D$601,$D267)</f>
        <v>2</v>
      </c>
      <c r="J267" s="19">
        <f t="shared" si="24"/>
        <v>172</v>
      </c>
      <c r="K267" s="20">
        <f>INDEX('Item Master'!$F$2:$F$51,MATCH($A267,'Item Master'!$A$2:$A$51,0))</f>
        <v>80</v>
      </c>
      <c r="L267" s="20">
        <f t="shared" si="25"/>
        <v>5920</v>
      </c>
      <c r="M267" s="21">
        <f t="shared" si="26"/>
        <v>2.4666666666666668</v>
      </c>
      <c r="N267" s="19">
        <f>INDEX('Item Master'!$E$2:$E$51,MATCH($A267,'Item Master'!$A$2:$A$51,0))</f>
        <v>14</v>
      </c>
      <c r="O267" s="22">
        <f>INDEX('Product Summary'!$L$2:$L$51,MATCH($A267,'Product Summary'!$A$2:$A$51,0))</f>
        <v>12.52222222222222</v>
      </c>
      <c r="P267" s="22">
        <f>INDEX('Product Summary'!$M$2:$M$51,MATCH($A267,'Product Summary'!$A$2:$A$51,0))</f>
        <v>49.881126331811259</v>
      </c>
      <c r="Q267" s="22">
        <f t="shared" si="27"/>
        <v>69.729729729729726</v>
      </c>
      <c r="R267" s="22">
        <f t="shared" si="28"/>
        <v>49.507651487103544</v>
      </c>
      <c r="S267" s="19" t="str">
        <f t="shared" si="29"/>
        <v>HEALTHY</v>
      </c>
    </row>
    <row r="268" spans="1:19" x14ac:dyDescent="0.3">
      <c r="A268" s="19" t="s">
        <v>116</v>
      </c>
      <c r="B268" s="19" t="s">
        <v>117</v>
      </c>
      <c r="C268" s="19" t="s">
        <v>44</v>
      </c>
      <c r="D268" s="19" t="s">
        <v>31</v>
      </c>
      <c r="E268" s="19">
        <f>SUMIFS('Stock Inflow'!$G$2:$G$601,'Stock Inflow'!$A$2:$A$601,$A268,'Stock Inflow'!$D$2:$D$601,$D268)</f>
        <v>172</v>
      </c>
      <c r="F268" s="19">
        <f>SUMIFS('Stock Inflow'!$F$2:$F$601,'Stock Inflow'!$A$2:$A$601,$A268,'Stock Inflow'!$D$2:$D$601,$D268)</f>
        <v>110</v>
      </c>
      <c r="G268" s="19">
        <f>SUMIFS('Stock Inflow'!$E$2:$E$601,'Stock Inflow'!$A$2:$A$601,$A268,'Stock Inflow'!$D$2:$D$601,$D268)</f>
        <v>3</v>
      </c>
      <c r="H268" s="19">
        <f>SUMIFS('Stock Outflow'!$F$2:$F$601,'Stock Outflow'!$A$2:$A$601,$A268,'Stock Outflow'!$D$2:$D$601,$D268)</f>
        <v>85</v>
      </c>
      <c r="I268" s="19">
        <f>SUMIFS('Stock Outflow'!$E$2:$E$601,'Stock Outflow'!$A$2:$A$601,$A268,'Stock Outflow'!$D$2:$D$601,$D268)</f>
        <v>2</v>
      </c>
      <c r="J268" s="19">
        <f t="shared" si="24"/>
        <v>198</v>
      </c>
      <c r="K268" s="20">
        <f>INDEX('Item Master'!$F$2:$F$51,MATCH($A268,'Item Master'!$A$2:$A$51,0))</f>
        <v>80</v>
      </c>
      <c r="L268" s="20">
        <f t="shared" si="25"/>
        <v>6800</v>
      </c>
      <c r="M268" s="21">
        <f t="shared" si="26"/>
        <v>2.8333333333333335</v>
      </c>
      <c r="N268" s="19">
        <f>INDEX('Item Master'!$E$2:$E$51,MATCH($A268,'Item Master'!$A$2:$A$51,0))</f>
        <v>14</v>
      </c>
      <c r="O268" s="22">
        <f>INDEX('Product Summary'!$L$2:$L$51,MATCH($A268,'Product Summary'!$A$2:$A$51,0))</f>
        <v>12.52222222222222</v>
      </c>
      <c r="P268" s="22">
        <f>INDEX('Product Summary'!$M$2:$M$51,MATCH($A268,'Product Summary'!$A$2:$A$51,0))</f>
        <v>49.881126331811259</v>
      </c>
      <c r="Q268" s="22">
        <f t="shared" si="27"/>
        <v>69.882352941176464</v>
      </c>
      <c r="R268" s="22">
        <f t="shared" si="28"/>
        <v>52.277249529948968</v>
      </c>
      <c r="S268" s="19" t="str">
        <f t="shared" si="29"/>
        <v>HEALTHY</v>
      </c>
    </row>
    <row r="269" spans="1:19" x14ac:dyDescent="0.3">
      <c r="A269" s="19" t="s">
        <v>116</v>
      </c>
      <c r="B269" s="19" t="s">
        <v>117</v>
      </c>
      <c r="C269" s="19" t="s">
        <v>44</v>
      </c>
      <c r="D269" s="19" t="s">
        <v>33</v>
      </c>
      <c r="E269" s="19">
        <f>SUMIFS('Stock Inflow'!$G$2:$G$601,'Stock Inflow'!$A$2:$A$601,$A269,'Stock Inflow'!$D$2:$D$601,$D269)</f>
        <v>198</v>
      </c>
      <c r="F269" s="19">
        <f>SUMIFS('Stock Inflow'!$F$2:$F$601,'Stock Inflow'!$A$2:$A$601,$A269,'Stock Inflow'!$D$2:$D$601,$D269)</f>
        <v>73</v>
      </c>
      <c r="G269" s="19">
        <f>SUMIFS('Stock Inflow'!$E$2:$E$601,'Stock Inflow'!$A$2:$A$601,$A269,'Stock Inflow'!$D$2:$D$601,$D269)</f>
        <v>3</v>
      </c>
      <c r="H269" s="19">
        <f>SUMIFS('Stock Outflow'!$F$2:$F$601,'Stock Outflow'!$A$2:$A$601,$A269,'Stock Outflow'!$D$2:$D$601,$D269)</f>
        <v>80</v>
      </c>
      <c r="I269" s="19">
        <f>SUMIFS('Stock Outflow'!$E$2:$E$601,'Stock Outflow'!$A$2:$A$601,$A269,'Stock Outflow'!$D$2:$D$601,$D269)</f>
        <v>2</v>
      </c>
      <c r="J269" s="19">
        <f t="shared" si="24"/>
        <v>192</v>
      </c>
      <c r="K269" s="20">
        <f>INDEX('Item Master'!$F$2:$F$51,MATCH($A269,'Item Master'!$A$2:$A$51,0))</f>
        <v>80</v>
      </c>
      <c r="L269" s="20">
        <f t="shared" si="25"/>
        <v>6400</v>
      </c>
      <c r="M269" s="21">
        <f t="shared" si="26"/>
        <v>2.6666666666666665</v>
      </c>
      <c r="N269" s="19">
        <f>INDEX('Item Master'!$E$2:$E$51,MATCH($A269,'Item Master'!$A$2:$A$51,0))</f>
        <v>14</v>
      </c>
      <c r="O269" s="22">
        <f>INDEX('Product Summary'!$L$2:$L$51,MATCH($A269,'Product Summary'!$A$2:$A$51,0))</f>
        <v>12.52222222222222</v>
      </c>
      <c r="P269" s="22">
        <f>INDEX('Product Summary'!$M$2:$M$51,MATCH($A269,'Product Summary'!$A$2:$A$51,0))</f>
        <v>49.881126331811259</v>
      </c>
      <c r="Q269" s="22">
        <f t="shared" si="27"/>
        <v>72</v>
      </c>
      <c r="R269" s="22">
        <f t="shared" si="28"/>
        <v>53.294577625570781</v>
      </c>
      <c r="S269" s="19" t="str">
        <f t="shared" si="29"/>
        <v>HEALTHY</v>
      </c>
    </row>
    <row r="270" spans="1:19" x14ac:dyDescent="0.3">
      <c r="A270" s="19" t="s">
        <v>116</v>
      </c>
      <c r="B270" s="19" t="s">
        <v>117</v>
      </c>
      <c r="C270" s="19" t="s">
        <v>44</v>
      </c>
      <c r="D270" s="19" t="s">
        <v>35</v>
      </c>
      <c r="E270" s="19">
        <f>SUMIFS('Stock Inflow'!$G$2:$G$601,'Stock Inflow'!$A$2:$A$601,$A270,'Stock Inflow'!$D$2:$D$601,$D270)</f>
        <v>192</v>
      </c>
      <c r="F270" s="19">
        <f>SUMIFS('Stock Inflow'!$F$2:$F$601,'Stock Inflow'!$A$2:$A$601,$A270,'Stock Inflow'!$D$2:$D$601,$D270)</f>
        <v>70</v>
      </c>
      <c r="G270" s="19">
        <f>SUMIFS('Stock Inflow'!$E$2:$E$601,'Stock Inflow'!$A$2:$A$601,$A270,'Stock Inflow'!$D$2:$D$601,$D270)</f>
        <v>2</v>
      </c>
      <c r="H270" s="19">
        <f>SUMIFS('Stock Outflow'!$F$2:$F$601,'Stock Outflow'!$A$2:$A$601,$A270,'Stock Outflow'!$D$2:$D$601,$D270)</f>
        <v>72</v>
      </c>
      <c r="I270" s="19">
        <f>SUMIFS('Stock Outflow'!$E$2:$E$601,'Stock Outflow'!$A$2:$A$601,$A270,'Stock Outflow'!$D$2:$D$601,$D270)</f>
        <v>1</v>
      </c>
      <c r="J270" s="19">
        <f t="shared" si="24"/>
        <v>191</v>
      </c>
      <c r="K270" s="20">
        <f>INDEX('Item Master'!$F$2:$F$51,MATCH($A270,'Item Master'!$A$2:$A$51,0))</f>
        <v>80</v>
      </c>
      <c r="L270" s="20">
        <f t="shared" si="25"/>
        <v>5760</v>
      </c>
      <c r="M270" s="21">
        <f t="shared" si="26"/>
        <v>2.4</v>
      </c>
      <c r="N270" s="19">
        <f>INDEX('Item Master'!$E$2:$E$51,MATCH($A270,'Item Master'!$A$2:$A$51,0))</f>
        <v>14</v>
      </c>
      <c r="O270" s="22">
        <f>INDEX('Product Summary'!$L$2:$L$51,MATCH($A270,'Product Summary'!$A$2:$A$51,0))</f>
        <v>12.52222222222222</v>
      </c>
      <c r="P270" s="22">
        <f>INDEX('Product Summary'!$M$2:$M$51,MATCH($A270,'Product Summary'!$A$2:$A$51,0))</f>
        <v>49.881126331811259</v>
      </c>
      <c r="Q270" s="22">
        <f t="shared" si="27"/>
        <v>79.583333333333343</v>
      </c>
      <c r="R270" s="22">
        <f t="shared" si="28"/>
        <v>58.799530695078644</v>
      </c>
      <c r="S270" s="19" t="str">
        <f t="shared" si="29"/>
        <v>HEALTHY</v>
      </c>
    </row>
    <row r="271" spans="1:19" x14ac:dyDescent="0.3">
      <c r="A271" s="19" t="s">
        <v>116</v>
      </c>
      <c r="B271" s="19" t="s">
        <v>117</v>
      </c>
      <c r="C271" s="19" t="s">
        <v>44</v>
      </c>
      <c r="D271" s="19" t="s">
        <v>37</v>
      </c>
      <c r="E271" s="19">
        <f>SUMIFS('Stock Inflow'!$G$2:$G$601,'Stock Inflow'!$A$2:$A$601,$A271,'Stock Inflow'!$D$2:$D$601,$D271)</f>
        <v>191</v>
      </c>
      <c r="F271" s="19">
        <f>SUMIFS('Stock Inflow'!$F$2:$F$601,'Stock Inflow'!$A$2:$A$601,$A271,'Stock Inflow'!$D$2:$D$601,$D271)</f>
        <v>66</v>
      </c>
      <c r="G271" s="19">
        <f>SUMIFS('Stock Inflow'!$E$2:$E$601,'Stock Inflow'!$A$2:$A$601,$A271,'Stock Inflow'!$D$2:$D$601,$D271)</f>
        <v>3</v>
      </c>
      <c r="H271" s="19">
        <f>SUMIFS('Stock Outflow'!$F$2:$F$601,'Stock Outflow'!$A$2:$A$601,$A271,'Stock Outflow'!$D$2:$D$601,$D271)</f>
        <v>73</v>
      </c>
      <c r="I271" s="19">
        <f>SUMIFS('Stock Outflow'!$E$2:$E$601,'Stock Outflow'!$A$2:$A$601,$A271,'Stock Outflow'!$D$2:$D$601,$D271)</f>
        <v>1</v>
      </c>
      <c r="J271" s="19">
        <f t="shared" si="24"/>
        <v>186</v>
      </c>
      <c r="K271" s="20">
        <f>INDEX('Item Master'!$F$2:$F$51,MATCH($A271,'Item Master'!$A$2:$A$51,0))</f>
        <v>80</v>
      </c>
      <c r="L271" s="20">
        <f t="shared" si="25"/>
        <v>5840</v>
      </c>
      <c r="M271" s="21">
        <f t="shared" si="26"/>
        <v>2.4333333333333331</v>
      </c>
      <c r="N271" s="19">
        <f>INDEX('Item Master'!$E$2:$E$51,MATCH($A271,'Item Master'!$A$2:$A$51,0))</f>
        <v>14</v>
      </c>
      <c r="O271" s="22">
        <f>INDEX('Product Summary'!$L$2:$L$51,MATCH($A271,'Product Summary'!$A$2:$A$51,0))</f>
        <v>12.52222222222222</v>
      </c>
      <c r="P271" s="22">
        <f>INDEX('Product Summary'!$M$2:$M$51,MATCH($A271,'Product Summary'!$A$2:$A$51,0))</f>
        <v>49.881126331811259</v>
      </c>
      <c r="Q271" s="22">
        <f t="shared" si="27"/>
        <v>76.438356164383563</v>
      </c>
      <c r="R271" s="22">
        <f t="shared" si="28"/>
        <v>55.939263151310449</v>
      </c>
      <c r="S271" s="19" t="str">
        <f t="shared" si="29"/>
        <v>HEALTHY</v>
      </c>
    </row>
    <row r="272" spans="1:19" x14ac:dyDescent="0.3">
      <c r="A272" s="19" t="s">
        <v>116</v>
      </c>
      <c r="B272" s="19" t="s">
        <v>117</v>
      </c>
      <c r="C272" s="19" t="s">
        <v>44</v>
      </c>
      <c r="D272" s="19" t="s">
        <v>39</v>
      </c>
      <c r="E272" s="19">
        <f>SUMIFS('Stock Inflow'!$G$2:$G$601,'Stock Inflow'!$A$2:$A$601,$A272,'Stock Inflow'!$D$2:$D$601,$D272)</f>
        <v>186</v>
      </c>
      <c r="F272" s="19">
        <f>SUMIFS('Stock Inflow'!$F$2:$F$601,'Stock Inflow'!$A$2:$A$601,$A272,'Stock Inflow'!$D$2:$D$601,$D272)</f>
        <v>72</v>
      </c>
      <c r="G272" s="19">
        <f>SUMIFS('Stock Inflow'!$E$2:$E$601,'Stock Inflow'!$A$2:$A$601,$A272,'Stock Inflow'!$D$2:$D$601,$D272)</f>
        <v>2</v>
      </c>
      <c r="H272" s="19">
        <f>SUMIFS('Stock Outflow'!$F$2:$F$601,'Stock Outflow'!$A$2:$A$601,$A272,'Stock Outflow'!$D$2:$D$601,$D272)</f>
        <v>75</v>
      </c>
      <c r="I272" s="19">
        <f>SUMIFS('Stock Outflow'!$E$2:$E$601,'Stock Outflow'!$A$2:$A$601,$A272,'Stock Outflow'!$D$2:$D$601,$D272)</f>
        <v>0</v>
      </c>
      <c r="J272" s="19">
        <f t="shared" si="24"/>
        <v>185</v>
      </c>
      <c r="K272" s="20">
        <f>INDEX('Item Master'!$F$2:$F$51,MATCH($A272,'Item Master'!$A$2:$A$51,0))</f>
        <v>80</v>
      </c>
      <c r="L272" s="20">
        <f t="shared" si="25"/>
        <v>6000</v>
      </c>
      <c r="M272" s="21">
        <f t="shared" si="26"/>
        <v>2.5</v>
      </c>
      <c r="N272" s="19">
        <f>INDEX('Item Master'!$E$2:$E$51,MATCH($A272,'Item Master'!$A$2:$A$51,0))</f>
        <v>14</v>
      </c>
      <c r="O272" s="22">
        <f>INDEX('Product Summary'!$L$2:$L$51,MATCH($A272,'Product Summary'!$A$2:$A$51,0))</f>
        <v>12.52222222222222</v>
      </c>
      <c r="P272" s="22">
        <f>INDEX('Product Summary'!$M$2:$M$51,MATCH($A272,'Product Summary'!$A$2:$A$51,0))</f>
        <v>49.881126331811259</v>
      </c>
      <c r="Q272" s="22">
        <f t="shared" si="27"/>
        <v>74</v>
      </c>
      <c r="R272" s="22">
        <f t="shared" si="28"/>
        <v>54.047549467275495</v>
      </c>
      <c r="S272" s="19" t="str">
        <f t="shared" si="29"/>
        <v>HEALTHY</v>
      </c>
    </row>
    <row r="273" spans="1:19" x14ac:dyDescent="0.3">
      <c r="A273" s="19" t="s">
        <v>116</v>
      </c>
      <c r="B273" s="19" t="s">
        <v>117</v>
      </c>
      <c r="C273" s="19" t="s">
        <v>44</v>
      </c>
      <c r="D273" s="19" t="s">
        <v>41</v>
      </c>
      <c r="E273" s="19">
        <f>SUMIFS('Stock Inflow'!$G$2:$G$601,'Stock Inflow'!$A$2:$A$601,$A273,'Stock Inflow'!$D$2:$D$601,$D273)</f>
        <v>185</v>
      </c>
      <c r="F273" s="19">
        <f>SUMIFS('Stock Inflow'!$F$2:$F$601,'Stock Inflow'!$A$2:$A$601,$A273,'Stock Inflow'!$D$2:$D$601,$D273)</f>
        <v>82</v>
      </c>
      <c r="G273" s="19">
        <f>SUMIFS('Stock Inflow'!$E$2:$E$601,'Stock Inflow'!$A$2:$A$601,$A273,'Stock Inflow'!$D$2:$D$601,$D273)</f>
        <v>2</v>
      </c>
      <c r="H273" s="19">
        <f>SUMIFS('Stock Outflow'!$F$2:$F$601,'Stock Outflow'!$A$2:$A$601,$A273,'Stock Outflow'!$D$2:$D$601,$D273)</f>
        <v>83</v>
      </c>
      <c r="I273" s="19">
        <f>SUMIFS('Stock Outflow'!$E$2:$E$601,'Stock Outflow'!$A$2:$A$601,$A273,'Stock Outflow'!$D$2:$D$601,$D273)</f>
        <v>1</v>
      </c>
      <c r="J273" s="19">
        <f t="shared" si="24"/>
        <v>185</v>
      </c>
      <c r="K273" s="20">
        <f>INDEX('Item Master'!$F$2:$F$51,MATCH($A273,'Item Master'!$A$2:$A$51,0))</f>
        <v>80</v>
      </c>
      <c r="L273" s="20">
        <f t="shared" si="25"/>
        <v>6640</v>
      </c>
      <c r="M273" s="21">
        <f t="shared" si="26"/>
        <v>2.7666666666666666</v>
      </c>
      <c r="N273" s="19">
        <f>INDEX('Item Master'!$E$2:$E$51,MATCH($A273,'Item Master'!$A$2:$A$51,0))</f>
        <v>14</v>
      </c>
      <c r="O273" s="22">
        <f>INDEX('Product Summary'!$L$2:$L$51,MATCH($A273,'Product Summary'!$A$2:$A$51,0))</f>
        <v>12.52222222222222</v>
      </c>
      <c r="P273" s="22">
        <f>INDEX('Product Summary'!$M$2:$M$51,MATCH($A273,'Product Summary'!$A$2:$A$51,0))</f>
        <v>49.881126331811259</v>
      </c>
      <c r="Q273" s="22">
        <f t="shared" si="27"/>
        <v>66.867469879518069</v>
      </c>
      <c r="R273" s="22">
        <f t="shared" si="28"/>
        <v>48.838147108983883</v>
      </c>
      <c r="S273" s="19" t="str">
        <f t="shared" si="29"/>
        <v>HEALTHY</v>
      </c>
    </row>
    <row r="274" spans="1:19" x14ac:dyDescent="0.3">
      <c r="A274" s="19" t="s">
        <v>116</v>
      </c>
      <c r="B274" s="19" t="s">
        <v>117</v>
      </c>
      <c r="C274" s="19" t="s">
        <v>44</v>
      </c>
      <c r="D274" s="19" t="s">
        <v>43</v>
      </c>
      <c r="E274" s="19">
        <f>SUMIFS('Stock Inflow'!$G$2:$G$601,'Stock Inflow'!$A$2:$A$601,$A274,'Stock Inflow'!$D$2:$D$601,$D274)</f>
        <v>185</v>
      </c>
      <c r="F274" s="19">
        <f>SUMIFS('Stock Inflow'!$F$2:$F$601,'Stock Inflow'!$A$2:$A$601,$A274,'Stock Inflow'!$D$2:$D$601,$D274)</f>
        <v>88</v>
      </c>
      <c r="G274" s="19">
        <f>SUMIFS('Stock Inflow'!$E$2:$E$601,'Stock Inflow'!$A$2:$A$601,$A274,'Stock Inflow'!$D$2:$D$601,$D274)</f>
        <v>2</v>
      </c>
      <c r="H274" s="19">
        <f>SUMIFS('Stock Outflow'!$F$2:$F$601,'Stock Outflow'!$A$2:$A$601,$A274,'Stock Outflow'!$D$2:$D$601,$D274)</f>
        <v>74</v>
      </c>
      <c r="I274" s="19">
        <f>SUMIFS('Stock Outflow'!$E$2:$E$601,'Stock Outflow'!$A$2:$A$601,$A274,'Stock Outflow'!$D$2:$D$601,$D274)</f>
        <v>1</v>
      </c>
      <c r="J274" s="19">
        <f t="shared" si="24"/>
        <v>200</v>
      </c>
      <c r="K274" s="20">
        <f>INDEX('Item Master'!$F$2:$F$51,MATCH($A274,'Item Master'!$A$2:$A$51,0))</f>
        <v>80</v>
      </c>
      <c r="L274" s="20">
        <f t="shared" si="25"/>
        <v>5920</v>
      </c>
      <c r="M274" s="21">
        <f t="shared" si="26"/>
        <v>2.4666666666666668</v>
      </c>
      <c r="N274" s="19">
        <f>INDEX('Item Master'!$E$2:$E$51,MATCH($A274,'Item Master'!$A$2:$A$51,0))</f>
        <v>14</v>
      </c>
      <c r="O274" s="22">
        <f>INDEX('Product Summary'!$L$2:$L$51,MATCH($A274,'Product Summary'!$A$2:$A$51,0))</f>
        <v>12.52222222222222</v>
      </c>
      <c r="P274" s="22">
        <f>INDEX('Product Summary'!$M$2:$M$51,MATCH($A274,'Product Summary'!$A$2:$A$51,0))</f>
        <v>49.881126331811259</v>
      </c>
      <c r="Q274" s="22">
        <f t="shared" si="27"/>
        <v>81.081081081081081</v>
      </c>
      <c r="R274" s="22">
        <f t="shared" si="28"/>
        <v>60.859002838454892</v>
      </c>
      <c r="S274" s="19" t="str">
        <f t="shared" si="29"/>
        <v>HEALTHY</v>
      </c>
    </row>
    <row r="275" spans="1:19" x14ac:dyDescent="0.3">
      <c r="A275" s="19" t="s">
        <v>116</v>
      </c>
      <c r="B275" s="19" t="s">
        <v>117</v>
      </c>
      <c r="C275" s="19" t="s">
        <v>44</v>
      </c>
      <c r="D275" s="19" t="s">
        <v>45</v>
      </c>
      <c r="E275" s="19">
        <f>SUMIFS('Stock Inflow'!$G$2:$G$601,'Stock Inflow'!$A$2:$A$601,$A275,'Stock Inflow'!$D$2:$D$601,$D275)</f>
        <v>200</v>
      </c>
      <c r="F275" s="19">
        <f>SUMIFS('Stock Inflow'!$F$2:$F$601,'Stock Inflow'!$A$2:$A$601,$A275,'Stock Inflow'!$D$2:$D$601,$D275)</f>
        <v>99</v>
      </c>
      <c r="G275" s="19">
        <f>SUMIFS('Stock Inflow'!$E$2:$E$601,'Stock Inflow'!$A$2:$A$601,$A275,'Stock Inflow'!$D$2:$D$601,$D275)</f>
        <v>2</v>
      </c>
      <c r="H275" s="19">
        <f>SUMIFS('Stock Outflow'!$F$2:$F$601,'Stock Outflow'!$A$2:$A$601,$A275,'Stock Outflow'!$D$2:$D$601,$D275)</f>
        <v>108</v>
      </c>
      <c r="I275" s="19">
        <f>SUMIFS('Stock Outflow'!$E$2:$E$601,'Stock Outflow'!$A$2:$A$601,$A275,'Stock Outflow'!$D$2:$D$601,$D275)</f>
        <v>2</v>
      </c>
      <c r="J275" s="19">
        <f t="shared" si="24"/>
        <v>191</v>
      </c>
      <c r="K275" s="20">
        <f>INDEX('Item Master'!$F$2:$F$51,MATCH($A275,'Item Master'!$A$2:$A$51,0))</f>
        <v>80</v>
      </c>
      <c r="L275" s="20">
        <f t="shared" si="25"/>
        <v>8640</v>
      </c>
      <c r="M275" s="21">
        <f t="shared" si="26"/>
        <v>3.6</v>
      </c>
      <c r="N275" s="19">
        <f>INDEX('Item Master'!$E$2:$E$51,MATCH($A275,'Item Master'!$A$2:$A$51,0))</f>
        <v>14</v>
      </c>
      <c r="O275" s="22">
        <f>INDEX('Product Summary'!$L$2:$L$51,MATCH($A275,'Product Summary'!$A$2:$A$51,0))</f>
        <v>12.52222222222222</v>
      </c>
      <c r="P275" s="22">
        <f>INDEX('Product Summary'!$M$2:$M$51,MATCH($A275,'Product Summary'!$A$2:$A$51,0))</f>
        <v>49.881126331811259</v>
      </c>
      <c r="Q275" s="22">
        <f t="shared" si="27"/>
        <v>53.055555555555557</v>
      </c>
      <c r="R275" s="22">
        <f t="shared" si="28"/>
        <v>39.199687130052425</v>
      </c>
      <c r="S275" s="19" t="str">
        <f t="shared" si="29"/>
        <v>HEALTHY</v>
      </c>
    </row>
    <row r="276" spans="1:19" x14ac:dyDescent="0.3">
      <c r="A276" s="19" t="s">
        <v>116</v>
      </c>
      <c r="B276" s="19" t="s">
        <v>117</v>
      </c>
      <c r="C276" s="19" t="s">
        <v>44</v>
      </c>
      <c r="D276" s="19" t="s">
        <v>47</v>
      </c>
      <c r="E276" s="19">
        <f>SUMIFS('Stock Inflow'!$G$2:$G$601,'Stock Inflow'!$A$2:$A$601,$A276,'Stock Inflow'!$D$2:$D$601,$D276)</f>
        <v>191</v>
      </c>
      <c r="F276" s="19">
        <f>SUMIFS('Stock Inflow'!$F$2:$F$601,'Stock Inflow'!$A$2:$A$601,$A276,'Stock Inflow'!$D$2:$D$601,$D276)</f>
        <v>94</v>
      </c>
      <c r="G276" s="19">
        <f>SUMIFS('Stock Inflow'!$E$2:$E$601,'Stock Inflow'!$A$2:$A$601,$A276,'Stock Inflow'!$D$2:$D$601,$D276)</f>
        <v>3</v>
      </c>
      <c r="H276" s="19">
        <f>SUMIFS('Stock Outflow'!$F$2:$F$601,'Stock Outflow'!$A$2:$A$601,$A276,'Stock Outflow'!$D$2:$D$601,$D276)</f>
        <v>93</v>
      </c>
      <c r="I276" s="19">
        <f>SUMIFS('Stock Outflow'!$E$2:$E$601,'Stock Outflow'!$A$2:$A$601,$A276,'Stock Outflow'!$D$2:$D$601,$D276)</f>
        <v>1</v>
      </c>
      <c r="J276" s="19">
        <f t="shared" si="24"/>
        <v>194</v>
      </c>
      <c r="K276" s="20">
        <f>INDEX('Item Master'!$F$2:$F$51,MATCH($A276,'Item Master'!$A$2:$A$51,0))</f>
        <v>80</v>
      </c>
      <c r="L276" s="20">
        <f t="shared" si="25"/>
        <v>7440</v>
      </c>
      <c r="M276" s="21">
        <f t="shared" si="26"/>
        <v>3.1</v>
      </c>
      <c r="N276" s="19">
        <f>INDEX('Item Master'!$E$2:$E$51,MATCH($A276,'Item Master'!$A$2:$A$51,0))</f>
        <v>14</v>
      </c>
      <c r="O276" s="22">
        <f>INDEX('Product Summary'!$L$2:$L$51,MATCH($A276,'Product Summary'!$A$2:$A$51,0))</f>
        <v>12.52222222222222</v>
      </c>
      <c r="P276" s="22">
        <f>INDEX('Product Summary'!$M$2:$M$51,MATCH($A276,'Product Summary'!$A$2:$A$51,0))</f>
        <v>49.881126331811259</v>
      </c>
      <c r="Q276" s="22">
        <f t="shared" si="27"/>
        <v>62.58064516129032</v>
      </c>
      <c r="R276" s="22">
        <f t="shared" si="28"/>
        <v>46.489959247802815</v>
      </c>
      <c r="S276" s="19" t="str">
        <f t="shared" si="29"/>
        <v>HEALTHY</v>
      </c>
    </row>
    <row r="277" spans="1:19" x14ac:dyDescent="0.3">
      <c r="A277" s="19" t="s">
        <v>116</v>
      </c>
      <c r="B277" s="19" t="s">
        <v>117</v>
      </c>
      <c r="C277" s="19" t="s">
        <v>44</v>
      </c>
      <c r="D277" s="19" t="s">
        <v>49</v>
      </c>
      <c r="E277" s="19">
        <f>SUMIFS('Stock Inflow'!$G$2:$G$601,'Stock Inflow'!$A$2:$A$601,$A277,'Stock Inflow'!$D$2:$D$601,$D277)</f>
        <v>194</v>
      </c>
      <c r="F277" s="19">
        <f>SUMIFS('Stock Inflow'!$F$2:$F$601,'Stock Inflow'!$A$2:$A$601,$A277,'Stock Inflow'!$D$2:$D$601,$D277)</f>
        <v>77</v>
      </c>
      <c r="G277" s="19">
        <f>SUMIFS('Stock Inflow'!$E$2:$E$601,'Stock Inflow'!$A$2:$A$601,$A277,'Stock Inflow'!$D$2:$D$601,$D277)</f>
        <v>2</v>
      </c>
      <c r="H277" s="19">
        <f>SUMIFS('Stock Outflow'!$F$2:$F$601,'Stock Outflow'!$A$2:$A$601,$A277,'Stock Outflow'!$D$2:$D$601,$D277)</f>
        <v>76</v>
      </c>
      <c r="I277" s="19">
        <f>SUMIFS('Stock Outflow'!$E$2:$E$601,'Stock Outflow'!$A$2:$A$601,$A277,'Stock Outflow'!$D$2:$D$601,$D277)</f>
        <v>0</v>
      </c>
      <c r="J277" s="19">
        <f t="shared" si="24"/>
        <v>197</v>
      </c>
      <c r="K277" s="20">
        <f>INDEX('Item Master'!$F$2:$F$51,MATCH($A277,'Item Master'!$A$2:$A$51,0))</f>
        <v>80</v>
      </c>
      <c r="L277" s="20">
        <f t="shared" si="25"/>
        <v>6080</v>
      </c>
      <c r="M277" s="21">
        <f t="shared" si="26"/>
        <v>2.5333333333333332</v>
      </c>
      <c r="N277" s="19">
        <f>INDEX('Item Master'!$E$2:$E$51,MATCH($A277,'Item Master'!$A$2:$A$51,0))</f>
        <v>14</v>
      </c>
      <c r="O277" s="22">
        <f>INDEX('Product Summary'!$L$2:$L$51,MATCH($A277,'Product Summary'!$A$2:$A$51,0))</f>
        <v>12.52222222222222</v>
      </c>
      <c r="P277" s="22">
        <f>INDEX('Product Summary'!$M$2:$M$51,MATCH($A277,'Product Summary'!$A$2:$A$51,0))</f>
        <v>49.881126331811259</v>
      </c>
      <c r="Q277" s="22">
        <f t="shared" si="27"/>
        <v>77.76315789473685</v>
      </c>
      <c r="R277" s="22">
        <f t="shared" si="28"/>
        <v>58.073239605863982</v>
      </c>
      <c r="S277" s="19" t="str">
        <f t="shared" si="29"/>
        <v>HEALTHY</v>
      </c>
    </row>
    <row r="278" spans="1:19" x14ac:dyDescent="0.3">
      <c r="A278" s="19" t="s">
        <v>118</v>
      </c>
      <c r="B278" s="19" t="s">
        <v>119</v>
      </c>
      <c r="C278" s="19" t="s">
        <v>44</v>
      </c>
      <c r="D278" s="19" t="s">
        <v>27</v>
      </c>
      <c r="E278" s="19">
        <f>SUMIFS('Stock Inflow'!$G$2:$G$601,'Stock Inflow'!$A$2:$A$601,$A278,'Stock Inflow'!$D$2:$D$601,$D278)</f>
        <v>225</v>
      </c>
      <c r="F278" s="19">
        <f>SUMIFS('Stock Inflow'!$F$2:$F$601,'Stock Inflow'!$A$2:$A$601,$A278,'Stock Inflow'!$D$2:$D$601,$D278)</f>
        <v>76</v>
      </c>
      <c r="G278" s="19">
        <f>SUMIFS('Stock Inflow'!$E$2:$E$601,'Stock Inflow'!$A$2:$A$601,$A278,'Stock Inflow'!$D$2:$D$601,$D278)</f>
        <v>2</v>
      </c>
      <c r="H278" s="19">
        <f>SUMIFS('Stock Outflow'!$F$2:$F$601,'Stock Outflow'!$A$2:$A$601,$A278,'Stock Outflow'!$D$2:$D$601,$D278)</f>
        <v>67</v>
      </c>
      <c r="I278" s="19">
        <f>SUMIFS('Stock Outflow'!$E$2:$E$601,'Stock Outflow'!$A$2:$A$601,$A278,'Stock Outflow'!$D$2:$D$601,$D278)</f>
        <v>1</v>
      </c>
      <c r="J278" s="19">
        <f t="shared" si="24"/>
        <v>235</v>
      </c>
      <c r="K278" s="20">
        <f>INDEX('Item Master'!$F$2:$F$51,MATCH($A278,'Item Master'!$A$2:$A$51,0))</f>
        <v>150</v>
      </c>
      <c r="L278" s="20">
        <f t="shared" si="25"/>
        <v>10050</v>
      </c>
      <c r="M278" s="21">
        <f t="shared" si="26"/>
        <v>2.2333333333333334</v>
      </c>
      <c r="N278" s="19">
        <f>INDEX('Item Master'!$E$2:$E$51,MATCH($A278,'Item Master'!$A$2:$A$51,0))</f>
        <v>10</v>
      </c>
      <c r="O278" s="22">
        <f>INDEX('Product Summary'!$L$2:$L$51,MATCH($A278,'Product Summary'!$A$2:$A$51,0))</f>
        <v>12.972222222222223</v>
      </c>
      <c r="P278" s="22">
        <f>INDEX('Product Summary'!$M$2:$M$51,MATCH($A278,'Product Summary'!$A$2:$A$51,0))</f>
        <v>35.68455098934551</v>
      </c>
      <c r="Q278" s="22">
        <f t="shared" si="27"/>
        <v>105.22388059701493</v>
      </c>
      <c r="R278" s="22">
        <f t="shared" si="28"/>
        <v>89.245723437606486</v>
      </c>
      <c r="S278" s="19" t="str">
        <f t="shared" si="29"/>
        <v>HEALTHY</v>
      </c>
    </row>
    <row r="279" spans="1:19" x14ac:dyDescent="0.3">
      <c r="A279" s="19" t="s">
        <v>118</v>
      </c>
      <c r="B279" s="19" t="s">
        <v>119</v>
      </c>
      <c r="C279" s="19" t="s">
        <v>44</v>
      </c>
      <c r="D279" s="19" t="s">
        <v>29</v>
      </c>
      <c r="E279" s="19">
        <f>SUMIFS('Stock Inflow'!$G$2:$G$601,'Stock Inflow'!$A$2:$A$601,$A279,'Stock Inflow'!$D$2:$D$601,$D279)</f>
        <v>235</v>
      </c>
      <c r="F279" s="19">
        <f>SUMIFS('Stock Inflow'!$F$2:$F$601,'Stock Inflow'!$A$2:$A$601,$A279,'Stock Inflow'!$D$2:$D$601,$D279)</f>
        <v>76</v>
      </c>
      <c r="G279" s="19">
        <f>SUMIFS('Stock Inflow'!$E$2:$E$601,'Stock Inflow'!$A$2:$A$601,$A279,'Stock Inflow'!$D$2:$D$601,$D279)</f>
        <v>1</v>
      </c>
      <c r="H279" s="19">
        <f>SUMIFS('Stock Outflow'!$F$2:$F$601,'Stock Outflow'!$A$2:$A$601,$A279,'Stock Outflow'!$D$2:$D$601,$D279)</f>
        <v>59</v>
      </c>
      <c r="I279" s="19">
        <f>SUMIFS('Stock Outflow'!$E$2:$E$601,'Stock Outflow'!$A$2:$A$601,$A279,'Stock Outflow'!$D$2:$D$601,$D279)</f>
        <v>0</v>
      </c>
      <c r="J279" s="19">
        <f t="shared" si="24"/>
        <v>253</v>
      </c>
      <c r="K279" s="20">
        <f>INDEX('Item Master'!$F$2:$F$51,MATCH($A279,'Item Master'!$A$2:$A$51,0))</f>
        <v>150</v>
      </c>
      <c r="L279" s="20">
        <f t="shared" si="25"/>
        <v>8850</v>
      </c>
      <c r="M279" s="21">
        <f t="shared" si="26"/>
        <v>1.9666666666666666</v>
      </c>
      <c r="N279" s="19">
        <f>INDEX('Item Master'!$E$2:$E$51,MATCH($A279,'Item Master'!$A$2:$A$51,0))</f>
        <v>10</v>
      </c>
      <c r="O279" s="22">
        <f>INDEX('Product Summary'!$L$2:$L$51,MATCH($A279,'Product Summary'!$A$2:$A$51,0))</f>
        <v>12.972222222222223</v>
      </c>
      <c r="P279" s="22">
        <f>INDEX('Product Summary'!$M$2:$M$51,MATCH($A279,'Product Summary'!$A$2:$A$51,0))</f>
        <v>35.68455098934551</v>
      </c>
      <c r="Q279" s="22">
        <f t="shared" si="27"/>
        <v>128.64406779661019</v>
      </c>
      <c r="R279" s="22">
        <f t="shared" si="28"/>
        <v>110.49938085287518</v>
      </c>
      <c r="S279" s="19" t="str">
        <f t="shared" si="29"/>
        <v>HEALTHY</v>
      </c>
    </row>
    <row r="280" spans="1:19" x14ac:dyDescent="0.3">
      <c r="A280" s="19" t="s">
        <v>118</v>
      </c>
      <c r="B280" s="19" t="s">
        <v>119</v>
      </c>
      <c r="C280" s="19" t="s">
        <v>44</v>
      </c>
      <c r="D280" s="19" t="s">
        <v>31</v>
      </c>
      <c r="E280" s="19">
        <f>SUMIFS('Stock Inflow'!$G$2:$G$601,'Stock Inflow'!$A$2:$A$601,$A280,'Stock Inflow'!$D$2:$D$601,$D280)</f>
        <v>253</v>
      </c>
      <c r="F280" s="19">
        <f>SUMIFS('Stock Inflow'!$F$2:$F$601,'Stock Inflow'!$A$2:$A$601,$A280,'Stock Inflow'!$D$2:$D$601,$D280)</f>
        <v>88</v>
      </c>
      <c r="G280" s="19">
        <f>SUMIFS('Stock Inflow'!$E$2:$E$601,'Stock Inflow'!$A$2:$A$601,$A280,'Stock Inflow'!$D$2:$D$601,$D280)</f>
        <v>2</v>
      </c>
      <c r="H280" s="19">
        <f>SUMIFS('Stock Outflow'!$F$2:$F$601,'Stock Outflow'!$A$2:$A$601,$A280,'Stock Outflow'!$D$2:$D$601,$D280)</f>
        <v>73</v>
      </c>
      <c r="I280" s="19">
        <f>SUMIFS('Stock Outflow'!$E$2:$E$601,'Stock Outflow'!$A$2:$A$601,$A280,'Stock Outflow'!$D$2:$D$601,$D280)</f>
        <v>1</v>
      </c>
      <c r="J280" s="19">
        <f t="shared" si="24"/>
        <v>269</v>
      </c>
      <c r="K280" s="20">
        <f>INDEX('Item Master'!$F$2:$F$51,MATCH($A280,'Item Master'!$A$2:$A$51,0))</f>
        <v>150</v>
      </c>
      <c r="L280" s="20">
        <f t="shared" si="25"/>
        <v>10950</v>
      </c>
      <c r="M280" s="21">
        <f t="shared" si="26"/>
        <v>2.4333333333333331</v>
      </c>
      <c r="N280" s="19">
        <f>INDEX('Item Master'!$E$2:$E$51,MATCH($A280,'Item Master'!$A$2:$A$51,0))</f>
        <v>10</v>
      </c>
      <c r="O280" s="22">
        <f>INDEX('Product Summary'!$L$2:$L$51,MATCH($A280,'Product Summary'!$A$2:$A$51,0))</f>
        <v>12.972222222222223</v>
      </c>
      <c r="P280" s="22">
        <f>INDEX('Product Summary'!$M$2:$M$51,MATCH($A280,'Product Summary'!$A$2:$A$51,0))</f>
        <v>35.68455098934551</v>
      </c>
      <c r="Q280" s="22">
        <f t="shared" si="27"/>
        <v>110.54794520547946</v>
      </c>
      <c r="R280" s="22">
        <f t="shared" si="28"/>
        <v>95.883061237255291</v>
      </c>
      <c r="S280" s="19" t="str">
        <f t="shared" si="29"/>
        <v>HEALTHY</v>
      </c>
    </row>
    <row r="281" spans="1:19" x14ac:dyDescent="0.3">
      <c r="A281" s="19" t="s">
        <v>118</v>
      </c>
      <c r="B281" s="19" t="s">
        <v>119</v>
      </c>
      <c r="C281" s="19" t="s">
        <v>44</v>
      </c>
      <c r="D281" s="19" t="s">
        <v>33</v>
      </c>
      <c r="E281" s="19">
        <f>SUMIFS('Stock Inflow'!$G$2:$G$601,'Stock Inflow'!$A$2:$A$601,$A281,'Stock Inflow'!$D$2:$D$601,$D281)</f>
        <v>269</v>
      </c>
      <c r="F281" s="19">
        <f>SUMIFS('Stock Inflow'!$F$2:$F$601,'Stock Inflow'!$A$2:$A$601,$A281,'Stock Inflow'!$D$2:$D$601,$D281)</f>
        <v>63</v>
      </c>
      <c r="G281" s="19">
        <f>SUMIFS('Stock Inflow'!$E$2:$E$601,'Stock Inflow'!$A$2:$A$601,$A281,'Stock Inflow'!$D$2:$D$601,$D281)</f>
        <v>1</v>
      </c>
      <c r="H281" s="19">
        <f>SUMIFS('Stock Outflow'!$F$2:$F$601,'Stock Outflow'!$A$2:$A$601,$A281,'Stock Outflow'!$D$2:$D$601,$D281)</f>
        <v>57</v>
      </c>
      <c r="I281" s="19">
        <f>SUMIFS('Stock Outflow'!$E$2:$E$601,'Stock Outflow'!$A$2:$A$601,$A281,'Stock Outflow'!$D$2:$D$601,$D281)</f>
        <v>0</v>
      </c>
      <c r="J281" s="19">
        <f t="shared" si="24"/>
        <v>276</v>
      </c>
      <c r="K281" s="20">
        <f>INDEX('Item Master'!$F$2:$F$51,MATCH($A281,'Item Master'!$A$2:$A$51,0))</f>
        <v>150</v>
      </c>
      <c r="L281" s="20">
        <f t="shared" si="25"/>
        <v>8550</v>
      </c>
      <c r="M281" s="21">
        <f t="shared" si="26"/>
        <v>1.9</v>
      </c>
      <c r="N281" s="19">
        <f>INDEX('Item Master'!$E$2:$E$51,MATCH($A281,'Item Master'!$A$2:$A$51,0))</f>
        <v>10</v>
      </c>
      <c r="O281" s="22">
        <f>INDEX('Product Summary'!$L$2:$L$51,MATCH($A281,'Product Summary'!$A$2:$A$51,0))</f>
        <v>12.972222222222223</v>
      </c>
      <c r="P281" s="22">
        <f>INDEX('Product Summary'!$M$2:$M$51,MATCH($A281,'Product Summary'!$A$2:$A$51,0))</f>
        <v>35.68455098934551</v>
      </c>
      <c r="Q281" s="22">
        <f t="shared" si="27"/>
        <v>145.26315789473685</v>
      </c>
      <c r="R281" s="22">
        <f t="shared" si="28"/>
        <v>126.48181526876553</v>
      </c>
      <c r="S281" s="19" t="str">
        <f t="shared" si="29"/>
        <v>HEALTHY</v>
      </c>
    </row>
    <row r="282" spans="1:19" x14ac:dyDescent="0.3">
      <c r="A282" s="19" t="s">
        <v>118</v>
      </c>
      <c r="B282" s="19" t="s">
        <v>119</v>
      </c>
      <c r="C282" s="19" t="s">
        <v>44</v>
      </c>
      <c r="D282" s="19" t="s">
        <v>35</v>
      </c>
      <c r="E282" s="19">
        <f>SUMIFS('Stock Inflow'!$G$2:$G$601,'Stock Inflow'!$A$2:$A$601,$A282,'Stock Inflow'!$D$2:$D$601,$D282)</f>
        <v>276</v>
      </c>
      <c r="F282" s="19">
        <f>SUMIFS('Stock Inflow'!$F$2:$F$601,'Stock Inflow'!$A$2:$A$601,$A282,'Stock Inflow'!$D$2:$D$601,$D282)</f>
        <v>64</v>
      </c>
      <c r="G282" s="19">
        <f>SUMIFS('Stock Inflow'!$E$2:$E$601,'Stock Inflow'!$A$2:$A$601,$A282,'Stock Inflow'!$D$2:$D$601,$D282)</f>
        <v>2</v>
      </c>
      <c r="H282" s="19">
        <f>SUMIFS('Stock Outflow'!$F$2:$F$601,'Stock Outflow'!$A$2:$A$601,$A282,'Stock Outflow'!$D$2:$D$601,$D282)</f>
        <v>65</v>
      </c>
      <c r="I282" s="19">
        <f>SUMIFS('Stock Outflow'!$E$2:$E$601,'Stock Outflow'!$A$2:$A$601,$A282,'Stock Outflow'!$D$2:$D$601,$D282)</f>
        <v>1</v>
      </c>
      <c r="J282" s="19">
        <f t="shared" si="24"/>
        <v>276</v>
      </c>
      <c r="K282" s="20">
        <f>INDEX('Item Master'!$F$2:$F$51,MATCH($A282,'Item Master'!$A$2:$A$51,0))</f>
        <v>150</v>
      </c>
      <c r="L282" s="20">
        <f t="shared" si="25"/>
        <v>9750</v>
      </c>
      <c r="M282" s="21">
        <f t="shared" si="26"/>
        <v>2.1666666666666665</v>
      </c>
      <c r="N282" s="19">
        <f>INDEX('Item Master'!$E$2:$E$51,MATCH($A282,'Item Master'!$A$2:$A$51,0))</f>
        <v>10</v>
      </c>
      <c r="O282" s="22">
        <f>INDEX('Product Summary'!$L$2:$L$51,MATCH($A282,'Product Summary'!$A$2:$A$51,0))</f>
        <v>12.972222222222223</v>
      </c>
      <c r="P282" s="22">
        <f>INDEX('Product Summary'!$M$2:$M$51,MATCH($A282,'Product Summary'!$A$2:$A$51,0))</f>
        <v>35.68455098934551</v>
      </c>
      <c r="Q282" s="22">
        <f t="shared" si="27"/>
        <v>127.38461538461539</v>
      </c>
      <c r="R282" s="22">
        <f t="shared" si="28"/>
        <v>110.91482262030209</v>
      </c>
      <c r="S282" s="19" t="str">
        <f t="shared" si="29"/>
        <v>HEALTHY</v>
      </c>
    </row>
    <row r="283" spans="1:19" x14ac:dyDescent="0.3">
      <c r="A283" s="19" t="s">
        <v>118</v>
      </c>
      <c r="B283" s="19" t="s">
        <v>119</v>
      </c>
      <c r="C283" s="19" t="s">
        <v>44</v>
      </c>
      <c r="D283" s="19" t="s">
        <v>37</v>
      </c>
      <c r="E283" s="19">
        <f>SUMIFS('Stock Inflow'!$G$2:$G$601,'Stock Inflow'!$A$2:$A$601,$A283,'Stock Inflow'!$D$2:$D$601,$D283)</f>
        <v>276</v>
      </c>
      <c r="F283" s="19">
        <f>SUMIFS('Stock Inflow'!$F$2:$F$601,'Stock Inflow'!$A$2:$A$601,$A283,'Stock Inflow'!$D$2:$D$601,$D283)</f>
        <v>65</v>
      </c>
      <c r="G283" s="19">
        <f>SUMIFS('Stock Inflow'!$E$2:$E$601,'Stock Inflow'!$A$2:$A$601,$A283,'Stock Inflow'!$D$2:$D$601,$D283)</f>
        <v>2</v>
      </c>
      <c r="H283" s="19">
        <f>SUMIFS('Stock Outflow'!$F$2:$F$601,'Stock Outflow'!$A$2:$A$601,$A283,'Stock Outflow'!$D$2:$D$601,$D283)</f>
        <v>61</v>
      </c>
      <c r="I283" s="19">
        <f>SUMIFS('Stock Outflow'!$E$2:$E$601,'Stock Outflow'!$A$2:$A$601,$A283,'Stock Outflow'!$D$2:$D$601,$D283)</f>
        <v>1</v>
      </c>
      <c r="J283" s="19">
        <f t="shared" si="24"/>
        <v>281</v>
      </c>
      <c r="K283" s="20">
        <f>INDEX('Item Master'!$F$2:$F$51,MATCH($A283,'Item Master'!$A$2:$A$51,0))</f>
        <v>150</v>
      </c>
      <c r="L283" s="20">
        <f t="shared" si="25"/>
        <v>9150</v>
      </c>
      <c r="M283" s="21">
        <f t="shared" si="26"/>
        <v>2.0333333333333332</v>
      </c>
      <c r="N283" s="19">
        <f>INDEX('Item Master'!$E$2:$E$51,MATCH($A283,'Item Master'!$A$2:$A$51,0))</f>
        <v>10</v>
      </c>
      <c r="O283" s="22">
        <f>INDEX('Product Summary'!$L$2:$L$51,MATCH($A283,'Product Summary'!$A$2:$A$51,0))</f>
        <v>12.972222222222223</v>
      </c>
      <c r="P283" s="22">
        <f>INDEX('Product Summary'!$M$2:$M$51,MATCH($A283,'Product Summary'!$A$2:$A$51,0))</f>
        <v>35.68455098934551</v>
      </c>
      <c r="Q283" s="22">
        <f t="shared" si="27"/>
        <v>138.19672131147541</v>
      </c>
      <c r="R283" s="22">
        <f t="shared" si="28"/>
        <v>120.64694213638747</v>
      </c>
      <c r="S283" s="19" t="str">
        <f t="shared" si="29"/>
        <v>HEALTHY</v>
      </c>
    </row>
    <row r="284" spans="1:19" x14ac:dyDescent="0.3">
      <c r="A284" s="19" t="s">
        <v>118</v>
      </c>
      <c r="B284" s="19" t="s">
        <v>119</v>
      </c>
      <c r="C284" s="19" t="s">
        <v>44</v>
      </c>
      <c r="D284" s="19" t="s">
        <v>39</v>
      </c>
      <c r="E284" s="19">
        <f>SUMIFS('Stock Inflow'!$G$2:$G$601,'Stock Inflow'!$A$2:$A$601,$A284,'Stock Inflow'!$D$2:$D$601,$D284)</f>
        <v>281</v>
      </c>
      <c r="F284" s="19">
        <f>SUMIFS('Stock Inflow'!$F$2:$F$601,'Stock Inflow'!$A$2:$A$601,$A284,'Stock Inflow'!$D$2:$D$601,$D284)</f>
        <v>59</v>
      </c>
      <c r="G284" s="19">
        <f>SUMIFS('Stock Inflow'!$E$2:$E$601,'Stock Inflow'!$A$2:$A$601,$A284,'Stock Inflow'!$D$2:$D$601,$D284)</f>
        <v>1</v>
      </c>
      <c r="H284" s="19">
        <f>SUMIFS('Stock Outflow'!$F$2:$F$601,'Stock Outflow'!$A$2:$A$601,$A284,'Stock Outflow'!$D$2:$D$601,$D284)</f>
        <v>63</v>
      </c>
      <c r="I284" s="19">
        <f>SUMIFS('Stock Outflow'!$E$2:$E$601,'Stock Outflow'!$A$2:$A$601,$A284,'Stock Outflow'!$D$2:$D$601,$D284)</f>
        <v>1</v>
      </c>
      <c r="J284" s="19">
        <f t="shared" si="24"/>
        <v>277</v>
      </c>
      <c r="K284" s="20">
        <f>INDEX('Item Master'!$F$2:$F$51,MATCH($A284,'Item Master'!$A$2:$A$51,0))</f>
        <v>150</v>
      </c>
      <c r="L284" s="20">
        <f t="shared" si="25"/>
        <v>9450</v>
      </c>
      <c r="M284" s="21">
        <f t="shared" si="26"/>
        <v>2.1</v>
      </c>
      <c r="N284" s="19">
        <f>INDEX('Item Master'!$E$2:$E$51,MATCH($A284,'Item Master'!$A$2:$A$51,0))</f>
        <v>10</v>
      </c>
      <c r="O284" s="22">
        <f>INDEX('Product Summary'!$L$2:$L$51,MATCH($A284,'Product Summary'!$A$2:$A$51,0))</f>
        <v>12.972222222222223</v>
      </c>
      <c r="P284" s="22">
        <f>INDEX('Product Summary'!$M$2:$M$51,MATCH($A284,'Product Summary'!$A$2:$A$51,0))</f>
        <v>35.68455098934551</v>
      </c>
      <c r="Q284" s="22">
        <f t="shared" si="27"/>
        <v>131.9047619047619</v>
      </c>
      <c r="R284" s="22">
        <f t="shared" si="28"/>
        <v>114.91211857650214</v>
      </c>
      <c r="S284" s="19" t="str">
        <f t="shared" si="29"/>
        <v>HEALTHY</v>
      </c>
    </row>
    <row r="285" spans="1:19" x14ac:dyDescent="0.3">
      <c r="A285" s="19" t="s">
        <v>118</v>
      </c>
      <c r="B285" s="19" t="s">
        <v>119</v>
      </c>
      <c r="C285" s="19" t="s">
        <v>44</v>
      </c>
      <c r="D285" s="19" t="s">
        <v>41</v>
      </c>
      <c r="E285" s="19">
        <f>SUMIFS('Stock Inflow'!$G$2:$G$601,'Stock Inflow'!$A$2:$A$601,$A285,'Stock Inflow'!$D$2:$D$601,$D285)</f>
        <v>277</v>
      </c>
      <c r="F285" s="19">
        <f>SUMIFS('Stock Inflow'!$F$2:$F$601,'Stock Inflow'!$A$2:$A$601,$A285,'Stock Inflow'!$D$2:$D$601,$D285)</f>
        <v>72</v>
      </c>
      <c r="G285" s="19">
        <f>SUMIFS('Stock Inflow'!$E$2:$E$601,'Stock Inflow'!$A$2:$A$601,$A285,'Stock Inflow'!$D$2:$D$601,$D285)</f>
        <v>1</v>
      </c>
      <c r="H285" s="19">
        <f>SUMIFS('Stock Outflow'!$F$2:$F$601,'Stock Outflow'!$A$2:$A$601,$A285,'Stock Outflow'!$D$2:$D$601,$D285)</f>
        <v>62</v>
      </c>
      <c r="I285" s="19">
        <f>SUMIFS('Stock Outflow'!$E$2:$E$601,'Stock Outflow'!$A$2:$A$601,$A285,'Stock Outflow'!$D$2:$D$601,$D285)</f>
        <v>1</v>
      </c>
      <c r="J285" s="19">
        <f t="shared" si="24"/>
        <v>287</v>
      </c>
      <c r="K285" s="20">
        <f>INDEX('Item Master'!$F$2:$F$51,MATCH($A285,'Item Master'!$A$2:$A$51,0))</f>
        <v>150</v>
      </c>
      <c r="L285" s="20">
        <f t="shared" si="25"/>
        <v>9300</v>
      </c>
      <c r="M285" s="21">
        <f t="shared" si="26"/>
        <v>2.0666666666666669</v>
      </c>
      <c r="N285" s="19">
        <f>INDEX('Item Master'!$E$2:$E$51,MATCH($A285,'Item Master'!$A$2:$A$51,0))</f>
        <v>10</v>
      </c>
      <c r="O285" s="22">
        <f>INDEX('Product Summary'!$L$2:$L$51,MATCH($A285,'Product Summary'!$A$2:$A$51,0))</f>
        <v>12.972222222222223</v>
      </c>
      <c r="P285" s="22">
        <f>INDEX('Product Summary'!$M$2:$M$51,MATCH($A285,'Product Summary'!$A$2:$A$51,0))</f>
        <v>35.68455098934551</v>
      </c>
      <c r="Q285" s="22">
        <f t="shared" si="27"/>
        <v>138.87096774193546</v>
      </c>
      <c r="R285" s="22">
        <f t="shared" si="28"/>
        <v>121.60424952128443</v>
      </c>
      <c r="S285" s="19" t="str">
        <f t="shared" si="29"/>
        <v>HEALTHY</v>
      </c>
    </row>
    <row r="286" spans="1:19" x14ac:dyDescent="0.3">
      <c r="A286" s="19" t="s">
        <v>118</v>
      </c>
      <c r="B286" s="19" t="s">
        <v>119</v>
      </c>
      <c r="C286" s="19" t="s">
        <v>44</v>
      </c>
      <c r="D286" s="19" t="s">
        <v>43</v>
      </c>
      <c r="E286" s="19">
        <f>SUMIFS('Stock Inflow'!$G$2:$G$601,'Stock Inflow'!$A$2:$A$601,$A286,'Stock Inflow'!$D$2:$D$601,$D286)</f>
        <v>287</v>
      </c>
      <c r="F286" s="19">
        <f>SUMIFS('Stock Inflow'!$F$2:$F$601,'Stock Inflow'!$A$2:$A$601,$A286,'Stock Inflow'!$D$2:$D$601,$D286)</f>
        <v>71</v>
      </c>
      <c r="G286" s="19">
        <f>SUMIFS('Stock Inflow'!$E$2:$E$601,'Stock Inflow'!$A$2:$A$601,$A286,'Stock Inflow'!$D$2:$D$601,$D286)</f>
        <v>3</v>
      </c>
      <c r="H286" s="19">
        <f>SUMIFS('Stock Outflow'!$F$2:$F$601,'Stock Outflow'!$A$2:$A$601,$A286,'Stock Outflow'!$D$2:$D$601,$D286)</f>
        <v>73</v>
      </c>
      <c r="I286" s="19">
        <f>SUMIFS('Stock Outflow'!$E$2:$E$601,'Stock Outflow'!$A$2:$A$601,$A286,'Stock Outflow'!$D$2:$D$601,$D286)</f>
        <v>1</v>
      </c>
      <c r="J286" s="19">
        <f t="shared" si="24"/>
        <v>287</v>
      </c>
      <c r="K286" s="20">
        <f>INDEX('Item Master'!$F$2:$F$51,MATCH($A286,'Item Master'!$A$2:$A$51,0))</f>
        <v>150</v>
      </c>
      <c r="L286" s="20">
        <f t="shared" si="25"/>
        <v>10950</v>
      </c>
      <c r="M286" s="21">
        <f t="shared" si="26"/>
        <v>2.4333333333333331</v>
      </c>
      <c r="N286" s="19">
        <f>INDEX('Item Master'!$E$2:$E$51,MATCH($A286,'Item Master'!$A$2:$A$51,0))</f>
        <v>10</v>
      </c>
      <c r="O286" s="22">
        <f>INDEX('Product Summary'!$L$2:$L$51,MATCH($A286,'Product Summary'!$A$2:$A$51,0))</f>
        <v>12.972222222222223</v>
      </c>
      <c r="P286" s="22">
        <f>INDEX('Product Summary'!$M$2:$M$51,MATCH($A286,'Product Summary'!$A$2:$A$51,0))</f>
        <v>35.68455098934551</v>
      </c>
      <c r="Q286" s="22">
        <f t="shared" si="27"/>
        <v>117.94520547945207</v>
      </c>
      <c r="R286" s="22">
        <f t="shared" si="28"/>
        <v>103.28032151122788</v>
      </c>
      <c r="S286" s="19" t="str">
        <f t="shared" si="29"/>
        <v>HEALTHY</v>
      </c>
    </row>
    <row r="287" spans="1:19" x14ac:dyDescent="0.3">
      <c r="A287" s="19" t="s">
        <v>118</v>
      </c>
      <c r="B287" s="19" t="s">
        <v>119</v>
      </c>
      <c r="C287" s="19" t="s">
        <v>44</v>
      </c>
      <c r="D287" s="19" t="s">
        <v>45</v>
      </c>
      <c r="E287" s="19">
        <f>SUMIFS('Stock Inflow'!$G$2:$G$601,'Stock Inflow'!$A$2:$A$601,$A287,'Stock Inflow'!$D$2:$D$601,$D287)</f>
        <v>287</v>
      </c>
      <c r="F287" s="19">
        <f>SUMIFS('Stock Inflow'!$F$2:$F$601,'Stock Inflow'!$A$2:$A$601,$A287,'Stock Inflow'!$D$2:$D$601,$D287)</f>
        <v>113</v>
      </c>
      <c r="G287" s="19">
        <f>SUMIFS('Stock Inflow'!$E$2:$E$601,'Stock Inflow'!$A$2:$A$601,$A287,'Stock Inflow'!$D$2:$D$601,$D287)</f>
        <v>2</v>
      </c>
      <c r="H287" s="19">
        <f>SUMIFS('Stock Outflow'!$F$2:$F$601,'Stock Outflow'!$A$2:$A$601,$A287,'Stock Outflow'!$D$2:$D$601,$D287)</f>
        <v>108</v>
      </c>
      <c r="I287" s="19">
        <f>SUMIFS('Stock Outflow'!$E$2:$E$601,'Stock Outflow'!$A$2:$A$601,$A287,'Stock Outflow'!$D$2:$D$601,$D287)</f>
        <v>0</v>
      </c>
      <c r="J287" s="19">
        <f t="shared" si="24"/>
        <v>294</v>
      </c>
      <c r="K287" s="20">
        <f>INDEX('Item Master'!$F$2:$F$51,MATCH($A287,'Item Master'!$A$2:$A$51,0))</f>
        <v>150</v>
      </c>
      <c r="L287" s="20">
        <f t="shared" si="25"/>
        <v>16200</v>
      </c>
      <c r="M287" s="21">
        <f t="shared" si="26"/>
        <v>3.6</v>
      </c>
      <c r="N287" s="19">
        <f>INDEX('Item Master'!$E$2:$E$51,MATCH($A287,'Item Master'!$A$2:$A$51,0))</f>
        <v>10</v>
      </c>
      <c r="O287" s="22">
        <f>INDEX('Product Summary'!$L$2:$L$51,MATCH($A287,'Product Summary'!$A$2:$A$51,0))</f>
        <v>12.972222222222223</v>
      </c>
      <c r="P287" s="22">
        <f>INDEX('Product Summary'!$M$2:$M$51,MATCH($A287,'Product Summary'!$A$2:$A$51,0))</f>
        <v>35.68455098934551</v>
      </c>
      <c r="Q287" s="22">
        <f t="shared" si="27"/>
        <v>81.666666666666671</v>
      </c>
      <c r="R287" s="22">
        <f t="shared" si="28"/>
        <v>71.754291391848469</v>
      </c>
      <c r="S287" s="19" t="str">
        <f t="shared" si="29"/>
        <v>HEALTHY</v>
      </c>
    </row>
    <row r="288" spans="1:19" x14ac:dyDescent="0.3">
      <c r="A288" s="19" t="s">
        <v>118</v>
      </c>
      <c r="B288" s="19" t="s">
        <v>119</v>
      </c>
      <c r="C288" s="19" t="s">
        <v>44</v>
      </c>
      <c r="D288" s="19" t="s">
        <v>47</v>
      </c>
      <c r="E288" s="19">
        <f>SUMIFS('Stock Inflow'!$G$2:$G$601,'Stock Inflow'!$A$2:$A$601,$A288,'Stock Inflow'!$D$2:$D$601,$D288)</f>
        <v>294</v>
      </c>
      <c r="F288" s="19">
        <f>SUMIFS('Stock Inflow'!$F$2:$F$601,'Stock Inflow'!$A$2:$A$601,$A288,'Stock Inflow'!$D$2:$D$601,$D288)</f>
        <v>76</v>
      </c>
      <c r="G288" s="19">
        <f>SUMIFS('Stock Inflow'!$E$2:$E$601,'Stock Inflow'!$A$2:$A$601,$A288,'Stock Inflow'!$D$2:$D$601,$D288)</f>
        <v>1</v>
      </c>
      <c r="H288" s="19">
        <f>SUMIFS('Stock Outflow'!$F$2:$F$601,'Stock Outflow'!$A$2:$A$601,$A288,'Stock Outflow'!$D$2:$D$601,$D288)</f>
        <v>72</v>
      </c>
      <c r="I288" s="19">
        <f>SUMIFS('Stock Outflow'!$E$2:$E$601,'Stock Outflow'!$A$2:$A$601,$A288,'Stock Outflow'!$D$2:$D$601,$D288)</f>
        <v>2</v>
      </c>
      <c r="J288" s="19">
        <f t="shared" si="24"/>
        <v>297</v>
      </c>
      <c r="K288" s="20">
        <f>INDEX('Item Master'!$F$2:$F$51,MATCH($A288,'Item Master'!$A$2:$A$51,0))</f>
        <v>150</v>
      </c>
      <c r="L288" s="20">
        <f t="shared" si="25"/>
        <v>10800</v>
      </c>
      <c r="M288" s="21">
        <f t="shared" si="26"/>
        <v>2.4</v>
      </c>
      <c r="N288" s="19">
        <f>INDEX('Item Master'!$E$2:$E$51,MATCH($A288,'Item Master'!$A$2:$A$51,0))</f>
        <v>10</v>
      </c>
      <c r="O288" s="22">
        <f>INDEX('Product Summary'!$L$2:$L$51,MATCH($A288,'Product Summary'!$A$2:$A$51,0))</f>
        <v>12.972222222222223</v>
      </c>
      <c r="P288" s="22">
        <f>INDEX('Product Summary'!$M$2:$M$51,MATCH($A288,'Product Summary'!$A$2:$A$51,0))</f>
        <v>35.68455098934551</v>
      </c>
      <c r="Q288" s="22">
        <f t="shared" si="27"/>
        <v>123.75</v>
      </c>
      <c r="R288" s="22">
        <f t="shared" si="28"/>
        <v>108.88143708777271</v>
      </c>
      <c r="S288" s="19" t="str">
        <f t="shared" si="29"/>
        <v>HEALTHY</v>
      </c>
    </row>
    <row r="289" spans="1:19" x14ac:dyDescent="0.3">
      <c r="A289" s="19" t="s">
        <v>118</v>
      </c>
      <c r="B289" s="19" t="s">
        <v>119</v>
      </c>
      <c r="C289" s="19" t="s">
        <v>44</v>
      </c>
      <c r="D289" s="19" t="s">
        <v>49</v>
      </c>
      <c r="E289" s="19">
        <f>SUMIFS('Stock Inflow'!$G$2:$G$601,'Stock Inflow'!$A$2:$A$601,$A289,'Stock Inflow'!$D$2:$D$601,$D289)</f>
        <v>297</v>
      </c>
      <c r="F289" s="19">
        <f>SUMIFS('Stock Inflow'!$F$2:$F$601,'Stock Inflow'!$A$2:$A$601,$A289,'Stock Inflow'!$D$2:$D$601,$D289)</f>
        <v>68</v>
      </c>
      <c r="G289" s="19">
        <f>SUMIFS('Stock Inflow'!$E$2:$E$601,'Stock Inflow'!$A$2:$A$601,$A289,'Stock Inflow'!$D$2:$D$601,$D289)</f>
        <v>2</v>
      </c>
      <c r="H289" s="19">
        <f>SUMIFS('Stock Outflow'!$F$2:$F$601,'Stock Outflow'!$A$2:$A$601,$A289,'Stock Outflow'!$D$2:$D$601,$D289)</f>
        <v>69</v>
      </c>
      <c r="I289" s="19">
        <f>SUMIFS('Stock Outflow'!$E$2:$E$601,'Stock Outflow'!$A$2:$A$601,$A289,'Stock Outflow'!$D$2:$D$601,$D289)</f>
        <v>0</v>
      </c>
      <c r="J289" s="19">
        <f t="shared" si="24"/>
        <v>298</v>
      </c>
      <c r="K289" s="20">
        <f>INDEX('Item Master'!$F$2:$F$51,MATCH($A289,'Item Master'!$A$2:$A$51,0))</f>
        <v>150</v>
      </c>
      <c r="L289" s="20">
        <f t="shared" si="25"/>
        <v>10350</v>
      </c>
      <c r="M289" s="21">
        <f t="shared" si="26"/>
        <v>2.2999999999999998</v>
      </c>
      <c r="N289" s="19">
        <f>INDEX('Item Master'!$E$2:$E$51,MATCH($A289,'Item Master'!$A$2:$A$51,0))</f>
        <v>10</v>
      </c>
      <c r="O289" s="22">
        <f>INDEX('Product Summary'!$L$2:$L$51,MATCH($A289,'Product Summary'!$A$2:$A$51,0))</f>
        <v>12.972222222222223</v>
      </c>
      <c r="P289" s="22">
        <f>INDEX('Product Summary'!$M$2:$M$51,MATCH($A289,'Product Summary'!$A$2:$A$51,0))</f>
        <v>35.68455098934551</v>
      </c>
      <c r="Q289" s="22">
        <f t="shared" si="27"/>
        <v>129.56521739130434</v>
      </c>
      <c r="R289" s="22">
        <f t="shared" si="28"/>
        <v>114.0501952220237</v>
      </c>
      <c r="S289" s="19" t="str">
        <f t="shared" si="29"/>
        <v>HEALTHY</v>
      </c>
    </row>
    <row r="290" spans="1:19" x14ac:dyDescent="0.3">
      <c r="A290" s="19" t="s">
        <v>120</v>
      </c>
      <c r="B290" s="19" t="s">
        <v>121</v>
      </c>
      <c r="C290" s="19" t="s">
        <v>44</v>
      </c>
      <c r="D290" s="19" t="s">
        <v>27</v>
      </c>
      <c r="E290" s="19">
        <f>SUMIFS('Stock Inflow'!$G$2:$G$601,'Stock Inflow'!$A$2:$A$601,$A290,'Stock Inflow'!$D$2:$D$601,$D290)</f>
        <v>341</v>
      </c>
      <c r="F290" s="19">
        <f>SUMIFS('Stock Inflow'!$F$2:$F$601,'Stock Inflow'!$A$2:$A$601,$A290,'Stock Inflow'!$D$2:$D$601,$D290)</f>
        <v>128</v>
      </c>
      <c r="G290" s="19">
        <f>SUMIFS('Stock Inflow'!$E$2:$E$601,'Stock Inflow'!$A$2:$A$601,$A290,'Stock Inflow'!$D$2:$D$601,$D290)</f>
        <v>2</v>
      </c>
      <c r="H290" s="19">
        <f>SUMIFS('Stock Outflow'!$F$2:$F$601,'Stock Outflow'!$A$2:$A$601,$A290,'Stock Outflow'!$D$2:$D$601,$D290)</f>
        <v>106</v>
      </c>
      <c r="I290" s="19">
        <f>SUMIFS('Stock Outflow'!$E$2:$E$601,'Stock Outflow'!$A$2:$A$601,$A290,'Stock Outflow'!$D$2:$D$601,$D290)</f>
        <v>4</v>
      </c>
      <c r="J290" s="19">
        <f t="shared" si="24"/>
        <v>361</v>
      </c>
      <c r="K290" s="20">
        <f>INDEX('Item Master'!$F$2:$F$51,MATCH($A290,'Item Master'!$A$2:$A$51,0))</f>
        <v>100</v>
      </c>
      <c r="L290" s="20">
        <f t="shared" si="25"/>
        <v>10600</v>
      </c>
      <c r="M290" s="21">
        <f t="shared" si="26"/>
        <v>3.5333333333333332</v>
      </c>
      <c r="N290" s="19">
        <f>INDEX('Item Master'!$E$2:$E$51,MATCH($A290,'Item Master'!$A$2:$A$51,0))</f>
        <v>5</v>
      </c>
      <c r="O290" s="22">
        <f>INDEX('Product Summary'!$L$2:$L$51,MATCH($A290,'Product Summary'!$A$2:$A$51,0))</f>
        <v>14.277777777777775</v>
      </c>
      <c r="P290" s="22">
        <f>INDEX('Product Summary'!$M$2:$M$51,MATCH($A290,'Product Summary'!$A$2:$A$51,0))</f>
        <v>35.37366818873668</v>
      </c>
      <c r="Q290" s="22">
        <f t="shared" si="27"/>
        <v>102.16981132075472</v>
      </c>
      <c r="R290" s="22">
        <f t="shared" si="28"/>
        <v>92.158395795640558</v>
      </c>
      <c r="S290" s="19" t="str">
        <f t="shared" si="29"/>
        <v>HEALTHY</v>
      </c>
    </row>
    <row r="291" spans="1:19" x14ac:dyDescent="0.3">
      <c r="A291" s="19" t="s">
        <v>120</v>
      </c>
      <c r="B291" s="19" t="s">
        <v>121</v>
      </c>
      <c r="C291" s="19" t="s">
        <v>44</v>
      </c>
      <c r="D291" s="19" t="s">
        <v>29</v>
      </c>
      <c r="E291" s="19">
        <f>SUMIFS('Stock Inflow'!$G$2:$G$601,'Stock Inflow'!$A$2:$A$601,$A291,'Stock Inflow'!$D$2:$D$601,$D291)</f>
        <v>361</v>
      </c>
      <c r="F291" s="19">
        <f>SUMIFS('Stock Inflow'!$F$2:$F$601,'Stock Inflow'!$A$2:$A$601,$A291,'Stock Inflow'!$D$2:$D$601,$D291)</f>
        <v>117</v>
      </c>
      <c r="G291" s="19">
        <f>SUMIFS('Stock Inflow'!$E$2:$E$601,'Stock Inflow'!$A$2:$A$601,$A291,'Stock Inflow'!$D$2:$D$601,$D291)</f>
        <v>2</v>
      </c>
      <c r="H291" s="19">
        <f>SUMIFS('Stock Outflow'!$F$2:$F$601,'Stock Outflow'!$A$2:$A$601,$A291,'Stock Outflow'!$D$2:$D$601,$D291)</f>
        <v>122</v>
      </c>
      <c r="I291" s="19">
        <f>SUMIFS('Stock Outflow'!$E$2:$E$601,'Stock Outflow'!$A$2:$A$601,$A291,'Stock Outflow'!$D$2:$D$601,$D291)</f>
        <v>1</v>
      </c>
      <c r="J291" s="19">
        <f t="shared" si="24"/>
        <v>357</v>
      </c>
      <c r="K291" s="20">
        <f>INDEX('Item Master'!$F$2:$F$51,MATCH($A291,'Item Master'!$A$2:$A$51,0))</f>
        <v>100</v>
      </c>
      <c r="L291" s="20">
        <f t="shared" si="25"/>
        <v>12200</v>
      </c>
      <c r="M291" s="21">
        <f t="shared" si="26"/>
        <v>4.0666666666666664</v>
      </c>
      <c r="N291" s="19">
        <f>INDEX('Item Master'!$E$2:$E$51,MATCH($A291,'Item Master'!$A$2:$A$51,0))</f>
        <v>5</v>
      </c>
      <c r="O291" s="22">
        <f>INDEX('Product Summary'!$L$2:$L$51,MATCH($A291,'Product Summary'!$A$2:$A$51,0))</f>
        <v>14.277777777777775</v>
      </c>
      <c r="P291" s="22">
        <f>INDEX('Product Summary'!$M$2:$M$51,MATCH($A291,'Product Summary'!$A$2:$A$51,0))</f>
        <v>35.37366818873668</v>
      </c>
      <c r="Q291" s="22">
        <f t="shared" si="27"/>
        <v>87.786885245901644</v>
      </c>
      <c r="R291" s="22">
        <f t="shared" si="28"/>
        <v>79.088442248671313</v>
      </c>
      <c r="S291" s="19" t="str">
        <f t="shared" si="29"/>
        <v>HEALTHY</v>
      </c>
    </row>
    <row r="292" spans="1:19" x14ac:dyDescent="0.3">
      <c r="A292" s="19" t="s">
        <v>120</v>
      </c>
      <c r="B292" s="19" t="s">
        <v>121</v>
      </c>
      <c r="C292" s="19" t="s">
        <v>44</v>
      </c>
      <c r="D292" s="19" t="s">
        <v>31</v>
      </c>
      <c r="E292" s="19">
        <f>SUMIFS('Stock Inflow'!$G$2:$G$601,'Stock Inflow'!$A$2:$A$601,$A292,'Stock Inflow'!$D$2:$D$601,$D292)</f>
        <v>357</v>
      </c>
      <c r="F292" s="19">
        <f>SUMIFS('Stock Inflow'!$F$2:$F$601,'Stock Inflow'!$A$2:$A$601,$A292,'Stock Inflow'!$D$2:$D$601,$D292)</f>
        <v>102</v>
      </c>
      <c r="G292" s="19">
        <f>SUMIFS('Stock Inflow'!$E$2:$E$601,'Stock Inflow'!$A$2:$A$601,$A292,'Stock Inflow'!$D$2:$D$601,$D292)</f>
        <v>3</v>
      </c>
      <c r="H292" s="19">
        <f>SUMIFS('Stock Outflow'!$F$2:$F$601,'Stock Outflow'!$A$2:$A$601,$A292,'Stock Outflow'!$D$2:$D$601,$D292)</f>
        <v>106</v>
      </c>
      <c r="I292" s="19">
        <f>SUMIFS('Stock Outflow'!$E$2:$E$601,'Stock Outflow'!$A$2:$A$601,$A292,'Stock Outflow'!$D$2:$D$601,$D292)</f>
        <v>0</v>
      </c>
      <c r="J292" s="19">
        <f t="shared" si="24"/>
        <v>356</v>
      </c>
      <c r="K292" s="20">
        <f>INDEX('Item Master'!$F$2:$F$51,MATCH($A292,'Item Master'!$A$2:$A$51,0))</f>
        <v>100</v>
      </c>
      <c r="L292" s="20">
        <f t="shared" si="25"/>
        <v>10600</v>
      </c>
      <c r="M292" s="21">
        <f t="shared" si="26"/>
        <v>3.5333333333333332</v>
      </c>
      <c r="N292" s="19">
        <f>INDEX('Item Master'!$E$2:$E$51,MATCH($A292,'Item Master'!$A$2:$A$51,0))</f>
        <v>5</v>
      </c>
      <c r="O292" s="22">
        <f>INDEX('Product Summary'!$L$2:$L$51,MATCH($A292,'Product Summary'!$A$2:$A$51,0))</f>
        <v>14.277777777777775</v>
      </c>
      <c r="P292" s="22">
        <f>INDEX('Product Summary'!$M$2:$M$51,MATCH($A292,'Product Summary'!$A$2:$A$51,0))</f>
        <v>35.37366818873668</v>
      </c>
      <c r="Q292" s="22">
        <f t="shared" si="27"/>
        <v>100.75471698113208</v>
      </c>
      <c r="R292" s="22">
        <f t="shared" si="28"/>
        <v>90.743301456017917</v>
      </c>
      <c r="S292" s="19" t="str">
        <f t="shared" si="29"/>
        <v>HEALTHY</v>
      </c>
    </row>
    <row r="293" spans="1:19" x14ac:dyDescent="0.3">
      <c r="A293" s="19" t="s">
        <v>120</v>
      </c>
      <c r="B293" s="19" t="s">
        <v>121</v>
      </c>
      <c r="C293" s="19" t="s">
        <v>44</v>
      </c>
      <c r="D293" s="19" t="s">
        <v>33</v>
      </c>
      <c r="E293" s="19">
        <f>SUMIFS('Stock Inflow'!$G$2:$G$601,'Stock Inflow'!$A$2:$A$601,$A293,'Stock Inflow'!$D$2:$D$601,$D293)</f>
        <v>356</v>
      </c>
      <c r="F293" s="19">
        <f>SUMIFS('Stock Inflow'!$F$2:$F$601,'Stock Inflow'!$A$2:$A$601,$A293,'Stock Inflow'!$D$2:$D$601,$D293)</f>
        <v>153</v>
      </c>
      <c r="G293" s="19">
        <f>SUMIFS('Stock Inflow'!$E$2:$E$601,'Stock Inflow'!$A$2:$A$601,$A293,'Stock Inflow'!$D$2:$D$601,$D293)</f>
        <v>3</v>
      </c>
      <c r="H293" s="19">
        <f>SUMIFS('Stock Outflow'!$F$2:$F$601,'Stock Outflow'!$A$2:$A$601,$A293,'Stock Outflow'!$D$2:$D$601,$D293)</f>
        <v>133</v>
      </c>
      <c r="I293" s="19">
        <f>SUMIFS('Stock Outflow'!$E$2:$E$601,'Stock Outflow'!$A$2:$A$601,$A293,'Stock Outflow'!$D$2:$D$601,$D293)</f>
        <v>3</v>
      </c>
      <c r="J293" s="19">
        <f t="shared" si="24"/>
        <v>376</v>
      </c>
      <c r="K293" s="20">
        <f>INDEX('Item Master'!$F$2:$F$51,MATCH($A293,'Item Master'!$A$2:$A$51,0))</f>
        <v>100</v>
      </c>
      <c r="L293" s="20">
        <f t="shared" si="25"/>
        <v>13300</v>
      </c>
      <c r="M293" s="21">
        <f t="shared" si="26"/>
        <v>4.4333333333333336</v>
      </c>
      <c r="N293" s="19">
        <f>INDEX('Item Master'!$E$2:$E$51,MATCH($A293,'Item Master'!$A$2:$A$51,0))</f>
        <v>5</v>
      </c>
      <c r="O293" s="22">
        <f>INDEX('Product Summary'!$L$2:$L$51,MATCH($A293,'Product Summary'!$A$2:$A$51,0))</f>
        <v>14.277777777777775</v>
      </c>
      <c r="P293" s="22">
        <f>INDEX('Product Summary'!$M$2:$M$51,MATCH($A293,'Product Summary'!$A$2:$A$51,0))</f>
        <v>35.37366818873668</v>
      </c>
      <c r="Q293" s="22">
        <f t="shared" si="27"/>
        <v>84.812030075187963</v>
      </c>
      <c r="R293" s="22">
        <f t="shared" si="28"/>
        <v>76.833007175472915</v>
      </c>
      <c r="S293" s="19" t="str">
        <f t="shared" si="29"/>
        <v>HEALTHY</v>
      </c>
    </row>
    <row r="294" spans="1:19" x14ac:dyDescent="0.3">
      <c r="A294" s="19" t="s">
        <v>120</v>
      </c>
      <c r="B294" s="19" t="s">
        <v>121</v>
      </c>
      <c r="C294" s="19" t="s">
        <v>44</v>
      </c>
      <c r="D294" s="19" t="s">
        <v>35</v>
      </c>
      <c r="E294" s="19">
        <f>SUMIFS('Stock Inflow'!$G$2:$G$601,'Stock Inflow'!$A$2:$A$601,$A294,'Stock Inflow'!$D$2:$D$601,$D294)</f>
        <v>376</v>
      </c>
      <c r="F294" s="19">
        <f>SUMIFS('Stock Inflow'!$F$2:$F$601,'Stock Inflow'!$A$2:$A$601,$A294,'Stock Inflow'!$D$2:$D$601,$D294)</f>
        <v>141</v>
      </c>
      <c r="G294" s="19">
        <f>SUMIFS('Stock Inflow'!$E$2:$E$601,'Stock Inflow'!$A$2:$A$601,$A294,'Stock Inflow'!$D$2:$D$601,$D294)</f>
        <v>4</v>
      </c>
      <c r="H294" s="19">
        <f>SUMIFS('Stock Outflow'!$F$2:$F$601,'Stock Outflow'!$A$2:$A$601,$A294,'Stock Outflow'!$D$2:$D$601,$D294)</f>
        <v>120</v>
      </c>
      <c r="I294" s="19">
        <f>SUMIFS('Stock Outflow'!$E$2:$E$601,'Stock Outflow'!$A$2:$A$601,$A294,'Stock Outflow'!$D$2:$D$601,$D294)</f>
        <v>3</v>
      </c>
      <c r="J294" s="19">
        <f t="shared" si="24"/>
        <v>398</v>
      </c>
      <c r="K294" s="20">
        <f>INDEX('Item Master'!$F$2:$F$51,MATCH($A294,'Item Master'!$A$2:$A$51,0))</f>
        <v>100</v>
      </c>
      <c r="L294" s="20">
        <f t="shared" si="25"/>
        <v>12000</v>
      </c>
      <c r="M294" s="21">
        <f t="shared" si="26"/>
        <v>4</v>
      </c>
      <c r="N294" s="19">
        <f>INDEX('Item Master'!$E$2:$E$51,MATCH($A294,'Item Master'!$A$2:$A$51,0))</f>
        <v>5</v>
      </c>
      <c r="O294" s="22">
        <f>INDEX('Product Summary'!$L$2:$L$51,MATCH($A294,'Product Summary'!$A$2:$A$51,0))</f>
        <v>14.277777777777775</v>
      </c>
      <c r="P294" s="22">
        <f>INDEX('Product Summary'!$M$2:$M$51,MATCH($A294,'Product Summary'!$A$2:$A$51,0))</f>
        <v>35.37366818873668</v>
      </c>
      <c r="Q294" s="22">
        <f t="shared" si="27"/>
        <v>99.5</v>
      </c>
      <c r="R294" s="22">
        <f t="shared" si="28"/>
        <v>90.656582952815825</v>
      </c>
      <c r="S294" s="19" t="str">
        <f t="shared" si="29"/>
        <v>HEALTHY</v>
      </c>
    </row>
    <row r="295" spans="1:19" x14ac:dyDescent="0.3">
      <c r="A295" s="19" t="s">
        <v>120</v>
      </c>
      <c r="B295" s="19" t="s">
        <v>121</v>
      </c>
      <c r="C295" s="19" t="s">
        <v>44</v>
      </c>
      <c r="D295" s="19" t="s">
        <v>37</v>
      </c>
      <c r="E295" s="19">
        <f>SUMIFS('Stock Inflow'!$G$2:$G$601,'Stock Inflow'!$A$2:$A$601,$A295,'Stock Inflow'!$D$2:$D$601,$D295)</f>
        <v>398</v>
      </c>
      <c r="F295" s="19">
        <f>SUMIFS('Stock Inflow'!$F$2:$F$601,'Stock Inflow'!$A$2:$A$601,$A295,'Stock Inflow'!$D$2:$D$601,$D295)</f>
        <v>138</v>
      </c>
      <c r="G295" s="19">
        <f>SUMIFS('Stock Inflow'!$E$2:$E$601,'Stock Inflow'!$A$2:$A$601,$A295,'Stock Inflow'!$D$2:$D$601,$D295)</f>
        <v>5</v>
      </c>
      <c r="H295" s="19">
        <f>SUMIFS('Stock Outflow'!$F$2:$F$601,'Stock Outflow'!$A$2:$A$601,$A295,'Stock Outflow'!$D$2:$D$601,$D295)</f>
        <v>134</v>
      </c>
      <c r="I295" s="19">
        <f>SUMIFS('Stock Outflow'!$E$2:$E$601,'Stock Outflow'!$A$2:$A$601,$A295,'Stock Outflow'!$D$2:$D$601,$D295)</f>
        <v>1</v>
      </c>
      <c r="J295" s="19">
        <f t="shared" si="24"/>
        <v>406</v>
      </c>
      <c r="K295" s="20">
        <f>INDEX('Item Master'!$F$2:$F$51,MATCH($A295,'Item Master'!$A$2:$A$51,0))</f>
        <v>100</v>
      </c>
      <c r="L295" s="20">
        <f t="shared" si="25"/>
        <v>13400</v>
      </c>
      <c r="M295" s="21">
        <f t="shared" si="26"/>
        <v>4.4666666666666668</v>
      </c>
      <c r="N295" s="19">
        <f>INDEX('Item Master'!$E$2:$E$51,MATCH($A295,'Item Master'!$A$2:$A$51,0))</f>
        <v>5</v>
      </c>
      <c r="O295" s="22">
        <f>INDEX('Product Summary'!$L$2:$L$51,MATCH($A295,'Product Summary'!$A$2:$A$51,0))</f>
        <v>14.277777777777775</v>
      </c>
      <c r="P295" s="22">
        <f>INDEX('Product Summary'!$M$2:$M$51,MATCH($A295,'Product Summary'!$A$2:$A$51,0))</f>
        <v>35.37366818873668</v>
      </c>
      <c r="Q295" s="22">
        <f t="shared" si="27"/>
        <v>90.895522388059703</v>
      </c>
      <c r="R295" s="22">
        <f t="shared" si="28"/>
        <v>82.976044435357451</v>
      </c>
      <c r="S295" s="19" t="str">
        <f t="shared" si="29"/>
        <v>HEALTHY</v>
      </c>
    </row>
    <row r="296" spans="1:19" x14ac:dyDescent="0.3">
      <c r="A296" s="19" t="s">
        <v>120</v>
      </c>
      <c r="B296" s="19" t="s">
        <v>121</v>
      </c>
      <c r="C296" s="19" t="s">
        <v>44</v>
      </c>
      <c r="D296" s="19" t="s">
        <v>39</v>
      </c>
      <c r="E296" s="19">
        <f>SUMIFS('Stock Inflow'!$G$2:$G$601,'Stock Inflow'!$A$2:$A$601,$A296,'Stock Inflow'!$D$2:$D$601,$D296)</f>
        <v>406</v>
      </c>
      <c r="F296" s="19">
        <f>SUMIFS('Stock Inflow'!$F$2:$F$601,'Stock Inflow'!$A$2:$A$601,$A296,'Stock Inflow'!$D$2:$D$601,$D296)</f>
        <v>125</v>
      </c>
      <c r="G296" s="19">
        <f>SUMIFS('Stock Inflow'!$E$2:$E$601,'Stock Inflow'!$A$2:$A$601,$A296,'Stock Inflow'!$D$2:$D$601,$D296)</f>
        <v>3</v>
      </c>
      <c r="H296" s="19">
        <f>SUMIFS('Stock Outflow'!$F$2:$F$601,'Stock Outflow'!$A$2:$A$601,$A296,'Stock Outflow'!$D$2:$D$601,$D296)</f>
        <v>115</v>
      </c>
      <c r="I296" s="19">
        <f>SUMIFS('Stock Outflow'!$E$2:$E$601,'Stock Outflow'!$A$2:$A$601,$A296,'Stock Outflow'!$D$2:$D$601,$D296)</f>
        <v>3</v>
      </c>
      <c r="J296" s="19">
        <f t="shared" si="24"/>
        <v>416</v>
      </c>
      <c r="K296" s="20">
        <f>INDEX('Item Master'!$F$2:$F$51,MATCH($A296,'Item Master'!$A$2:$A$51,0))</f>
        <v>100</v>
      </c>
      <c r="L296" s="20">
        <f t="shared" si="25"/>
        <v>11500</v>
      </c>
      <c r="M296" s="21">
        <f t="shared" si="26"/>
        <v>3.8333333333333335</v>
      </c>
      <c r="N296" s="19">
        <f>INDEX('Item Master'!$E$2:$E$51,MATCH($A296,'Item Master'!$A$2:$A$51,0))</f>
        <v>5</v>
      </c>
      <c r="O296" s="22">
        <f>INDEX('Product Summary'!$L$2:$L$51,MATCH($A296,'Product Summary'!$A$2:$A$51,0))</f>
        <v>14.277777777777775</v>
      </c>
      <c r="P296" s="22">
        <f>INDEX('Product Summary'!$M$2:$M$51,MATCH($A296,'Product Summary'!$A$2:$A$51,0))</f>
        <v>35.37366818873668</v>
      </c>
      <c r="Q296" s="22">
        <f t="shared" si="27"/>
        <v>108.52173913043478</v>
      </c>
      <c r="R296" s="22">
        <f t="shared" si="28"/>
        <v>99.293825689894774</v>
      </c>
      <c r="S296" s="19" t="str">
        <f t="shared" si="29"/>
        <v>HEALTHY</v>
      </c>
    </row>
    <row r="297" spans="1:19" x14ac:dyDescent="0.3">
      <c r="A297" s="19" t="s">
        <v>120</v>
      </c>
      <c r="B297" s="19" t="s">
        <v>121</v>
      </c>
      <c r="C297" s="19" t="s">
        <v>44</v>
      </c>
      <c r="D297" s="19" t="s">
        <v>41</v>
      </c>
      <c r="E297" s="19">
        <f>SUMIFS('Stock Inflow'!$G$2:$G$601,'Stock Inflow'!$A$2:$A$601,$A297,'Stock Inflow'!$D$2:$D$601,$D297)</f>
        <v>416</v>
      </c>
      <c r="F297" s="19">
        <f>SUMIFS('Stock Inflow'!$F$2:$F$601,'Stock Inflow'!$A$2:$A$601,$A297,'Stock Inflow'!$D$2:$D$601,$D297)</f>
        <v>125</v>
      </c>
      <c r="G297" s="19">
        <f>SUMIFS('Stock Inflow'!$E$2:$E$601,'Stock Inflow'!$A$2:$A$601,$A297,'Stock Inflow'!$D$2:$D$601,$D297)</f>
        <v>1</v>
      </c>
      <c r="H297" s="19">
        <f>SUMIFS('Stock Outflow'!$F$2:$F$601,'Stock Outflow'!$A$2:$A$601,$A297,'Stock Outflow'!$D$2:$D$601,$D297)</f>
        <v>120</v>
      </c>
      <c r="I297" s="19">
        <f>SUMIFS('Stock Outflow'!$E$2:$E$601,'Stock Outflow'!$A$2:$A$601,$A297,'Stock Outflow'!$D$2:$D$601,$D297)</f>
        <v>2</v>
      </c>
      <c r="J297" s="19">
        <f t="shared" si="24"/>
        <v>420</v>
      </c>
      <c r="K297" s="20">
        <f>INDEX('Item Master'!$F$2:$F$51,MATCH($A297,'Item Master'!$A$2:$A$51,0))</f>
        <v>100</v>
      </c>
      <c r="L297" s="20">
        <f t="shared" si="25"/>
        <v>12000</v>
      </c>
      <c r="M297" s="21">
        <f t="shared" si="26"/>
        <v>4</v>
      </c>
      <c r="N297" s="19">
        <f>INDEX('Item Master'!$E$2:$E$51,MATCH($A297,'Item Master'!$A$2:$A$51,0))</f>
        <v>5</v>
      </c>
      <c r="O297" s="22">
        <f>INDEX('Product Summary'!$L$2:$L$51,MATCH($A297,'Product Summary'!$A$2:$A$51,0))</f>
        <v>14.277777777777775</v>
      </c>
      <c r="P297" s="22">
        <f>INDEX('Product Summary'!$M$2:$M$51,MATCH($A297,'Product Summary'!$A$2:$A$51,0))</f>
        <v>35.37366818873668</v>
      </c>
      <c r="Q297" s="22">
        <f t="shared" si="27"/>
        <v>105</v>
      </c>
      <c r="R297" s="22">
        <f t="shared" si="28"/>
        <v>96.156582952815825</v>
      </c>
      <c r="S297" s="19" t="str">
        <f t="shared" si="29"/>
        <v>HEALTHY</v>
      </c>
    </row>
    <row r="298" spans="1:19" x14ac:dyDescent="0.3">
      <c r="A298" s="19" t="s">
        <v>120</v>
      </c>
      <c r="B298" s="19" t="s">
        <v>121</v>
      </c>
      <c r="C298" s="19" t="s">
        <v>44</v>
      </c>
      <c r="D298" s="19" t="s">
        <v>43</v>
      </c>
      <c r="E298" s="19">
        <f>SUMIFS('Stock Inflow'!$G$2:$G$601,'Stock Inflow'!$A$2:$A$601,$A298,'Stock Inflow'!$D$2:$D$601,$D298)</f>
        <v>420</v>
      </c>
      <c r="F298" s="19">
        <f>SUMIFS('Stock Inflow'!$F$2:$F$601,'Stock Inflow'!$A$2:$A$601,$A298,'Stock Inflow'!$D$2:$D$601,$D298)</f>
        <v>106</v>
      </c>
      <c r="G298" s="19">
        <f>SUMIFS('Stock Inflow'!$E$2:$E$601,'Stock Inflow'!$A$2:$A$601,$A298,'Stock Inflow'!$D$2:$D$601,$D298)</f>
        <v>2</v>
      </c>
      <c r="H298" s="19">
        <f>SUMIFS('Stock Outflow'!$F$2:$F$601,'Stock Outflow'!$A$2:$A$601,$A298,'Stock Outflow'!$D$2:$D$601,$D298)</f>
        <v>101</v>
      </c>
      <c r="I298" s="19">
        <f>SUMIFS('Stock Outflow'!$E$2:$E$601,'Stock Outflow'!$A$2:$A$601,$A298,'Stock Outflow'!$D$2:$D$601,$D298)</f>
        <v>2</v>
      </c>
      <c r="J298" s="19">
        <f t="shared" si="24"/>
        <v>425</v>
      </c>
      <c r="K298" s="20">
        <f>INDEX('Item Master'!$F$2:$F$51,MATCH($A298,'Item Master'!$A$2:$A$51,0))</f>
        <v>100</v>
      </c>
      <c r="L298" s="20">
        <f t="shared" si="25"/>
        <v>10100</v>
      </c>
      <c r="M298" s="21">
        <f t="shared" si="26"/>
        <v>3.3666666666666667</v>
      </c>
      <c r="N298" s="19">
        <f>INDEX('Item Master'!$E$2:$E$51,MATCH($A298,'Item Master'!$A$2:$A$51,0))</f>
        <v>5</v>
      </c>
      <c r="O298" s="22">
        <f>INDEX('Product Summary'!$L$2:$L$51,MATCH($A298,'Product Summary'!$A$2:$A$51,0))</f>
        <v>14.277777777777775</v>
      </c>
      <c r="P298" s="22">
        <f>INDEX('Product Summary'!$M$2:$M$51,MATCH($A298,'Product Summary'!$A$2:$A$51,0))</f>
        <v>35.37366818873668</v>
      </c>
      <c r="Q298" s="22">
        <f t="shared" si="27"/>
        <v>126.23762376237623</v>
      </c>
      <c r="R298" s="22">
        <f t="shared" si="28"/>
        <v>115.73059360730593</v>
      </c>
      <c r="S298" s="19" t="str">
        <f t="shared" si="29"/>
        <v>HEALTHY</v>
      </c>
    </row>
    <row r="299" spans="1:19" x14ac:dyDescent="0.3">
      <c r="A299" s="19" t="s">
        <v>120</v>
      </c>
      <c r="B299" s="19" t="s">
        <v>121</v>
      </c>
      <c r="C299" s="19" t="s">
        <v>44</v>
      </c>
      <c r="D299" s="19" t="s">
        <v>45</v>
      </c>
      <c r="E299" s="19">
        <f>SUMIFS('Stock Inflow'!$G$2:$G$601,'Stock Inflow'!$A$2:$A$601,$A299,'Stock Inflow'!$D$2:$D$601,$D299)</f>
        <v>425</v>
      </c>
      <c r="F299" s="19">
        <f>SUMIFS('Stock Inflow'!$F$2:$F$601,'Stock Inflow'!$A$2:$A$601,$A299,'Stock Inflow'!$D$2:$D$601,$D299)</f>
        <v>200</v>
      </c>
      <c r="G299" s="19">
        <f>SUMIFS('Stock Inflow'!$E$2:$E$601,'Stock Inflow'!$A$2:$A$601,$A299,'Stock Inflow'!$D$2:$D$601,$D299)</f>
        <v>6</v>
      </c>
      <c r="H299" s="19">
        <f>SUMIFS('Stock Outflow'!$F$2:$F$601,'Stock Outflow'!$A$2:$A$601,$A299,'Stock Outflow'!$D$2:$D$601,$D299)</f>
        <v>214</v>
      </c>
      <c r="I299" s="19">
        <f>SUMIFS('Stock Outflow'!$E$2:$E$601,'Stock Outflow'!$A$2:$A$601,$A299,'Stock Outflow'!$D$2:$D$601,$D299)</f>
        <v>2</v>
      </c>
      <c r="J299" s="19">
        <f t="shared" si="24"/>
        <v>415</v>
      </c>
      <c r="K299" s="20">
        <f>INDEX('Item Master'!$F$2:$F$51,MATCH($A299,'Item Master'!$A$2:$A$51,0))</f>
        <v>100</v>
      </c>
      <c r="L299" s="20">
        <f t="shared" si="25"/>
        <v>21400</v>
      </c>
      <c r="M299" s="21">
        <f t="shared" si="26"/>
        <v>7.1333333333333337</v>
      </c>
      <c r="N299" s="19">
        <f>INDEX('Item Master'!$E$2:$E$51,MATCH($A299,'Item Master'!$A$2:$A$51,0))</f>
        <v>5</v>
      </c>
      <c r="O299" s="22">
        <f>INDEX('Product Summary'!$L$2:$L$51,MATCH($A299,'Product Summary'!$A$2:$A$51,0))</f>
        <v>14.277777777777775</v>
      </c>
      <c r="P299" s="22">
        <f>INDEX('Product Summary'!$M$2:$M$51,MATCH($A299,'Product Summary'!$A$2:$A$51,0))</f>
        <v>35.37366818873668</v>
      </c>
      <c r="Q299" s="22">
        <f t="shared" si="27"/>
        <v>58.177570093457938</v>
      </c>
      <c r="R299" s="22">
        <f t="shared" si="28"/>
        <v>53.218644646438776</v>
      </c>
      <c r="S299" s="19" t="str">
        <f t="shared" si="29"/>
        <v>HEALTHY</v>
      </c>
    </row>
    <row r="300" spans="1:19" x14ac:dyDescent="0.3">
      <c r="A300" s="19" t="s">
        <v>120</v>
      </c>
      <c r="B300" s="19" t="s">
        <v>121</v>
      </c>
      <c r="C300" s="19" t="s">
        <v>44</v>
      </c>
      <c r="D300" s="19" t="s">
        <v>47</v>
      </c>
      <c r="E300" s="19">
        <f>SUMIFS('Stock Inflow'!$G$2:$G$601,'Stock Inflow'!$A$2:$A$601,$A300,'Stock Inflow'!$D$2:$D$601,$D300)</f>
        <v>415</v>
      </c>
      <c r="F300" s="19">
        <f>SUMIFS('Stock Inflow'!$F$2:$F$601,'Stock Inflow'!$A$2:$A$601,$A300,'Stock Inflow'!$D$2:$D$601,$D300)</f>
        <v>177</v>
      </c>
      <c r="G300" s="19">
        <f>SUMIFS('Stock Inflow'!$E$2:$E$601,'Stock Inflow'!$A$2:$A$601,$A300,'Stock Inflow'!$D$2:$D$601,$D300)</f>
        <v>4</v>
      </c>
      <c r="H300" s="19">
        <f>SUMIFS('Stock Outflow'!$F$2:$F$601,'Stock Outflow'!$A$2:$A$601,$A300,'Stock Outflow'!$D$2:$D$601,$D300)</f>
        <v>138</v>
      </c>
      <c r="I300" s="19">
        <f>SUMIFS('Stock Outflow'!$E$2:$E$601,'Stock Outflow'!$A$2:$A$601,$A300,'Stock Outflow'!$D$2:$D$601,$D300)</f>
        <v>0</v>
      </c>
      <c r="J300" s="19">
        <f t="shared" si="24"/>
        <v>458</v>
      </c>
      <c r="K300" s="20">
        <f>INDEX('Item Master'!$F$2:$F$51,MATCH($A300,'Item Master'!$A$2:$A$51,0))</f>
        <v>100</v>
      </c>
      <c r="L300" s="20">
        <f t="shared" si="25"/>
        <v>13800</v>
      </c>
      <c r="M300" s="21">
        <f t="shared" si="26"/>
        <v>4.5999999999999996</v>
      </c>
      <c r="N300" s="19">
        <f>INDEX('Item Master'!$E$2:$E$51,MATCH($A300,'Item Master'!$A$2:$A$51,0))</f>
        <v>5</v>
      </c>
      <c r="O300" s="22">
        <f>INDEX('Product Summary'!$L$2:$L$51,MATCH($A300,'Product Summary'!$A$2:$A$51,0))</f>
        <v>14.277777777777775</v>
      </c>
      <c r="P300" s="22">
        <f>INDEX('Product Summary'!$M$2:$M$51,MATCH($A300,'Product Summary'!$A$2:$A$51,0))</f>
        <v>35.37366818873668</v>
      </c>
      <c r="Q300" s="22">
        <f t="shared" si="27"/>
        <v>99.565217391304358</v>
      </c>
      <c r="R300" s="22">
        <f t="shared" si="28"/>
        <v>91.875289524187679</v>
      </c>
      <c r="S300" s="19" t="str">
        <f t="shared" si="29"/>
        <v>HEALTHY</v>
      </c>
    </row>
    <row r="301" spans="1:19" x14ac:dyDescent="0.3">
      <c r="A301" s="19" t="s">
        <v>120</v>
      </c>
      <c r="B301" s="19" t="s">
        <v>121</v>
      </c>
      <c r="C301" s="19" t="s">
        <v>44</v>
      </c>
      <c r="D301" s="19" t="s">
        <v>49</v>
      </c>
      <c r="E301" s="19">
        <f>SUMIFS('Stock Inflow'!$G$2:$G$601,'Stock Inflow'!$A$2:$A$601,$A301,'Stock Inflow'!$D$2:$D$601,$D301)</f>
        <v>458</v>
      </c>
      <c r="F301" s="19">
        <f>SUMIFS('Stock Inflow'!$F$2:$F$601,'Stock Inflow'!$A$2:$A$601,$A301,'Stock Inflow'!$D$2:$D$601,$D301)</f>
        <v>148</v>
      </c>
      <c r="G301" s="19">
        <f>SUMIFS('Stock Inflow'!$E$2:$E$601,'Stock Inflow'!$A$2:$A$601,$A301,'Stock Inflow'!$D$2:$D$601,$D301)</f>
        <v>2</v>
      </c>
      <c r="H301" s="19">
        <f>SUMIFS('Stock Outflow'!$F$2:$F$601,'Stock Outflow'!$A$2:$A$601,$A301,'Stock Outflow'!$D$2:$D$601,$D301)</f>
        <v>131</v>
      </c>
      <c r="I301" s="19">
        <f>SUMIFS('Stock Outflow'!$E$2:$E$601,'Stock Outflow'!$A$2:$A$601,$A301,'Stock Outflow'!$D$2:$D$601,$D301)</f>
        <v>3</v>
      </c>
      <c r="J301" s="19">
        <f t="shared" si="24"/>
        <v>474</v>
      </c>
      <c r="K301" s="20">
        <f>INDEX('Item Master'!$F$2:$F$51,MATCH($A301,'Item Master'!$A$2:$A$51,0))</f>
        <v>100</v>
      </c>
      <c r="L301" s="20">
        <f t="shared" si="25"/>
        <v>13100</v>
      </c>
      <c r="M301" s="21">
        <f t="shared" si="26"/>
        <v>4.3666666666666663</v>
      </c>
      <c r="N301" s="19">
        <f>INDEX('Item Master'!$E$2:$E$51,MATCH($A301,'Item Master'!$A$2:$A$51,0))</f>
        <v>5</v>
      </c>
      <c r="O301" s="22">
        <f>INDEX('Product Summary'!$L$2:$L$51,MATCH($A301,'Product Summary'!$A$2:$A$51,0))</f>
        <v>14.277777777777775</v>
      </c>
      <c r="P301" s="22">
        <f>INDEX('Product Summary'!$M$2:$M$51,MATCH($A301,'Product Summary'!$A$2:$A$51,0))</f>
        <v>35.37366818873668</v>
      </c>
      <c r="Q301" s="22">
        <f t="shared" si="27"/>
        <v>108.54961832061069</v>
      </c>
      <c r="R301" s="22">
        <f t="shared" si="28"/>
        <v>100.44877827738856</v>
      </c>
      <c r="S301" s="19" t="str">
        <f t="shared" si="29"/>
        <v>HEALTHY</v>
      </c>
    </row>
    <row r="302" spans="1:19" x14ac:dyDescent="0.3">
      <c r="A302" s="19" t="s">
        <v>122</v>
      </c>
      <c r="B302" s="19" t="s">
        <v>123</v>
      </c>
      <c r="C302" s="19" t="s">
        <v>28</v>
      </c>
      <c r="D302" s="19" t="s">
        <v>27</v>
      </c>
      <c r="E302" s="19">
        <f>SUMIFS('Stock Inflow'!$G$2:$G$601,'Stock Inflow'!$A$2:$A$601,$A302,'Stock Inflow'!$D$2:$D$601,$D302)</f>
        <v>111</v>
      </c>
      <c r="F302" s="19">
        <f>SUMIFS('Stock Inflow'!$F$2:$F$601,'Stock Inflow'!$A$2:$A$601,$A302,'Stock Inflow'!$D$2:$D$601,$D302)</f>
        <v>17</v>
      </c>
      <c r="G302" s="19">
        <f>SUMIFS('Stock Inflow'!$E$2:$E$601,'Stock Inflow'!$A$2:$A$601,$A302,'Stock Inflow'!$D$2:$D$601,$D302)</f>
        <v>0</v>
      </c>
      <c r="H302" s="19">
        <f>SUMIFS('Stock Outflow'!$F$2:$F$601,'Stock Outflow'!$A$2:$A$601,$A302,'Stock Outflow'!$D$2:$D$601,$D302)</f>
        <v>14</v>
      </c>
      <c r="I302" s="19">
        <f>SUMIFS('Stock Outflow'!$E$2:$E$601,'Stock Outflow'!$A$2:$A$601,$A302,'Stock Outflow'!$D$2:$D$601,$D302)</f>
        <v>1</v>
      </c>
      <c r="J302" s="19">
        <f t="shared" si="24"/>
        <v>113</v>
      </c>
      <c r="K302" s="20">
        <f>INDEX('Item Master'!$F$2:$F$51,MATCH($A302,'Item Master'!$A$2:$A$51,0))</f>
        <v>120</v>
      </c>
      <c r="L302" s="20">
        <f t="shared" si="25"/>
        <v>1680</v>
      </c>
      <c r="M302" s="21">
        <f t="shared" si="26"/>
        <v>0.46666666666666667</v>
      </c>
      <c r="N302" s="19">
        <f>INDEX('Item Master'!$E$2:$E$51,MATCH($A302,'Item Master'!$A$2:$A$51,0))</f>
        <v>14</v>
      </c>
      <c r="O302" s="22">
        <f>INDEX('Product Summary'!$L$2:$L$51,MATCH($A302,'Product Summary'!$A$2:$A$51,0))</f>
        <v>3.6555555555555559</v>
      </c>
      <c r="P302" s="22">
        <f>INDEX('Product Summary'!$M$2:$M$51,MATCH($A302,'Product Summary'!$A$2:$A$51,0))</f>
        <v>10.636377473363776</v>
      </c>
      <c r="Q302" s="22">
        <f t="shared" si="27"/>
        <v>242.14285714285714</v>
      </c>
      <c r="R302" s="22">
        <f t="shared" si="28"/>
        <v>219.35061969993475</v>
      </c>
      <c r="S302" s="19" t="str">
        <f t="shared" si="29"/>
        <v>OVERSTOCK</v>
      </c>
    </row>
    <row r="303" spans="1:19" x14ac:dyDescent="0.3">
      <c r="A303" s="19" t="s">
        <v>122</v>
      </c>
      <c r="B303" s="19" t="s">
        <v>123</v>
      </c>
      <c r="C303" s="19" t="s">
        <v>28</v>
      </c>
      <c r="D303" s="19" t="s">
        <v>29</v>
      </c>
      <c r="E303" s="19">
        <f>SUMIFS('Stock Inflow'!$G$2:$G$601,'Stock Inflow'!$A$2:$A$601,$A303,'Stock Inflow'!$D$2:$D$601,$D303)</f>
        <v>113</v>
      </c>
      <c r="F303" s="19">
        <f>SUMIFS('Stock Inflow'!$F$2:$F$601,'Stock Inflow'!$A$2:$A$601,$A303,'Stock Inflow'!$D$2:$D$601,$D303)</f>
        <v>14</v>
      </c>
      <c r="G303" s="19">
        <f>SUMIFS('Stock Inflow'!$E$2:$E$601,'Stock Inflow'!$A$2:$A$601,$A303,'Stock Inflow'!$D$2:$D$601,$D303)</f>
        <v>0</v>
      </c>
      <c r="H303" s="19">
        <f>SUMIFS('Stock Outflow'!$F$2:$F$601,'Stock Outflow'!$A$2:$A$601,$A303,'Stock Outflow'!$D$2:$D$601,$D303)</f>
        <v>12</v>
      </c>
      <c r="I303" s="19">
        <f>SUMIFS('Stock Outflow'!$E$2:$E$601,'Stock Outflow'!$A$2:$A$601,$A303,'Stock Outflow'!$D$2:$D$601,$D303)</f>
        <v>0</v>
      </c>
      <c r="J303" s="19">
        <f t="shared" si="24"/>
        <v>115</v>
      </c>
      <c r="K303" s="20">
        <f>INDEX('Item Master'!$F$2:$F$51,MATCH($A303,'Item Master'!$A$2:$A$51,0))</f>
        <v>120</v>
      </c>
      <c r="L303" s="20">
        <f t="shared" si="25"/>
        <v>1440</v>
      </c>
      <c r="M303" s="21">
        <f t="shared" si="26"/>
        <v>0.4</v>
      </c>
      <c r="N303" s="19">
        <f>INDEX('Item Master'!$E$2:$E$51,MATCH($A303,'Item Master'!$A$2:$A$51,0))</f>
        <v>14</v>
      </c>
      <c r="O303" s="22">
        <f>INDEX('Product Summary'!$L$2:$L$51,MATCH($A303,'Product Summary'!$A$2:$A$51,0))</f>
        <v>3.6555555555555559</v>
      </c>
      <c r="P303" s="22">
        <f>INDEX('Product Summary'!$M$2:$M$51,MATCH($A303,'Product Summary'!$A$2:$A$51,0))</f>
        <v>10.636377473363776</v>
      </c>
      <c r="Q303" s="22">
        <f t="shared" si="27"/>
        <v>287.5</v>
      </c>
      <c r="R303" s="22">
        <f t="shared" si="28"/>
        <v>260.90905631659052</v>
      </c>
      <c r="S303" s="19" t="str">
        <f t="shared" si="29"/>
        <v>OVERSTOCK</v>
      </c>
    </row>
    <row r="304" spans="1:19" x14ac:dyDescent="0.3">
      <c r="A304" s="19" t="s">
        <v>122</v>
      </c>
      <c r="B304" s="19" t="s">
        <v>123</v>
      </c>
      <c r="C304" s="19" t="s">
        <v>28</v>
      </c>
      <c r="D304" s="19" t="s">
        <v>31</v>
      </c>
      <c r="E304" s="19">
        <f>SUMIFS('Stock Inflow'!$G$2:$G$601,'Stock Inflow'!$A$2:$A$601,$A304,'Stock Inflow'!$D$2:$D$601,$D304)</f>
        <v>115</v>
      </c>
      <c r="F304" s="19">
        <f>SUMIFS('Stock Inflow'!$F$2:$F$601,'Stock Inflow'!$A$2:$A$601,$A304,'Stock Inflow'!$D$2:$D$601,$D304)</f>
        <v>18</v>
      </c>
      <c r="G304" s="19">
        <f>SUMIFS('Stock Inflow'!$E$2:$E$601,'Stock Inflow'!$A$2:$A$601,$A304,'Stock Inflow'!$D$2:$D$601,$D304)</f>
        <v>0</v>
      </c>
      <c r="H304" s="19">
        <f>SUMIFS('Stock Outflow'!$F$2:$F$601,'Stock Outflow'!$A$2:$A$601,$A304,'Stock Outflow'!$D$2:$D$601,$D304)</f>
        <v>16</v>
      </c>
      <c r="I304" s="19">
        <f>SUMIFS('Stock Outflow'!$E$2:$E$601,'Stock Outflow'!$A$2:$A$601,$A304,'Stock Outflow'!$D$2:$D$601,$D304)</f>
        <v>0</v>
      </c>
      <c r="J304" s="19">
        <f t="shared" si="24"/>
        <v>117</v>
      </c>
      <c r="K304" s="20">
        <f>INDEX('Item Master'!$F$2:$F$51,MATCH($A304,'Item Master'!$A$2:$A$51,0))</f>
        <v>120</v>
      </c>
      <c r="L304" s="20">
        <f t="shared" si="25"/>
        <v>1920</v>
      </c>
      <c r="M304" s="21">
        <f t="shared" si="26"/>
        <v>0.53333333333333333</v>
      </c>
      <c r="N304" s="19">
        <f>INDEX('Item Master'!$E$2:$E$51,MATCH($A304,'Item Master'!$A$2:$A$51,0))</f>
        <v>14</v>
      </c>
      <c r="O304" s="22">
        <f>INDEX('Product Summary'!$L$2:$L$51,MATCH($A304,'Product Summary'!$A$2:$A$51,0))</f>
        <v>3.6555555555555559</v>
      </c>
      <c r="P304" s="22">
        <f>INDEX('Product Summary'!$M$2:$M$51,MATCH($A304,'Product Summary'!$A$2:$A$51,0))</f>
        <v>10.636377473363776</v>
      </c>
      <c r="Q304" s="22">
        <f t="shared" si="27"/>
        <v>219.375</v>
      </c>
      <c r="R304" s="22">
        <f t="shared" si="28"/>
        <v>199.43179223744292</v>
      </c>
      <c r="S304" s="19" t="str">
        <f t="shared" si="29"/>
        <v>OVERSTOCK</v>
      </c>
    </row>
    <row r="305" spans="1:19" x14ac:dyDescent="0.3">
      <c r="A305" s="19" t="s">
        <v>122</v>
      </c>
      <c r="B305" s="19" t="s">
        <v>123</v>
      </c>
      <c r="C305" s="19" t="s">
        <v>28</v>
      </c>
      <c r="D305" s="19" t="s">
        <v>33</v>
      </c>
      <c r="E305" s="19">
        <f>SUMIFS('Stock Inflow'!$G$2:$G$601,'Stock Inflow'!$A$2:$A$601,$A305,'Stock Inflow'!$D$2:$D$601,$D305)</f>
        <v>117</v>
      </c>
      <c r="F305" s="19">
        <f>SUMIFS('Stock Inflow'!$F$2:$F$601,'Stock Inflow'!$A$2:$A$601,$A305,'Stock Inflow'!$D$2:$D$601,$D305)</f>
        <v>17</v>
      </c>
      <c r="G305" s="19">
        <f>SUMIFS('Stock Inflow'!$E$2:$E$601,'Stock Inflow'!$A$2:$A$601,$A305,'Stock Inflow'!$D$2:$D$601,$D305)</f>
        <v>1</v>
      </c>
      <c r="H305" s="19">
        <f>SUMIFS('Stock Outflow'!$F$2:$F$601,'Stock Outflow'!$A$2:$A$601,$A305,'Stock Outflow'!$D$2:$D$601,$D305)</f>
        <v>16</v>
      </c>
      <c r="I305" s="19">
        <f>SUMIFS('Stock Outflow'!$E$2:$E$601,'Stock Outflow'!$A$2:$A$601,$A305,'Stock Outflow'!$D$2:$D$601,$D305)</f>
        <v>0</v>
      </c>
      <c r="J305" s="19">
        <f t="shared" si="24"/>
        <v>119</v>
      </c>
      <c r="K305" s="20">
        <f>INDEX('Item Master'!$F$2:$F$51,MATCH($A305,'Item Master'!$A$2:$A$51,0))</f>
        <v>120</v>
      </c>
      <c r="L305" s="20">
        <f t="shared" si="25"/>
        <v>1920</v>
      </c>
      <c r="M305" s="21">
        <f t="shared" si="26"/>
        <v>0.53333333333333333</v>
      </c>
      <c r="N305" s="19">
        <f>INDEX('Item Master'!$E$2:$E$51,MATCH($A305,'Item Master'!$A$2:$A$51,0))</f>
        <v>14</v>
      </c>
      <c r="O305" s="22">
        <f>INDEX('Product Summary'!$L$2:$L$51,MATCH($A305,'Product Summary'!$A$2:$A$51,0))</f>
        <v>3.6555555555555559</v>
      </c>
      <c r="P305" s="22">
        <f>INDEX('Product Summary'!$M$2:$M$51,MATCH($A305,'Product Summary'!$A$2:$A$51,0))</f>
        <v>10.636377473363776</v>
      </c>
      <c r="Q305" s="22">
        <f t="shared" si="27"/>
        <v>223.125</v>
      </c>
      <c r="R305" s="22">
        <f t="shared" si="28"/>
        <v>203.18179223744292</v>
      </c>
      <c r="S305" s="19" t="str">
        <f t="shared" si="29"/>
        <v>OVERSTOCK</v>
      </c>
    </row>
    <row r="306" spans="1:19" x14ac:dyDescent="0.3">
      <c r="A306" s="19" t="s">
        <v>122</v>
      </c>
      <c r="B306" s="19" t="s">
        <v>123</v>
      </c>
      <c r="C306" s="19" t="s">
        <v>28</v>
      </c>
      <c r="D306" s="19" t="s">
        <v>35</v>
      </c>
      <c r="E306" s="19">
        <f>SUMIFS('Stock Inflow'!$G$2:$G$601,'Stock Inflow'!$A$2:$A$601,$A306,'Stock Inflow'!$D$2:$D$601,$D306)</f>
        <v>119</v>
      </c>
      <c r="F306" s="19">
        <f>SUMIFS('Stock Inflow'!$F$2:$F$601,'Stock Inflow'!$A$2:$A$601,$A306,'Stock Inflow'!$D$2:$D$601,$D306)</f>
        <v>14</v>
      </c>
      <c r="G306" s="19">
        <f>SUMIFS('Stock Inflow'!$E$2:$E$601,'Stock Inflow'!$A$2:$A$601,$A306,'Stock Inflow'!$D$2:$D$601,$D306)</f>
        <v>0</v>
      </c>
      <c r="H306" s="19">
        <f>SUMIFS('Stock Outflow'!$F$2:$F$601,'Stock Outflow'!$A$2:$A$601,$A306,'Stock Outflow'!$D$2:$D$601,$D306)</f>
        <v>12</v>
      </c>
      <c r="I306" s="19">
        <f>SUMIFS('Stock Outflow'!$E$2:$E$601,'Stock Outflow'!$A$2:$A$601,$A306,'Stock Outflow'!$D$2:$D$601,$D306)</f>
        <v>0</v>
      </c>
      <c r="J306" s="19">
        <f t="shared" si="24"/>
        <v>121</v>
      </c>
      <c r="K306" s="20">
        <f>INDEX('Item Master'!$F$2:$F$51,MATCH($A306,'Item Master'!$A$2:$A$51,0))</f>
        <v>120</v>
      </c>
      <c r="L306" s="20">
        <f t="shared" si="25"/>
        <v>1440</v>
      </c>
      <c r="M306" s="21">
        <f t="shared" si="26"/>
        <v>0.4</v>
      </c>
      <c r="N306" s="19">
        <f>INDEX('Item Master'!$E$2:$E$51,MATCH($A306,'Item Master'!$A$2:$A$51,0))</f>
        <v>14</v>
      </c>
      <c r="O306" s="22">
        <f>INDEX('Product Summary'!$L$2:$L$51,MATCH($A306,'Product Summary'!$A$2:$A$51,0))</f>
        <v>3.6555555555555559</v>
      </c>
      <c r="P306" s="22">
        <f>INDEX('Product Summary'!$M$2:$M$51,MATCH($A306,'Product Summary'!$A$2:$A$51,0))</f>
        <v>10.636377473363776</v>
      </c>
      <c r="Q306" s="22">
        <f t="shared" si="27"/>
        <v>302.5</v>
      </c>
      <c r="R306" s="22">
        <f t="shared" si="28"/>
        <v>275.90905631659052</v>
      </c>
      <c r="S306" s="19" t="str">
        <f t="shared" si="29"/>
        <v>OVERSTOCK</v>
      </c>
    </row>
    <row r="307" spans="1:19" x14ac:dyDescent="0.3">
      <c r="A307" s="19" t="s">
        <v>122</v>
      </c>
      <c r="B307" s="19" t="s">
        <v>123</v>
      </c>
      <c r="C307" s="19" t="s">
        <v>28</v>
      </c>
      <c r="D307" s="19" t="s">
        <v>37</v>
      </c>
      <c r="E307" s="19">
        <f>SUMIFS('Stock Inflow'!$G$2:$G$601,'Stock Inflow'!$A$2:$A$601,$A307,'Stock Inflow'!$D$2:$D$601,$D307)</f>
        <v>121</v>
      </c>
      <c r="F307" s="19">
        <f>SUMIFS('Stock Inflow'!$F$2:$F$601,'Stock Inflow'!$A$2:$A$601,$A307,'Stock Inflow'!$D$2:$D$601,$D307)</f>
        <v>15</v>
      </c>
      <c r="G307" s="19">
        <f>SUMIFS('Stock Inflow'!$E$2:$E$601,'Stock Inflow'!$A$2:$A$601,$A307,'Stock Inflow'!$D$2:$D$601,$D307)</f>
        <v>0</v>
      </c>
      <c r="H307" s="19">
        <f>SUMIFS('Stock Outflow'!$F$2:$F$601,'Stock Outflow'!$A$2:$A$601,$A307,'Stock Outflow'!$D$2:$D$601,$D307)</f>
        <v>14</v>
      </c>
      <c r="I307" s="19">
        <f>SUMIFS('Stock Outflow'!$E$2:$E$601,'Stock Outflow'!$A$2:$A$601,$A307,'Stock Outflow'!$D$2:$D$601,$D307)</f>
        <v>0</v>
      </c>
      <c r="J307" s="19">
        <f t="shared" si="24"/>
        <v>122</v>
      </c>
      <c r="K307" s="20">
        <f>INDEX('Item Master'!$F$2:$F$51,MATCH($A307,'Item Master'!$A$2:$A$51,0))</f>
        <v>120</v>
      </c>
      <c r="L307" s="20">
        <f t="shared" si="25"/>
        <v>1680</v>
      </c>
      <c r="M307" s="21">
        <f t="shared" si="26"/>
        <v>0.46666666666666667</v>
      </c>
      <c r="N307" s="19">
        <f>INDEX('Item Master'!$E$2:$E$51,MATCH($A307,'Item Master'!$A$2:$A$51,0))</f>
        <v>14</v>
      </c>
      <c r="O307" s="22">
        <f>INDEX('Product Summary'!$L$2:$L$51,MATCH($A307,'Product Summary'!$A$2:$A$51,0))</f>
        <v>3.6555555555555559</v>
      </c>
      <c r="P307" s="22">
        <f>INDEX('Product Summary'!$M$2:$M$51,MATCH($A307,'Product Summary'!$A$2:$A$51,0))</f>
        <v>10.636377473363776</v>
      </c>
      <c r="Q307" s="22">
        <f t="shared" si="27"/>
        <v>261.42857142857144</v>
      </c>
      <c r="R307" s="22">
        <f t="shared" si="28"/>
        <v>238.63633398564903</v>
      </c>
      <c r="S307" s="19" t="str">
        <f t="shared" si="29"/>
        <v>OVERSTOCK</v>
      </c>
    </row>
    <row r="308" spans="1:19" x14ac:dyDescent="0.3">
      <c r="A308" s="19" t="s">
        <v>122</v>
      </c>
      <c r="B308" s="19" t="s">
        <v>123</v>
      </c>
      <c r="C308" s="19" t="s">
        <v>28</v>
      </c>
      <c r="D308" s="19" t="s">
        <v>39</v>
      </c>
      <c r="E308" s="19">
        <f>SUMIFS('Stock Inflow'!$G$2:$G$601,'Stock Inflow'!$A$2:$A$601,$A308,'Stock Inflow'!$D$2:$D$601,$D308)</f>
        <v>122</v>
      </c>
      <c r="F308" s="19">
        <f>SUMIFS('Stock Inflow'!$F$2:$F$601,'Stock Inflow'!$A$2:$A$601,$A308,'Stock Inflow'!$D$2:$D$601,$D308)</f>
        <v>18</v>
      </c>
      <c r="G308" s="19">
        <f>SUMIFS('Stock Inflow'!$E$2:$E$601,'Stock Inflow'!$A$2:$A$601,$A308,'Stock Inflow'!$D$2:$D$601,$D308)</f>
        <v>0</v>
      </c>
      <c r="H308" s="19">
        <f>SUMIFS('Stock Outflow'!$F$2:$F$601,'Stock Outflow'!$A$2:$A$601,$A308,'Stock Outflow'!$D$2:$D$601,$D308)</f>
        <v>16</v>
      </c>
      <c r="I308" s="19">
        <f>SUMIFS('Stock Outflow'!$E$2:$E$601,'Stock Outflow'!$A$2:$A$601,$A308,'Stock Outflow'!$D$2:$D$601,$D308)</f>
        <v>0</v>
      </c>
      <c r="J308" s="19">
        <f t="shared" si="24"/>
        <v>124</v>
      </c>
      <c r="K308" s="20">
        <f>INDEX('Item Master'!$F$2:$F$51,MATCH($A308,'Item Master'!$A$2:$A$51,0))</f>
        <v>120</v>
      </c>
      <c r="L308" s="20">
        <f t="shared" si="25"/>
        <v>1920</v>
      </c>
      <c r="M308" s="21">
        <f t="shared" si="26"/>
        <v>0.53333333333333333</v>
      </c>
      <c r="N308" s="19">
        <f>INDEX('Item Master'!$E$2:$E$51,MATCH($A308,'Item Master'!$A$2:$A$51,0))</f>
        <v>14</v>
      </c>
      <c r="O308" s="22">
        <f>INDEX('Product Summary'!$L$2:$L$51,MATCH($A308,'Product Summary'!$A$2:$A$51,0))</f>
        <v>3.6555555555555559</v>
      </c>
      <c r="P308" s="22">
        <f>INDEX('Product Summary'!$M$2:$M$51,MATCH($A308,'Product Summary'!$A$2:$A$51,0))</f>
        <v>10.636377473363776</v>
      </c>
      <c r="Q308" s="22">
        <f t="shared" si="27"/>
        <v>232.5</v>
      </c>
      <c r="R308" s="22">
        <f t="shared" si="28"/>
        <v>212.55679223744292</v>
      </c>
      <c r="S308" s="19" t="str">
        <f t="shared" si="29"/>
        <v>OVERSTOCK</v>
      </c>
    </row>
    <row r="309" spans="1:19" x14ac:dyDescent="0.3">
      <c r="A309" s="19" t="s">
        <v>122</v>
      </c>
      <c r="B309" s="19" t="s">
        <v>123</v>
      </c>
      <c r="C309" s="19" t="s">
        <v>28</v>
      </c>
      <c r="D309" s="19" t="s">
        <v>41</v>
      </c>
      <c r="E309" s="19">
        <f>SUMIFS('Stock Inflow'!$G$2:$G$601,'Stock Inflow'!$A$2:$A$601,$A309,'Stock Inflow'!$D$2:$D$601,$D309)</f>
        <v>124</v>
      </c>
      <c r="F309" s="19">
        <f>SUMIFS('Stock Inflow'!$F$2:$F$601,'Stock Inflow'!$A$2:$A$601,$A309,'Stock Inflow'!$D$2:$D$601,$D309)</f>
        <v>19</v>
      </c>
      <c r="G309" s="19">
        <f>SUMIFS('Stock Inflow'!$E$2:$E$601,'Stock Inflow'!$A$2:$A$601,$A309,'Stock Inflow'!$D$2:$D$601,$D309)</f>
        <v>0</v>
      </c>
      <c r="H309" s="19">
        <f>SUMIFS('Stock Outflow'!$F$2:$F$601,'Stock Outflow'!$A$2:$A$601,$A309,'Stock Outflow'!$D$2:$D$601,$D309)</f>
        <v>15</v>
      </c>
      <c r="I309" s="19">
        <f>SUMIFS('Stock Outflow'!$E$2:$E$601,'Stock Outflow'!$A$2:$A$601,$A309,'Stock Outflow'!$D$2:$D$601,$D309)</f>
        <v>0</v>
      </c>
      <c r="J309" s="19">
        <f t="shared" si="24"/>
        <v>128</v>
      </c>
      <c r="K309" s="20">
        <f>INDEX('Item Master'!$F$2:$F$51,MATCH($A309,'Item Master'!$A$2:$A$51,0))</f>
        <v>120</v>
      </c>
      <c r="L309" s="20">
        <f t="shared" si="25"/>
        <v>1800</v>
      </c>
      <c r="M309" s="21">
        <f t="shared" si="26"/>
        <v>0.5</v>
      </c>
      <c r="N309" s="19">
        <f>INDEX('Item Master'!$E$2:$E$51,MATCH($A309,'Item Master'!$A$2:$A$51,0))</f>
        <v>14</v>
      </c>
      <c r="O309" s="22">
        <f>INDEX('Product Summary'!$L$2:$L$51,MATCH($A309,'Product Summary'!$A$2:$A$51,0))</f>
        <v>3.6555555555555559</v>
      </c>
      <c r="P309" s="22">
        <f>INDEX('Product Summary'!$M$2:$M$51,MATCH($A309,'Product Summary'!$A$2:$A$51,0))</f>
        <v>10.636377473363776</v>
      </c>
      <c r="Q309" s="22">
        <f t="shared" si="27"/>
        <v>256</v>
      </c>
      <c r="R309" s="22">
        <f t="shared" si="28"/>
        <v>234.72724505327244</v>
      </c>
      <c r="S309" s="19" t="str">
        <f t="shared" si="29"/>
        <v>OVERSTOCK</v>
      </c>
    </row>
    <row r="310" spans="1:19" x14ac:dyDescent="0.3">
      <c r="A310" s="19" t="s">
        <v>122</v>
      </c>
      <c r="B310" s="19" t="s">
        <v>123</v>
      </c>
      <c r="C310" s="19" t="s">
        <v>28</v>
      </c>
      <c r="D310" s="19" t="s">
        <v>43</v>
      </c>
      <c r="E310" s="19">
        <f>SUMIFS('Stock Inflow'!$G$2:$G$601,'Stock Inflow'!$A$2:$A$601,$A310,'Stock Inflow'!$D$2:$D$601,$D310)</f>
        <v>128</v>
      </c>
      <c r="F310" s="19">
        <f>SUMIFS('Stock Inflow'!$F$2:$F$601,'Stock Inflow'!$A$2:$A$601,$A310,'Stock Inflow'!$D$2:$D$601,$D310)</f>
        <v>14</v>
      </c>
      <c r="G310" s="19">
        <f>SUMIFS('Stock Inflow'!$E$2:$E$601,'Stock Inflow'!$A$2:$A$601,$A310,'Stock Inflow'!$D$2:$D$601,$D310)</f>
        <v>0</v>
      </c>
      <c r="H310" s="19">
        <f>SUMIFS('Stock Outflow'!$F$2:$F$601,'Stock Outflow'!$A$2:$A$601,$A310,'Stock Outflow'!$D$2:$D$601,$D310)</f>
        <v>15</v>
      </c>
      <c r="I310" s="19">
        <f>SUMIFS('Stock Outflow'!$E$2:$E$601,'Stock Outflow'!$A$2:$A$601,$A310,'Stock Outflow'!$D$2:$D$601,$D310)</f>
        <v>0</v>
      </c>
      <c r="J310" s="19">
        <f t="shared" si="24"/>
        <v>127</v>
      </c>
      <c r="K310" s="20">
        <f>INDEX('Item Master'!$F$2:$F$51,MATCH($A310,'Item Master'!$A$2:$A$51,0))</f>
        <v>120</v>
      </c>
      <c r="L310" s="20">
        <f t="shared" si="25"/>
        <v>1800</v>
      </c>
      <c r="M310" s="21">
        <f t="shared" si="26"/>
        <v>0.5</v>
      </c>
      <c r="N310" s="19">
        <f>INDEX('Item Master'!$E$2:$E$51,MATCH($A310,'Item Master'!$A$2:$A$51,0))</f>
        <v>14</v>
      </c>
      <c r="O310" s="22">
        <f>INDEX('Product Summary'!$L$2:$L$51,MATCH($A310,'Product Summary'!$A$2:$A$51,0))</f>
        <v>3.6555555555555559</v>
      </c>
      <c r="P310" s="22">
        <f>INDEX('Product Summary'!$M$2:$M$51,MATCH($A310,'Product Summary'!$A$2:$A$51,0))</f>
        <v>10.636377473363776</v>
      </c>
      <c r="Q310" s="22">
        <f t="shared" si="27"/>
        <v>254</v>
      </c>
      <c r="R310" s="22">
        <f t="shared" si="28"/>
        <v>232.72724505327244</v>
      </c>
      <c r="S310" s="19" t="str">
        <f t="shared" si="29"/>
        <v>OVERSTOCK</v>
      </c>
    </row>
    <row r="311" spans="1:19" x14ac:dyDescent="0.3">
      <c r="A311" s="19" t="s">
        <v>122</v>
      </c>
      <c r="B311" s="19" t="s">
        <v>123</v>
      </c>
      <c r="C311" s="19" t="s">
        <v>28</v>
      </c>
      <c r="D311" s="19" t="s">
        <v>45</v>
      </c>
      <c r="E311" s="19">
        <f>SUMIFS('Stock Inflow'!$G$2:$G$601,'Stock Inflow'!$A$2:$A$601,$A311,'Stock Inflow'!$D$2:$D$601,$D311)</f>
        <v>127</v>
      </c>
      <c r="F311" s="19">
        <f>SUMIFS('Stock Inflow'!$F$2:$F$601,'Stock Inflow'!$A$2:$A$601,$A311,'Stock Inflow'!$D$2:$D$601,$D311)</f>
        <v>27</v>
      </c>
      <c r="G311" s="19">
        <f>SUMIFS('Stock Inflow'!$E$2:$E$601,'Stock Inflow'!$A$2:$A$601,$A311,'Stock Inflow'!$D$2:$D$601,$D311)</f>
        <v>0</v>
      </c>
      <c r="H311" s="19">
        <f>SUMIFS('Stock Outflow'!$F$2:$F$601,'Stock Outflow'!$A$2:$A$601,$A311,'Stock Outflow'!$D$2:$D$601,$D311)</f>
        <v>23</v>
      </c>
      <c r="I311" s="19">
        <f>SUMIFS('Stock Outflow'!$E$2:$E$601,'Stock Outflow'!$A$2:$A$601,$A311,'Stock Outflow'!$D$2:$D$601,$D311)</f>
        <v>0</v>
      </c>
      <c r="J311" s="19">
        <f t="shared" si="24"/>
        <v>131</v>
      </c>
      <c r="K311" s="20">
        <f>INDEX('Item Master'!$F$2:$F$51,MATCH($A311,'Item Master'!$A$2:$A$51,0))</f>
        <v>120</v>
      </c>
      <c r="L311" s="20">
        <f t="shared" si="25"/>
        <v>2760</v>
      </c>
      <c r="M311" s="21">
        <f t="shared" si="26"/>
        <v>0.76666666666666672</v>
      </c>
      <c r="N311" s="19">
        <f>INDEX('Item Master'!$E$2:$E$51,MATCH($A311,'Item Master'!$A$2:$A$51,0))</f>
        <v>14</v>
      </c>
      <c r="O311" s="22">
        <f>INDEX('Product Summary'!$L$2:$L$51,MATCH($A311,'Product Summary'!$A$2:$A$51,0))</f>
        <v>3.6555555555555559</v>
      </c>
      <c r="P311" s="22">
        <f>INDEX('Product Summary'!$M$2:$M$51,MATCH($A311,'Product Summary'!$A$2:$A$51,0))</f>
        <v>10.636377473363776</v>
      </c>
      <c r="Q311" s="22">
        <f t="shared" si="27"/>
        <v>170.86956521739128</v>
      </c>
      <c r="R311" s="22">
        <f t="shared" si="28"/>
        <v>156.99602938256896</v>
      </c>
      <c r="S311" s="19" t="str">
        <f t="shared" si="29"/>
        <v>OVERSTOCK</v>
      </c>
    </row>
    <row r="312" spans="1:19" x14ac:dyDescent="0.3">
      <c r="A312" s="19" t="s">
        <v>122</v>
      </c>
      <c r="B312" s="19" t="s">
        <v>123</v>
      </c>
      <c r="C312" s="19" t="s">
        <v>28</v>
      </c>
      <c r="D312" s="19" t="s">
        <v>47</v>
      </c>
      <c r="E312" s="19">
        <f>SUMIFS('Stock Inflow'!$G$2:$G$601,'Stock Inflow'!$A$2:$A$601,$A312,'Stock Inflow'!$D$2:$D$601,$D312)</f>
        <v>131</v>
      </c>
      <c r="F312" s="19">
        <f>SUMIFS('Stock Inflow'!$F$2:$F$601,'Stock Inflow'!$A$2:$A$601,$A312,'Stock Inflow'!$D$2:$D$601,$D312)</f>
        <v>22</v>
      </c>
      <c r="G312" s="19">
        <f>SUMIFS('Stock Inflow'!$E$2:$E$601,'Stock Inflow'!$A$2:$A$601,$A312,'Stock Inflow'!$D$2:$D$601,$D312)</f>
        <v>1</v>
      </c>
      <c r="H312" s="19">
        <f>SUMIFS('Stock Outflow'!$F$2:$F$601,'Stock Outflow'!$A$2:$A$601,$A312,'Stock Outflow'!$D$2:$D$601,$D312)</f>
        <v>17</v>
      </c>
      <c r="I312" s="19">
        <f>SUMIFS('Stock Outflow'!$E$2:$E$601,'Stock Outflow'!$A$2:$A$601,$A312,'Stock Outflow'!$D$2:$D$601,$D312)</f>
        <v>1</v>
      </c>
      <c r="J312" s="19">
        <f t="shared" si="24"/>
        <v>136</v>
      </c>
      <c r="K312" s="20">
        <f>INDEX('Item Master'!$F$2:$F$51,MATCH($A312,'Item Master'!$A$2:$A$51,0))</f>
        <v>120</v>
      </c>
      <c r="L312" s="20">
        <f t="shared" si="25"/>
        <v>2040</v>
      </c>
      <c r="M312" s="21">
        <f t="shared" si="26"/>
        <v>0.56666666666666665</v>
      </c>
      <c r="N312" s="19">
        <f>INDEX('Item Master'!$E$2:$E$51,MATCH($A312,'Item Master'!$A$2:$A$51,0))</f>
        <v>14</v>
      </c>
      <c r="O312" s="22">
        <f>INDEX('Product Summary'!$L$2:$L$51,MATCH($A312,'Product Summary'!$A$2:$A$51,0))</f>
        <v>3.6555555555555559</v>
      </c>
      <c r="P312" s="22">
        <f>INDEX('Product Summary'!$M$2:$M$51,MATCH($A312,'Product Summary'!$A$2:$A$51,0))</f>
        <v>10.636377473363776</v>
      </c>
      <c r="Q312" s="22">
        <f t="shared" si="27"/>
        <v>240</v>
      </c>
      <c r="R312" s="22">
        <f t="shared" si="28"/>
        <v>221.22992210582862</v>
      </c>
      <c r="S312" s="19" t="str">
        <f t="shared" si="29"/>
        <v>OVERSTOCK</v>
      </c>
    </row>
    <row r="313" spans="1:19" x14ac:dyDescent="0.3">
      <c r="A313" s="19" t="s">
        <v>122</v>
      </c>
      <c r="B313" s="19" t="s">
        <v>123</v>
      </c>
      <c r="C313" s="19" t="s">
        <v>28</v>
      </c>
      <c r="D313" s="19" t="s">
        <v>49</v>
      </c>
      <c r="E313" s="19">
        <f>SUMIFS('Stock Inflow'!$G$2:$G$601,'Stock Inflow'!$A$2:$A$601,$A313,'Stock Inflow'!$D$2:$D$601,$D313)</f>
        <v>136</v>
      </c>
      <c r="F313" s="19">
        <f>SUMIFS('Stock Inflow'!$F$2:$F$601,'Stock Inflow'!$A$2:$A$601,$A313,'Stock Inflow'!$D$2:$D$601,$D313)</f>
        <v>14</v>
      </c>
      <c r="G313" s="19">
        <f>SUMIFS('Stock Inflow'!$E$2:$E$601,'Stock Inflow'!$A$2:$A$601,$A313,'Stock Inflow'!$D$2:$D$601,$D313)</f>
        <v>0</v>
      </c>
      <c r="H313" s="19">
        <f>SUMIFS('Stock Outflow'!$F$2:$F$601,'Stock Outflow'!$A$2:$A$601,$A313,'Stock Outflow'!$D$2:$D$601,$D313)</f>
        <v>12</v>
      </c>
      <c r="I313" s="19">
        <f>SUMIFS('Stock Outflow'!$E$2:$E$601,'Stock Outflow'!$A$2:$A$601,$A313,'Stock Outflow'!$D$2:$D$601,$D313)</f>
        <v>0</v>
      </c>
      <c r="J313" s="19">
        <f t="shared" si="24"/>
        <v>138</v>
      </c>
      <c r="K313" s="20">
        <f>INDEX('Item Master'!$F$2:$F$51,MATCH($A313,'Item Master'!$A$2:$A$51,0))</f>
        <v>120</v>
      </c>
      <c r="L313" s="20">
        <f t="shared" si="25"/>
        <v>1440</v>
      </c>
      <c r="M313" s="21">
        <f t="shared" si="26"/>
        <v>0.4</v>
      </c>
      <c r="N313" s="19">
        <f>INDEX('Item Master'!$E$2:$E$51,MATCH($A313,'Item Master'!$A$2:$A$51,0))</f>
        <v>14</v>
      </c>
      <c r="O313" s="22">
        <f>INDEX('Product Summary'!$L$2:$L$51,MATCH($A313,'Product Summary'!$A$2:$A$51,0))</f>
        <v>3.6555555555555559</v>
      </c>
      <c r="P313" s="22">
        <f>INDEX('Product Summary'!$M$2:$M$51,MATCH($A313,'Product Summary'!$A$2:$A$51,0))</f>
        <v>10.636377473363776</v>
      </c>
      <c r="Q313" s="22">
        <f t="shared" si="27"/>
        <v>345</v>
      </c>
      <c r="R313" s="22">
        <f t="shared" si="28"/>
        <v>318.40905631659052</v>
      </c>
      <c r="S313" s="19" t="str">
        <f t="shared" si="29"/>
        <v>OVERSTOCK</v>
      </c>
    </row>
    <row r="314" spans="1:19" x14ac:dyDescent="0.3">
      <c r="A314" s="19" t="s">
        <v>124</v>
      </c>
      <c r="B314" s="19" t="s">
        <v>125</v>
      </c>
      <c r="C314" s="19" t="s">
        <v>28</v>
      </c>
      <c r="D314" s="19" t="s">
        <v>27</v>
      </c>
      <c r="E314" s="19">
        <f>SUMIFS('Stock Inflow'!$G$2:$G$601,'Stock Inflow'!$A$2:$A$601,$A314,'Stock Inflow'!$D$2:$D$601,$D314)</f>
        <v>189</v>
      </c>
      <c r="F314" s="19">
        <f>SUMIFS('Stock Inflow'!$F$2:$F$601,'Stock Inflow'!$A$2:$A$601,$A314,'Stock Inflow'!$D$2:$D$601,$D314)</f>
        <v>18</v>
      </c>
      <c r="G314" s="19">
        <f>SUMIFS('Stock Inflow'!$E$2:$E$601,'Stock Inflow'!$A$2:$A$601,$A314,'Stock Inflow'!$D$2:$D$601,$D314)</f>
        <v>0</v>
      </c>
      <c r="H314" s="19">
        <f>SUMIFS('Stock Outflow'!$F$2:$F$601,'Stock Outflow'!$A$2:$A$601,$A314,'Stock Outflow'!$D$2:$D$601,$D314)</f>
        <v>15</v>
      </c>
      <c r="I314" s="19">
        <f>SUMIFS('Stock Outflow'!$E$2:$E$601,'Stock Outflow'!$A$2:$A$601,$A314,'Stock Outflow'!$D$2:$D$601,$D314)</f>
        <v>1</v>
      </c>
      <c r="J314" s="19">
        <f t="shared" si="24"/>
        <v>191</v>
      </c>
      <c r="K314" s="20">
        <f>INDEX('Item Master'!$F$2:$F$51,MATCH($A314,'Item Master'!$A$2:$A$51,0))</f>
        <v>250</v>
      </c>
      <c r="L314" s="20">
        <f t="shared" si="25"/>
        <v>3750</v>
      </c>
      <c r="M314" s="21">
        <f t="shared" si="26"/>
        <v>0.5</v>
      </c>
      <c r="N314" s="19">
        <f>INDEX('Item Master'!$E$2:$E$51,MATCH($A314,'Item Master'!$A$2:$A$51,0))</f>
        <v>3</v>
      </c>
      <c r="O314" s="22">
        <f>INDEX('Product Summary'!$L$2:$L$51,MATCH($A314,'Product Summary'!$A$2:$A$51,0))</f>
        <v>0.78333333333333321</v>
      </c>
      <c r="P314" s="22">
        <f>INDEX('Product Summary'!$M$2:$M$51,MATCH($A314,'Product Summary'!$A$2:$A$51,0))</f>
        <v>2.47648401826484</v>
      </c>
      <c r="Q314" s="22">
        <f t="shared" si="27"/>
        <v>382</v>
      </c>
      <c r="R314" s="22">
        <f t="shared" si="28"/>
        <v>377.04703196347032</v>
      </c>
      <c r="S314" s="19" t="str">
        <f t="shared" si="29"/>
        <v>OVERSTOCK</v>
      </c>
    </row>
    <row r="315" spans="1:19" x14ac:dyDescent="0.3">
      <c r="A315" s="19" t="s">
        <v>124</v>
      </c>
      <c r="B315" s="19" t="s">
        <v>125</v>
      </c>
      <c r="C315" s="19" t="s">
        <v>28</v>
      </c>
      <c r="D315" s="19" t="s">
        <v>29</v>
      </c>
      <c r="E315" s="19">
        <f>SUMIFS('Stock Inflow'!$G$2:$G$601,'Stock Inflow'!$A$2:$A$601,$A315,'Stock Inflow'!$D$2:$D$601,$D315)</f>
        <v>191</v>
      </c>
      <c r="F315" s="19">
        <f>SUMIFS('Stock Inflow'!$F$2:$F$601,'Stock Inflow'!$A$2:$A$601,$A315,'Stock Inflow'!$D$2:$D$601,$D315)</f>
        <v>14</v>
      </c>
      <c r="G315" s="19">
        <f>SUMIFS('Stock Inflow'!$E$2:$E$601,'Stock Inflow'!$A$2:$A$601,$A315,'Stock Inflow'!$D$2:$D$601,$D315)</f>
        <v>0</v>
      </c>
      <c r="H315" s="19">
        <f>SUMIFS('Stock Outflow'!$F$2:$F$601,'Stock Outflow'!$A$2:$A$601,$A315,'Stock Outflow'!$D$2:$D$601,$D315)</f>
        <v>14</v>
      </c>
      <c r="I315" s="19">
        <f>SUMIFS('Stock Outflow'!$E$2:$E$601,'Stock Outflow'!$A$2:$A$601,$A315,'Stock Outflow'!$D$2:$D$601,$D315)</f>
        <v>0</v>
      </c>
      <c r="J315" s="19">
        <f t="shared" si="24"/>
        <v>191</v>
      </c>
      <c r="K315" s="20">
        <f>INDEX('Item Master'!$F$2:$F$51,MATCH($A315,'Item Master'!$A$2:$A$51,0))</f>
        <v>250</v>
      </c>
      <c r="L315" s="20">
        <f t="shared" si="25"/>
        <v>3500</v>
      </c>
      <c r="M315" s="21">
        <f t="shared" si="26"/>
        <v>0.46666666666666667</v>
      </c>
      <c r="N315" s="19">
        <f>INDEX('Item Master'!$E$2:$E$51,MATCH($A315,'Item Master'!$A$2:$A$51,0))</f>
        <v>3</v>
      </c>
      <c r="O315" s="22">
        <f>INDEX('Product Summary'!$L$2:$L$51,MATCH($A315,'Product Summary'!$A$2:$A$51,0))</f>
        <v>0.78333333333333321</v>
      </c>
      <c r="P315" s="22">
        <f>INDEX('Product Summary'!$M$2:$M$51,MATCH($A315,'Product Summary'!$A$2:$A$51,0))</f>
        <v>2.47648401826484</v>
      </c>
      <c r="Q315" s="22">
        <f t="shared" si="27"/>
        <v>409.28571428571428</v>
      </c>
      <c r="R315" s="22">
        <f t="shared" si="28"/>
        <v>403.97896281800388</v>
      </c>
      <c r="S315" s="19" t="str">
        <f t="shared" si="29"/>
        <v>OVERSTOCK</v>
      </c>
    </row>
    <row r="316" spans="1:19" x14ac:dyDescent="0.3">
      <c r="A316" s="19" t="s">
        <v>124</v>
      </c>
      <c r="B316" s="19" t="s">
        <v>125</v>
      </c>
      <c r="C316" s="19" t="s">
        <v>28</v>
      </c>
      <c r="D316" s="19" t="s">
        <v>31</v>
      </c>
      <c r="E316" s="19">
        <f>SUMIFS('Stock Inflow'!$G$2:$G$601,'Stock Inflow'!$A$2:$A$601,$A316,'Stock Inflow'!$D$2:$D$601,$D316)</f>
        <v>191</v>
      </c>
      <c r="F316" s="19">
        <f>SUMIFS('Stock Inflow'!$F$2:$F$601,'Stock Inflow'!$A$2:$A$601,$A316,'Stock Inflow'!$D$2:$D$601,$D316)</f>
        <v>19</v>
      </c>
      <c r="G316" s="19">
        <f>SUMIFS('Stock Inflow'!$E$2:$E$601,'Stock Inflow'!$A$2:$A$601,$A316,'Stock Inflow'!$D$2:$D$601,$D316)</f>
        <v>0</v>
      </c>
      <c r="H316" s="19">
        <f>SUMIFS('Stock Outflow'!$F$2:$F$601,'Stock Outflow'!$A$2:$A$601,$A316,'Stock Outflow'!$D$2:$D$601,$D316)</f>
        <v>16</v>
      </c>
      <c r="I316" s="19">
        <f>SUMIFS('Stock Outflow'!$E$2:$E$601,'Stock Outflow'!$A$2:$A$601,$A316,'Stock Outflow'!$D$2:$D$601,$D316)</f>
        <v>0</v>
      </c>
      <c r="J316" s="19">
        <f t="shared" si="24"/>
        <v>194</v>
      </c>
      <c r="K316" s="20">
        <f>INDEX('Item Master'!$F$2:$F$51,MATCH($A316,'Item Master'!$A$2:$A$51,0))</f>
        <v>250</v>
      </c>
      <c r="L316" s="20">
        <f t="shared" si="25"/>
        <v>4000</v>
      </c>
      <c r="M316" s="21">
        <f t="shared" si="26"/>
        <v>0.53333333333333333</v>
      </c>
      <c r="N316" s="19">
        <f>INDEX('Item Master'!$E$2:$E$51,MATCH($A316,'Item Master'!$A$2:$A$51,0))</f>
        <v>3</v>
      </c>
      <c r="O316" s="22">
        <f>INDEX('Product Summary'!$L$2:$L$51,MATCH($A316,'Product Summary'!$A$2:$A$51,0))</f>
        <v>0.78333333333333321</v>
      </c>
      <c r="P316" s="22">
        <f>INDEX('Product Summary'!$M$2:$M$51,MATCH($A316,'Product Summary'!$A$2:$A$51,0))</f>
        <v>2.47648401826484</v>
      </c>
      <c r="Q316" s="22">
        <f t="shared" si="27"/>
        <v>363.75</v>
      </c>
      <c r="R316" s="22">
        <f t="shared" si="28"/>
        <v>359.10659246575341</v>
      </c>
      <c r="S316" s="19" t="str">
        <f t="shared" si="29"/>
        <v>OVERSTOCK</v>
      </c>
    </row>
    <row r="317" spans="1:19" x14ac:dyDescent="0.3">
      <c r="A317" s="19" t="s">
        <v>124</v>
      </c>
      <c r="B317" s="19" t="s">
        <v>125</v>
      </c>
      <c r="C317" s="19" t="s">
        <v>28</v>
      </c>
      <c r="D317" s="19" t="s">
        <v>33</v>
      </c>
      <c r="E317" s="19">
        <f>SUMIFS('Stock Inflow'!$G$2:$G$601,'Stock Inflow'!$A$2:$A$601,$A317,'Stock Inflow'!$D$2:$D$601,$D317)</f>
        <v>194</v>
      </c>
      <c r="F317" s="19">
        <f>SUMIFS('Stock Inflow'!$F$2:$F$601,'Stock Inflow'!$A$2:$A$601,$A317,'Stock Inflow'!$D$2:$D$601,$D317)</f>
        <v>21</v>
      </c>
      <c r="G317" s="19">
        <f>SUMIFS('Stock Inflow'!$E$2:$E$601,'Stock Inflow'!$A$2:$A$601,$A317,'Stock Inflow'!$D$2:$D$601,$D317)</f>
        <v>1</v>
      </c>
      <c r="H317" s="19">
        <f>SUMIFS('Stock Outflow'!$F$2:$F$601,'Stock Outflow'!$A$2:$A$601,$A317,'Stock Outflow'!$D$2:$D$601,$D317)</f>
        <v>18</v>
      </c>
      <c r="I317" s="19">
        <f>SUMIFS('Stock Outflow'!$E$2:$E$601,'Stock Outflow'!$A$2:$A$601,$A317,'Stock Outflow'!$D$2:$D$601,$D317)</f>
        <v>0</v>
      </c>
      <c r="J317" s="19">
        <f t="shared" si="24"/>
        <v>198</v>
      </c>
      <c r="K317" s="20">
        <f>INDEX('Item Master'!$F$2:$F$51,MATCH($A317,'Item Master'!$A$2:$A$51,0))</f>
        <v>250</v>
      </c>
      <c r="L317" s="20">
        <f t="shared" si="25"/>
        <v>4500</v>
      </c>
      <c r="M317" s="21">
        <f t="shared" si="26"/>
        <v>0.6</v>
      </c>
      <c r="N317" s="19">
        <f>INDEX('Item Master'!$E$2:$E$51,MATCH($A317,'Item Master'!$A$2:$A$51,0))</f>
        <v>3</v>
      </c>
      <c r="O317" s="22">
        <f>INDEX('Product Summary'!$L$2:$L$51,MATCH($A317,'Product Summary'!$A$2:$A$51,0))</f>
        <v>0.78333333333333321</v>
      </c>
      <c r="P317" s="22">
        <f>INDEX('Product Summary'!$M$2:$M$51,MATCH($A317,'Product Summary'!$A$2:$A$51,0))</f>
        <v>2.47648401826484</v>
      </c>
      <c r="Q317" s="22">
        <f t="shared" si="27"/>
        <v>330</v>
      </c>
      <c r="R317" s="22">
        <f t="shared" si="28"/>
        <v>325.8725266362253</v>
      </c>
      <c r="S317" s="19" t="str">
        <f t="shared" si="29"/>
        <v>OVERSTOCK</v>
      </c>
    </row>
    <row r="318" spans="1:19" x14ac:dyDescent="0.3">
      <c r="A318" s="19" t="s">
        <v>124</v>
      </c>
      <c r="B318" s="19" t="s">
        <v>125</v>
      </c>
      <c r="C318" s="19" t="s">
        <v>28</v>
      </c>
      <c r="D318" s="19" t="s">
        <v>35</v>
      </c>
      <c r="E318" s="19">
        <f>SUMIFS('Stock Inflow'!$G$2:$G$601,'Stock Inflow'!$A$2:$A$601,$A318,'Stock Inflow'!$D$2:$D$601,$D318)</f>
        <v>198</v>
      </c>
      <c r="F318" s="19">
        <f>SUMIFS('Stock Inflow'!$F$2:$F$601,'Stock Inflow'!$A$2:$A$601,$A318,'Stock Inflow'!$D$2:$D$601,$D318)</f>
        <v>16</v>
      </c>
      <c r="G318" s="19">
        <f>SUMIFS('Stock Inflow'!$E$2:$E$601,'Stock Inflow'!$A$2:$A$601,$A318,'Stock Inflow'!$D$2:$D$601,$D318)</f>
        <v>0</v>
      </c>
      <c r="H318" s="19">
        <f>SUMIFS('Stock Outflow'!$F$2:$F$601,'Stock Outflow'!$A$2:$A$601,$A318,'Stock Outflow'!$D$2:$D$601,$D318)</f>
        <v>14</v>
      </c>
      <c r="I318" s="19">
        <f>SUMIFS('Stock Outflow'!$E$2:$E$601,'Stock Outflow'!$A$2:$A$601,$A318,'Stock Outflow'!$D$2:$D$601,$D318)</f>
        <v>0</v>
      </c>
      <c r="J318" s="19">
        <f t="shared" si="24"/>
        <v>200</v>
      </c>
      <c r="K318" s="20">
        <f>INDEX('Item Master'!$F$2:$F$51,MATCH($A318,'Item Master'!$A$2:$A$51,0))</f>
        <v>250</v>
      </c>
      <c r="L318" s="20">
        <f t="shared" si="25"/>
        <v>3500</v>
      </c>
      <c r="M318" s="21">
        <f t="shared" si="26"/>
        <v>0.46666666666666667</v>
      </c>
      <c r="N318" s="19">
        <f>INDEX('Item Master'!$E$2:$E$51,MATCH($A318,'Item Master'!$A$2:$A$51,0))</f>
        <v>3</v>
      </c>
      <c r="O318" s="22">
        <f>INDEX('Product Summary'!$L$2:$L$51,MATCH($A318,'Product Summary'!$A$2:$A$51,0))</f>
        <v>0.78333333333333321</v>
      </c>
      <c r="P318" s="22">
        <f>INDEX('Product Summary'!$M$2:$M$51,MATCH($A318,'Product Summary'!$A$2:$A$51,0))</f>
        <v>2.47648401826484</v>
      </c>
      <c r="Q318" s="22">
        <f t="shared" si="27"/>
        <v>428.57142857142856</v>
      </c>
      <c r="R318" s="22">
        <f t="shared" si="28"/>
        <v>423.26467710371821</v>
      </c>
      <c r="S318" s="19" t="str">
        <f t="shared" si="29"/>
        <v>OVERSTOCK</v>
      </c>
    </row>
    <row r="319" spans="1:19" x14ac:dyDescent="0.3">
      <c r="A319" s="19" t="s">
        <v>124</v>
      </c>
      <c r="B319" s="19" t="s">
        <v>125</v>
      </c>
      <c r="C319" s="19" t="s">
        <v>28</v>
      </c>
      <c r="D319" s="19" t="s">
        <v>37</v>
      </c>
      <c r="E319" s="19">
        <f>SUMIFS('Stock Inflow'!$G$2:$G$601,'Stock Inflow'!$A$2:$A$601,$A319,'Stock Inflow'!$D$2:$D$601,$D319)</f>
        <v>200</v>
      </c>
      <c r="F319" s="19">
        <f>SUMIFS('Stock Inflow'!$F$2:$F$601,'Stock Inflow'!$A$2:$A$601,$A319,'Stock Inflow'!$D$2:$D$601,$D319)</f>
        <v>16</v>
      </c>
      <c r="G319" s="19">
        <f>SUMIFS('Stock Inflow'!$E$2:$E$601,'Stock Inflow'!$A$2:$A$601,$A319,'Stock Inflow'!$D$2:$D$601,$D319)</f>
        <v>0</v>
      </c>
      <c r="H319" s="19">
        <f>SUMIFS('Stock Outflow'!$F$2:$F$601,'Stock Outflow'!$A$2:$A$601,$A319,'Stock Outflow'!$D$2:$D$601,$D319)</f>
        <v>17</v>
      </c>
      <c r="I319" s="19">
        <f>SUMIFS('Stock Outflow'!$E$2:$E$601,'Stock Outflow'!$A$2:$A$601,$A319,'Stock Outflow'!$D$2:$D$601,$D319)</f>
        <v>0</v>
      </c>
      <c r="J319" s="19">
        <f t="shared" si="24"/>
        <v>199</v>
      </c>
      <c r="K319" s="20">
        <f>INDEX('Item Master'!$F$2:$F$51,MATCH($A319,'Item Master'!$A$2:$A$51,0))</f>
        <v>250</v>
      </c>
      <c r="L319" s="20">
        <f t="shared" si="25"/>
        <v>4250</v>
      </c>
      <c r="M319" s="21">
        <f t="shared" si="26"/>
        <v>0.56666666666666665</v>
      </c>
      <c r="N319" s="19">
        <f>INDEX('Item Master'!$E$2:$E$51,MATCH($A319,'Item Master'!$A$2:$A$51,0))</f>
        <v>3</v>
      </c>
      <c r="O319" s="22">
        <f>INDEX('Product Summary'!$L$2:$L$51,MATCH($A319,'Product Summary'!$A$2:$A$51,0))</f>
        <v>0.78333333333333321</v>
      </c>
      <c r="P319" s="22">
        <f>INDEX('Product Summary'!$M$2:$M$51,MATCH($A319,'Product Summary'!$A$2:$A$51,0))</f>
        <v>2.47648401826484</v>
      </c>
      <c r="Q319" s="22">
        <f t="shared" si="27"/>
        <v>351.1764705882353</v>
      </c>
      <c r="R319" s="22">
        <f t="shared" si="28"/>
        <v>346.80620467365031</v>
      </c>
      <c r="S319" s="19" t="str">
        <f t="shared" si="29"/>
        <v>OVERSTOCK</v>
      </c>
    </row>
    <row r="320" spans="1:19" x14ac:dyDescent="0.3">
      <c r="A320" s="19" t="s">
        <v>124</v>
      </c>
      <c r="B320" s="19" t="s">
        <v>125</v>
      </c>
      <c r="C320" s="19" t="s">
        <v>28</v>
      </c>
      <c r="D320" s="19" t="s">
        <v>39</v>
      </c>
      <c r="E320" s="19">
        <f>SUMIFS('Stock Inflow'!$G$2:$G$601,'Stock Inflow'!$A$2:$A$601,$A320,'Stock Inflow'!$D$2:$D$601,$D320)</f>
        <v>199</v>
      </c>
      <c r="F320" s="19">
        <f>SUMIFS('Stock Inflow'!$F$2:$F$601,'Stock Inflow'!$A$2:$A$601,$A320,'Stock Inflow'!$D$2:$D$601,$D320)</f>
        <v>21</v>
      </c>
      <c r="G320" s="19">
        <f>SUMIFS('Stock Inflow'!$E$2:$E$601,'Stock Inflow'!$A$2:$A$601,$A320,'Stock Inflow'!$D$2:$D$601,$D320)</f>
        <v>1</v>
      </c>
      <c r="H320" s="19">
        <f>SUMIFS('Stock Outflow'!$F$2:$F$601,'Stock Outflow'!$A$2:$A$601,$A320,'Stock Outflow'!$D$2:$D$601,$D320)</f>
        <v>18</v>
      </c>
      <c r="I320" s="19">
        <f>SUMIFS('Stock Outflow'!$E$2:$E$601,'Stock Outflow'!$A$2:$A$601,$A320,'Stock Outflow'!$D$2:$D$601,$D320)</f>
        <v>0</v>
      </c>
      <c r="J320" s="19">
        <f t="shared" si="24"/>
        <v>203</v>
      </c>
      <c r="K320" s="20">
        <f>INDEX('Item Master'!$F$2:$F$51,MATCH($A320,'Item Master'!$A$2:$A$51,0))</f>
        <v>250</v>
      </c>
      <c r="L320" s="20">
        <f t="shared" si="25"/>
        <v>4500</v>
      </c>
      <c r="M320" s="21">
        <f t="shared" si="26"/>
        <v>0.6</v>
      </c>
      <c r="N320" s="19">
        <f>INDEX('Item Master'!$E$2:$E$51,MATCH($A320,'Item Master'!$A$2:$A$51,0))</f>
        <v>3</v>
      </c>
      <c r="O320" s="22">
        <f>INDEX('Product Summary'!$L$2:$L$51,MATCH($A320,'Product Summary'!$A$2:$A$51,0))</f>
        <v>0.78333333333333321</v>
      </c>
      <c r="P320" s="22">
        <f>INDEX('Product Summary'!$M$2:$M$51,MATCH($A320,'Product Summary'!$A$2:$A$51,0))</f>
        <v>2.47648401826484</v>
      </c>
      <c r="Q320" s="22">
        <f t="shared" si="27"/>
        <v>338.33333333333337</v>
      </c>
      <c r="R320" s="22">
        <f t="shared" si="28"/>
        <v>334.20585996955862</v>
      </c>
      <c r="S320" s="19" t="str">
        <f t="shared" si="29"/>
        <v>OVERSTOCK</v>
      </c>
    </row>
    <row r="321" spans="1:19" x14ac:dyDescent="0.3">
      <c r="A321" s="19" t="s">
        <v>124</v>
      </c>
      <c r="B321" s="19" t="s">
        <v>125</v>
      </c>
      <c r="C321" s="19" t="s">
        <v>28</v>
      </c>
      <c r="D321" s="19" t="s">
        <v>41</v>
      </c>
      <c r="E321" s="19">
        <f>SUMIFS('Stock Inflow'!$G$2:$G$601,'Stock Inflow'!$A$2:$A$601,$A321,'Stock Inflow'!$D$2:$D$601,$D321)</f>
        <v>203</v>
      </c>
      <c r="F321" s="19">
        <f>SUMIFS('Stock Inflow'!$F$2:$F$601,'Stock Inflow'!$A$2:$A$601,$A321,'Stock Inflow'!$D$2:$D$601,$D321)</f>
        <v>15</v>
      </c>
      <c r="G321" s="19">
        <f>SUMIFS('Stock Inflow'!$E$2:$E$601,'Stock Inflow'!$A$2:$A$601,$A321,'Stock Inflow'!$D$2:$D$601,$D321)</f>
        <v>1</v>
      </c>
      <c r="H321" s="19">
        <f>SUMIFS('Stock Outflow'!$F$2:$F$601,'Stock Outflow'!$A$2:$A$601,$A321,'Stock Outflow'!$D$2:$D$601,$D321)</f>
        <v>15</v>
      </c>
      <c r="I321" s="19">
        <f>SUMIFS('Stock Outflow'!$E$2:$E$601,'Stock Outflow'!$A$2:$A$601,$A321,'Stock Outflow'!$D$2:$D$601,$D321)</f>
        <v>0</v>
      </c>
      <c r="J321" s="19">
        <f t="shared" si="24"/>
        <v>204</v>
      </c>
      <c r="K321" s="20">
        <f>INDEX('Item Master'!$F$2:$F$51,MATCH($A321,'Item Master'!$A$2:$A$51,0))</f>
        <v>250</v>
      </c>
      <c r="L321" s="20">
        <f t="shared" si="25"/>
        <v>3750</v>
      </c>
      <c r="M321" s="21">
        <f t="shared" si="26"/>
        <v>0.5</v>
      </c>
      <c r="N321" s="19">
        <f>INDEX('Item Master'!$E$2:$E$51,MATCH($A321,'Item Master'!$A$2:$A$51,0))</f>
        <v>3</v>
      </c>
      <c r="O321" s="22">
        <f>INDEX('Product Summary'!$L$2:$L$51,MATCH($A321,'Product Summary'!$A$2:$A$51,0))</f>
        <v>0.78333333333333321</v>
      </c>
      <c r="P321" s="22">
        <f>INDEX('Product Summary'!$M$2:$M$51,MATCH($A321,'Product Summary'!$A$2:$A$51,0))</f>
        <v>2.47648401826484</v>
      </c>
      <c r="Q321" s="22">
        <f t="shared" si="27"/>
        <v>408</v>
      </c>
      <c r="R321" s="22">
        <f t="shared" si="28"/>
        <v>403.04703196347032</v>
      </c>
      <c r="S321" s="19" t="str">
        <f t="shared" si="29"/>
        <v>OVERSTOCK</v>
      </c>
    </row>
    <row r="322" spans="1:19" x14ac:dyDescent="0.3">
      <c r="A322" s="19" t="s">
        <v>124</v>
      </c>
      <c r="B322" s="19" t="s">
        <v>125</v>
      </c>
      <c r="C322" s="19" t="s">
        <v>28</v>
      </c>
      <c r="D322" s="19" t="s">
        <v>43</v>
      </c>
      <c r="E322" s="19">
        <f>SUMIFS('Stock Inflow'!$G$2:$G$601,'Stock Inflow'!$A$2:$A$601,$A322,'Stock Inflow'!$D$2:$D$601,$D322)</f>
        <v>204</v>
      </c>
      <c r="F322" s="19">
        <f>SUMIFS('Stock Inflow'!$F$2:$F$601,'Stock Inflow'!$A$2:$A$601,$A322,'Stock Inflow'!$D$2:$D$601,$D322)</f>
        <v>18</v>
      </c>
      <c r="G322" s="19">
        <f>SUMIFS('Stock Inflow'!$E$2:$E$601,'Stock Inflow'!$A$2:$A$601,$A322,'Stock Inflow'!$D$2:$D$601,$D322)</f>
        <v>1</v>
      </c>
      <c r="H322" s="19">
        <f>SUMIFS('Stock Outflow'!$F$2:$F$601,'Stock Outflow'!$A$2:$A$601,$A322,'Stock Outflow'!$D$2:$D$601,$D322)</f>
        <v>18</v>
      </c>
      <c r="I322" s="19">
        <f>SUMIFS('Stock Outflow'!$E$2:$E$601,'Stock Outflow'!$A$2:$A$601,$A322,'Stock Outflow'!$D$2:$D$601,$D322)</f>
        <v>0</v>
      </c>
      <c r="J322" s="19">
        <f t="shared" ref="J322:J385" si="30">E322+F322+G322-H322-I322</f>
        <v>205</v>
      </c>
      <c r="K322" s="20">
        <f>INDEX('Item Master'!$F$2:$F$51,MATCH($A322,'Item Master'!$A$2:$A$51,0))</f>
        <v>250</v>
      </c>
      <c r="L322" s="20">
        <f t="shared" ref="L322:L385" si="31">H322*K322</f>
        <v>4500</v>
      </c>
      <c r="M322" s="21">
        <f t="shared" ref="M322:M385" si="32">H322/30</f>
        <v>0.6</v>
      </c>
      <c r="N322" s="19">
        <f>INDEX('Item Master'!$E$2:$E$51,MATCH($A322,'Item Master'!$A$2:$A$51,0))</f>
        <v>3</v>
      </c>
      <c r="O322" s="22">
        <f>INDEX('Product Summary'!$L$2:$L$51,MATCH($A322,'Product Summary'!$A$2:$A$51,0))</f>
        <v>0.78333333333333321</v>
      </c>
      <c r="P322" s="22">
        <f>INDEX('Product Summary'!$M$2:$M$51,MATCH($A322,'Product Summary'!$A$2:$A$51,0))</f>
        <v>2.47648401826484</v>
      </c>
      <c r="Q322" s="22">
        <f t="shared" ref="Q322:Q385" si="33">IF(M322=0,"",J322/M322)</f>
        <v>341.66666666666669</v>
      </c>
      <c r="R322" s="22">
        <f t="shared" ref="R322:R385" si="34">IF(M322=0,"",IF(J322&lt;=P322,0,(J322-P322)/M322))</f>
        <v>337.53919330289193</v>
      </c>
      <c r="S322" s="19" t="str">
        <f t="shared" ref="S322:S385" si="35">IF(J322&lt;=P322,"REORDER NOW",IF(IFERROR(Q322,0)&gt;150,"OVERSTOCK","HEALTHY"))</f>
        <v>OVERSTOCK</v>
      </c>
    </row>
    <row r="323" spans="1:19" x14ac:dyDescent="0.3">
      <c r="A323" s="19" t="s">
        <v>124</v>
      </c>
      <c r="B323" s="19" t="s">
        <v>125</v>
      </c>
      <c r="C323" s="19" t="s">
        <v>28</v>
      </c>
      <c r="D323" s="19" t="s">
        <v>45</v>
      </c>
      <c r="E323" s="19">
        <f>SUMIFS('Stock Inflow'!$G$2:$G$601,'Stock Inflow'!$A$2:$A$601,$A323,'Stock Inflow'!$D$2:$D$601,$D323)</f>
        <v>205</v>
      </c>
      <c r="F323" s="19">
        <f>SUMIFS('Stock Inflow'!$F$2:$F$601,'Stock Inflow'!$A$2:$A$601,$A323,'Stock Inflow'!$D$2:$D$601,$D323)</f>
        <v>30</v>
      </c>
      <c r="G323" s="19">
        <f>SUMIFS('Stock Inflow'!$E$2:$E$601,'Stock Inflow'!$A$2:$A$601,$A323,'Stock Inflow'!$D$2:$D$601,$D323)</f>
        <v>1</v>
      </c>
      <c r="H323" s="19">
        <f>SUMIFS('Stock Outflow'!$F$2:$F$601,'Stock Outflow'!$A$2:$A$601,$A323,'Stock Outflow'!$D$2:$D$601,$D323)</f>
        <v>25</v>
      </c>
      <c r="I323" s="19">
        <f>SUMIFS('Stock Outflow'!$E$2:$E$601,'Stock Outflow'!$A$2:$A$601,$A323,'Stock Outflow'!$D$2:$D$601,$D323)</f>
        <v>0</v>
      </c>
      <c r="J323" s="19">
        <f t="shared" si="30"/>
        <v>211</v>
      </c>
      <c r="K323" s="20">
        <f>INDEX('Item Master'!$F$2:$F$51,MATCH($A323,'Item Master'!$A$2:$A$51,0))</f>
        <v>250</v>
      </c>
      <c r="L323" s="20">
        <f t="shared" si="31"/>
        <v>6250</v>
      </c>
      <c r="M323" s="21">
        <f t="shared" si="32"/>
        <v>0.83333333333333337</v>
      </c>
      <c r="N323" s="19">
        <f>INDEX('Item Master'!$E$2:$E$51,MATCH($A323,'Item Master'!$A$2:$A$51,0))</f>
        <v>3</v>
      </c>
      <c r="O323" s="22">
        <f>INDEX('Product Summary'!$L$2:$L$51,MATCH($A323,'Product Summary'!$A$2:$A$51,0))</f>
        <v>0.78333333333333321</v>
      </c>
      <c r="P323" s="22">
        <f>INDEX('Product Summary'!$M$2:$M$51,MATCH($A323,'Product Summary'!$A$2:$A$51,0))</f>
        <v>2.47648401826484</v>
      </c>
      <c r="Q323" s="22">
        <f t="shared" si="33"/>
        <v>253.2</v>
      </c>
      <c r="R323" s="22">
        <f t="shared" si="34"/>
        <v>250.22821917808218</v>
      </c>
      <c r="S323" s="19" t="str">
        <f t="shared" si="35"/>
        <v>OVERSTOCK</v>
      </c>
    </row>
    <row r="324" spans="1:19" x14ac:dyDescent="0.3">
      <c r="A324" s="19" t="s">
        <v>124</v>
      </c>
      <c r="B324" s="19" t="s">
        <v>125</v>
      </c>
      <c r="C324" s="19" t="s">
        <v>28</v>
      </c>
      <c r="D324" s="19" t="s">
        <v>47</v>
      </c>
      <c r="E324" s="19">
        <f>SUMIFS('Stock Inflow'!$G$2:$G$601,'Stock Inflow'!$A$2:$A$601,$A324,'Stock Inflow'!$D$2:$D$601,$D324)</f>
        <v>211</v>
      </c>
      <c r="F324" s="19">
        <f>SUMIFS('Stock Inflow'!$F$2:$F$601,'Stock Inflow'!$A$2:$A$601,$A324,'Stock Inflow'!$D$2:$D$601,$D324)</f>
        <v>17</v>
      </c>
      <c r="G324" s="19">
        <f>SUMIFS('Stock Inflow'!$E$2:$E$601,'Stock Inflow'!$A$2:$A$601,$A324,'Stock Inflow'!$D$2:$D$601,$D324)</f>
        <v>0</v>
      </c>
      <c r="H324" s="19">
        <f>SUMIFS('Stock Outflow'!$F$2:$F$601,'Stock Outflow'!$A$2:$A$601,$A324,'Stock Outflow'!$D$2:$D$601,$D324)</f>
        <v>18</v>
      </c>
      <c r="I324" s="19">
        <f>SUMIFS('Stock Outflow'!$E$2:$E$601,'Stock Outflow'!$A$2:$A$601,$A324,'Stock Outflow'!$D$2:$D$601,$D324)</f>
        <v>0</v>
      </c>
      <c r="J324" s="19">
        <f t="shared" si="30"/>
        <v>210</v>
      </c>
      <c r="K324" s="20">
        <f>INDEX('Item Master'!$F$2:$F$51,MATCH($A324,'Item Master'!$A$2:$A$51,0))</f>
        <v>250</v>
      </c>
      <c r="L324" s="20">
        <f t="shared" si="31"/>
        <v>4500</v>
      </c>
      <c r="M324" s="21">
        <f t="shared" si="32"/>
        <v>0.6</v>
      </c>
      <c r="N324" s="19">
        <f>INDEX('Item Master'!$E$2:$E$51,MATCH($A324,'Item Master'!$A$2:$A$51,0))</f>
        <v>3</v>
      </c>
      <c r="O324" s="22">
        <f>INDEX('Product Summary'!$L$2:$L$51,MATCH($A324,'Product Summary'!$A$2:$A$51,0))</f>
        <v>0.78333333333333321</v>
      </c>
      <c r="P324" s="22">
        <f>INDEX('Product Summary'!$M$2:$M$51,MATCH($A324,'Product Summary'!$A$2:$A$51,0))</f>
        <v>2.47648401826484</v>
      </c>
      <c r="Q324" s="22">
        <f t="shared" si="33"/>
        <v>350</v>
      </c>
      <c r="R324" s="22">
        <f t="shared" si="34"/>
        <v>345.8725266362253</v>
      </c>
      <c r="S324" s="19" t="str">
        <f t="shared" si="35"/>
        <v>OVERSTOCK</v>
      </c>
    </row>
    <row r="325" spans="1:19" x14ac:dyDescent="0.3">
      <c r="A325" s="19" t="s">
        <v>124</v>
      </c>
      <c r="B325" s="19" t="s">
        <v>125</v>
      </c>
      <c r="C325" s="19" t="s">
        <v>28</v>
      </c>
      <c r="D325" s="19" t="s">
        <v>49</v>
      </c>
      <c r="E325" s="19">
        <f>SUMIFS('Stock Inflow'!$G$2:$G$601,'Stock Inflow'!$A$2:$A$601,$A325,'Stock Inflow'!$D$2:$D$601,$D325)</f>
        <v>210</v>
      </c>
      <c r="F325" s="19">
        <f>SUMIFS('Stock Inflow'!$F$2:$F$601,'Stock Inflow'!$A$2:$A$601,$A325,'Stock Inflow'!$D$2:$D$601,$D325)</f>
        <v>17</v>
      </c>
      <c r="G325" s="19">
        <f>SUMIFS('Stock Inflow'!$E$2:$E$601,'Stock Inflow'!$A$2:$A$601,$A325,'Stock Inflow'!$D$2:$D$601,$D325)</f>
        <v>0</v>
      </c>
      <c r="H325" s="19">
        <f>SUMIFS('Stock Outflow'!$F$2:$F$601,'Stock Outflow'!$A$2:$A$601,$A325,'Stock Outflow'!$D$2:$D$601,$D325)</f>
        <v>18</v>
      </c>
      <c r="I325" s="19">
        <f>SUMIFS('Stock Outflow'!$E$2:$E$601,'Stock Outflow'!$A$2:$A$601,$A325,'Stock Outflow'!$D$2:$D$601,$D325)</f>
        <v>0</v>
      </c>
      <c r="J325" s="19">
        <f t="shared" si="30"/>
        <v>209</v>
      </c>
      <c r="K325" s="20">
        <f>INDEX('Item Master'!$F$2:$F$51,MATCH($A325,'Item Master'!$A$2:$A$51,0))</f>
        <v>250</v>
      </c>
      <c r="L325" s="20">
        <f t="shared" si="31"/>
        <v>4500</v>
      </c>
      <c r="M325" s="21">
        <f t="shared" si="32"/>
        <v>0.6</v>
      </c>
      <c r="N325" s="19">
        <f>INDEX('Item Master'!$E$2:$E$51,MATCH($A325,'Item Master'!$A$2:$A$51,0))</f>
        <v>3</v>
      </c>
      <c r="O325" s="22">
        <f>INDEX('Product Summary'!$L$2:$L$51,MATCH($A325,'Product Summary'!$A$2:$A$51,0))</f>
        <v>0.78333333333333321</v>
      </c>
      <c r="P325" s="22">
        <f>INDEX('Product Summary'!$M$2:$M$51,MATCH($A325,'Product Summary'!$A$2:$A$51,0))</f>
        <v>2.47648401826484</v>
      </c>
      <c r="Q325" s="22">
        <f t="shared" si="33"/>
        <v>348.33333333333337</v>
      </c>
      <c r="R325" s="22">
        <f t="shared" si="34"/>
        <v>344.20585996955862</v>
      </c>
      <c r="S325" s="19" t="str">
        <f t="shared" si="35"/>
        <v>OVERSTOCK</v>
      </c>
    </row>
    <row r="326" spans="1:19" x14ac:dyDescent="0.3">
      <c r="A326" s="19" t="s">
        <v>126</v>
      </c>
      <c r="B326" s="19" t="s">
        <v>127</v>
      </c>
      <c r="C326" s="19" t="s">
        <v>28</v>
      </c>
      <c r="D326" s="19" t="s">
        <v>27</v>
      </c>
      <c r="E326" s="19">
        <f>SUMIFS('Stock Inflow'!$G$2:$G$601,'Stock Inflow'!$A$2:$A$601,$A326,'Stock Inflow'!$D$2:$D$601,$D326)</f>
        <v>143</v>
      </c>
      <c r="F326" s="19">
        <f>SUMIFS('Stock Inflow'!$F$2:$F$601,'Stock Inflow'!$A$2:$A$601,$A326,'Stock Inflow'!$D$2:$D$601,$D326)</f>
        <v>43</v>
      </c>
      <c r="G326" s="19">
        <f>SUMIFS('Stock Inflow'!$E$2:$E$601,'Stock Inflow'!$A$2:$A$601,$A326,'Stock Inflow'!$D$2:$D$601,$D326)</f>
        <v>1</v>
      </c>
      <c r="H326" s="19">
        <f>SUMIFS('Stock Outflow'!$F$2:$F$601,'Stock Outflow'!$A$2:$A$601,$A326,'Stock Outflow'!$D$2:$D$601,$D326)</f>
        <v>36</v>
      </c>
      <c r="I326" s="19">
        <f>SUMIFS('Stock Outflow'!$E$2:$E$601,'Stock Outflow'!$A$2:$A$601,$A326,'Stock Outflow'!$D$2:$D$601,$D326)</f>
        <v>1</v>
      </c>
      <c r="J326" s="19">
        <f t="shared" si="30"/>
        <v>150</v>
      </c>
      <c r="K326" s="20">
        <f>INDEX('Item Master'!$F$2:$F$51,MATCH($A326,'Item Master'!$A$2:$A$51,0))</f>
        <v>300</v>
      </c>
      <c r="L326" s="20">
        <f t="shared" si="31"/>
        <v>10800</v>
      </c>
      <c r="M326" s="21">
        <f t="shared" si="32"/>
        <v>1.2</v>
      </c>
      <c r="N326" s="19">
        <f>INDEX('Item Master'!$E$2:$E$51,MATCH($A326,'Item Master'!$A$2:$A$51,0))</f>
        <v>5</v>
      </c>
      <c r="O326" s="22">
        <f>INDEX('Product Summary'!$L$2:$L$51,MATCH($A326,'Product Summary'!$A$2:$A$51,0))</f>
        <v>2.916666666666667</v>
      </c>
      <c r="P326" s="22">
        <f>INDEX('Product Summary'!$M$2:$M$51,MATCH($A326,'Product Summary'!$A$2:$A$51,0))</f>
        <v>9.4098173515981749</v>
      </c>
      <c r="Q326" s="22">
        <f t="shared" si="33"/>
        <v>125</v>
      </c>
      <c r="R326" s="22">
        <f t="shared" si="34"/>
        <v>117.15848554033485</v>
      </c>
      <c r="S326" s="19" t="str">
        <f t="shared" si="35"/>
        <v>HEALTHY</v>
      </c>
    </row>
    <row r="327" spans="1:19" x14ac:dyDescent="0.3">
      <c r="A327" s="19" t="s">
        <v>126</v>
      </c>
      <c r="B327" s="19" t="s">
        <v>127</v>
      </c>
      <c r="C327" s="19" t="s">
        <v>28</v>
      </c>
      <c r="D327" s="19" t="s">
        <v>29</v>
      </c>
      <c r="E327" s="19">
        <f>SUMIFS('Stock Inflow'!$G$2:$G$601,'Stock Inflow'!$A$2:$A$601,$A327,'Stock Inflow'!$D$2:$D$601,$D327)</f>
        <v>150</v>
      </c>
      <c r="F327" s="19">
        <f>SUMIFS('Stock Inflow'!$F$2:$F$601,'Stock Inflow'!$A$2:$A$601,$A327,'Stock Inflow'!$D$2:$D$601,$D327)</f>
        <v>37</v>
      </c>
      <c r="G327" s="19">
        <f>SUMIFS('Stock Inflow'!$E$2:$E$601,'Stock Inflow'!$A$2:$A$601,$A327,'Stock Inflow'!$D$2:$D$601,$D327)</f>
        <v>1</v>
      </c>
      <c r="H327" s="19">
        <f>SUMIFS('Stock Outflow'!$F$2:$F$601,'Stock Outflow'!$A$2:$A$601,$A327,'Stock Outflow'!$D$2:$D$601,$D327)</f>
        <v>34</v>
      </c>
      <c r="I327" s="19">
        <f>SUMIFS('Stock Outflow'!$E$2:$E$601,'Stock Outflow'!$A$2:$A$601,$A327,'Stock Outflow'!$D$2:$D$601,$D327)</f>
        <v>0</v>
      </c>
      <c r="J327" s="19">
        <f t="shared" si="30"/>
        <v>154</v>
      </c>
      <c r="K327" s="20">
        <f>INDEX('Item Master'!$F$2:$F$51,MATCH($A327,'Item Master'!$A$2:$A$51,0))</f>
        <v>300</v>
      </c>
      <c r="L327" s="20">
        <f t="shared" si="31"/>
        <v>10200</v>
      </c>
      <c r="M327" s="21">
        <f t="shared" si="32"/>
        <v>1.1333333333333333</v>
      </c>
      <c r="N327" s="19">
        <f>INDEX('Item Master'!$E$2:$E$51,MATCH($A327,'Item Master'!$A$2:$A$51,0))</f>
        <v>5</v>
      </c>
      <c r="O327" s="22">
        <f>INDEX('Product Summary'!$L$2:$L$51,MATCH($A327,'Product Summary'!$A$2:$A$51,0))</f>
        <v>2.916666666666667</v>
      </c>
      <c r="P327" s="22">
        <f>INDEX('Product Summary'!$M$2:$M$51,MATCH($A327,'Product Summary'!$A$2:$A$51,0))</f>
        <v>9.4098173515981749</v>
      </c>
      <c r="Q327" s="22">
        <f t="shared" si="33"/>
        <v>135.88235294117646</v>
      </c>
      <c r="R327" s="22">
        <f t="shared" si="34"/>
        <v>127.57957292506043</v>
      </c>
      <c r="S327" s="19" t="str">
        <f t="shared" si="35"/>
        <v>HEALTHY</v>
      </c>
    </row>
    <row r="328" spans="1:19" x14ac:dyDescent="0.3">
      <c r="A328" s="19" t="s">
        <v>126</v>
      </c>
      <c r="B328" s="19" t="s">
        <v>127</v>
      </c>
      <c r="C328" s="19" t="s">
        <v>28</v>
      </c>
      <c r="D328" s="19" t="s">
        <v>31</v>
      </c>
      <c r="E328" s="19">
        <f>SUMIFS('Stock Inflow'!$G$2:$G$601,'Stock Inflow'!$A$2:$A$601,$A328,'Stock Inflow'!$D$2:$D$601,$D328)</f>
        <v>154</v>
      </c>
      <c r="F328" s="19">
        <f>SUMIFS('Stock Inflow'!$F$2:$F$601,'Stock Inflow'!$A$2:$A$601,$A328,'Stock Inflow'!$D$2:$D$601,$D328)</f>
        <v>38</v>
      </c>
      <c r="G328" s="19">
        <f>SUMIFS('Stock Inflow'!$E$2:$E$601,'Stock Inflow'!$A$2:$A$601,$A328,'Stock Inflow'!$D$2:$D$601,$D328)</f>
        <v>0</v>
      </c>
      <c r="H328" s="19">
        <f>SUMIFS('Stock Outflow'!$F$2:$F$601,'Stock Outflow'!$A$2:$A$601,$A328,'Stock Outflow'!$D$2:$D$601,$D328)</f>
        <v>37</v>
      </c>
      <c r="I328" s="19">
        <f>SUMIFS('Stock Outflow'!$E$2:$E$601,'Stock Outflow'!$A$2:$A$601,$A328,'Stock Outflow'!$D$2:$D$601,$D328)</f>
        <v>0</v>
      </c>
      <c r="J328" s="19">
        <f t="shared" si="30"/>
        <v>155</v>
      </c>
      <c r="K328" s="20">
        <f>INDEX('Item Master'!$F$2:$F$51,MATCH($A328,'Item Master'!$A$2:$A$51,0))</f>
        <v>300</v>
      </c>
      <c r="L328" s="20">
        <f t="shared" si="31"/>
        <v>11100</v>
      </c>
      <c r="M328" s="21">
        <f t="shared" si="32"/>
        <v>1.2333333333333334</v>
      </c>
      <c r="N328" s="19">
        <f>INDEX('Item Master'!$E$2:$E$51,MATCH($A328,'Item Master'!$A$2:$A$51,0))</f>
        <v>5</v>
      </c>
      <c r="O328" s="22">
        <f>INDEX('Product Summary'!$L$2:$L$51,MATCH($A328,'Product Summary'!$A$2:$A$51,0))</f>
        <v>2.916666666666667</v>
      </c>
      <c r="P328" s="22">
        <f>INDEX('Product Summary'!$M$2:$M$51,MATCH($A328,'Product Summary'!$A$2:$A$51,0))</f>
        <v>9.4098173515981749</v>
      </c>
      <c r="Q328" s="22">
        <f t="shared" si="33"/>
        <v>125.67567567567566</v>
      </c>
      <c r="R328" s="22">
        <f t="shared" si="34"/>
        <v>118.04609403924472</v>
      </c>
      <c r="S328" s="19" t="str">
        <f t="shared" si="35"/>
        <v>HEALTHY</v>
      </c>
    </row>
    <row r="329" spans="1:19" x14ac:dyDescent="0.3">
      <c r="A329" s="19" t="s">
        <v>126</v>
      </c>
      <c r="B329" s="19" t="s">
        <v>127</v>
      </c>
      <c r="C329" s="19" t="s">
        <v>28</v>
      </c>
      <c r="D329" s="19" t="s">
        <v>33</v>
      </c>
      <c r="E329" s="19">
        <f>SUMIFS('Stock Inflow'!$G$2:$G$601,'Stock Inflow'!$A$2:$A$601,$A329,'Stock Inflow'!$D$2:$D$601,$D329)</f>
        <v>155</v>
      </c>
      <c r="F329" s="19">
        <f>SUMIFS('Stock Inflow'!$F$2:$F$601,'Stock Inflow'!$A$2:$A$601,$A329,'Stock Inflow'!$D$2:$D$601,$D329)</f>
        <v>38</v>
      </c>
      <c r="G329" s="19">
        <f>SUMIFS('Stock Inflow'!$E$2:$E$601,'Stock Inflow'!$A$2:$A$601,$A329,'Stock Inflow'!$D$2:$D$601,$D329)</f>
        <v>2</v>
      </c>
      <c r="H329" s="19">
        <f>SUMIFS('Stock Outflow'!$F$2:$F$601,'Stock Outflow'!$A$2:$A$601,$A329,'Stock Outflow'!$D$2:$D$601,$D329)</f>
        <v>38</v>
      </c>
      <c r="I329" s="19">
        <f>SUMIFS('Stock Outflow'!$E$2:$E$601,'Stock Outflow'!$A$2:$A$601,$A329,'Stock Outflow'!$D$2:$D$601,$D329)</f>
        <v>0</v>
      </c>
      <c r="J329" s="19">
        <f t="shared" si="30"/>
        <v>157</v>
      </c>
      <c r="K329" s="20">
        <f>INDEX('Item Master'!$F$2:$F$51,MATCH($A329,'Item Master'!$A$2:$A$51,0))</f>
        <v>300</v>
      </c>
      <c r="L329" s="20">
        <f t="shared" si="31"/>
        <v>11400</v>
      </c>
      <c r="M329" s="21">
        <f t="shared" si="32"/>
        <v>1.2666666666666666</v>
      </c>
      <c r="N329" s="19">
        <f>INDEX('Item Master'!$E$2:$E$51,MATCH($A329,'Item Master'!$A$2:$A$51,0))</f>
        <v>5</v>
      </c>
      <c r="O329" s="22">
        <f>INDEX('Product Summary'!$L$2:$L$51,MATCH($A329,'Product Summary'!$A$2:$A$51,0))</f>
        <v>2.916666666666667</v>
      </c>
      <c r="P329" s="22">
        <f>INDEX('Product Summary'!$M$2:$M$51,MATCH($A329,'Product Summary'!$A$2:$A$51,0))</f>
        <v>9.4098173515981749</v>
      </c>
      <c r="Q329" s="22">
        <f t="shared" si="33"/>
        <v>123.94736842105264</v>
      </c>
      <c r="R329" s="22">
        <f t="shared" si="34"/>
        <v>116.51856524873828</v>
      </c>
      <c r="S329" s="19" t="str">
        <f t="shared" si="35"/>
        <v>HEALTHY</v>
      </c>
    </row>
    <row r="330" spans="1:19" x14ac:dyDescent="0.3">
      <c r="A330" s="19" t="s">
        <v>126</v>
      </c>
      <c r="B330" s="19" t="s">
        <v>127</v>
      </c>
      <c r="C330" s="19" t="s">
        <v>28</v>
      </c>
      <c r="D330" s="19" t="s">
        <v>35</v>
      </c>
      <c r="E330" s="19">
        <f>SUMIFS('Stock Inflow'!$G$2:$G$601,'Stock Inflow'!$A$2:$A$601,$A330,'Stock Inflow'!$D$2:$D$601,$D330)</f>
        <v>157</v>
      </c>
      <c r="F330" s="19">
        <f>SUMIFS('Stock Inflow'!$F$2:$F$601,'Stock Inflow'!$A$2:$A$601,$A330,'Stock Inflow'!$D$2:$D$601,$D330)</f>
        <v>42</v>
      </c>
      <c r="G330" s="19">
        <f>SUMIFS('Stock Inflow'!$E$2:$E$601,'Stock Inflow'!$A$2:$A$601,$A330,'Stock Inflow'!$D$2:$D$601,$D330)</f>
        <v>1</v>
      </c>
      <c r="H330" s="19">
        <f>SUMIFS('Stock Outflow'!$F$2:$F$601,'Stock Outflow'!$A$2:$A$601,$A330,'Stock Outflow'!$D$2:$D$601,$D330)</f>
        <v>33</v>
      </c>
      <c r="I330" s="19">
        <f>SUMIFS('Stock Outflow'!$E$2:$E$601,'Stock Outflow'!$A$2:$A$601,$A330,'Stock Outflow'!$D$2:$D$601,$D330)</f>
        <v>1</v>
      </c>
      <c r="J330" s="19">
        <f t="shared" si="30"/>
        <v>166</v>
      </c>
      <c r="K330" s="20">
        <f>INDEX('Item Master'!$F$2:$F$51,MATCH($A330,'Item Master'!$A$2:$A$51,0))</f>
        <v>300</v>
      </c>
      <c r="L330" s="20">
        <f t="shared" si="31"/>
        <v>9900</v>
      </c>
      <c r="M330" s="21">
        <f t="shared" si="32"/>
        <v>1.1000000000000001</v>
      </c>
      <c r="N330" s="19">
        <f>INDEX('Item Master'!$E$2:$E$51,MATCH($A330,'Item Master'!$A$2:$A$51,0))</f>
        <v>5</v>
      </c>
      <c r="O330" s="22">
        <f>INDEX('Product Summary'!$L$2:$L$51,MATCH($A330,'Product Summary'!$A$2:$A$51,0))</f>
        <v>2.916666666666667</v>
      </c>
      <c r="P330" s="22">
        <f>INDEX('Product Summary'!$M$2:$M$51,MATCH($A330,'Product Summary'!$A$2:$A$51,0))</f>
        <v>9.4098173515981749</v>
      </c>
      <c r="Q330" s="22">
        <f t="shared" si="33"/>
        <v>150.90909090909091</v>
      </c>
      <c r="R330" s="22">
        <f t="shared" si="34"/>
        <v>142.35471149854709</v>
      </c>
      <c r="S330" s="19" t="str">
        <f t="shared" si="35"/>
        <v>OVERSTOCK</v>
      </c>
    </row>
    <row r="331" spans="1:19" x14ac:dyDescent="0.3">
      <c r="A331" s="19" t="s">
        <v>126</v>
      </c>
      <c r="B331" s="19" t="s">
        <v>127</v>
      </c>
      <c r="C331" s="19" t="s">
        <v>28</v>
      </c>
      <c r="D331" s="19" t="s">
        <v>37</v>
      </c>
      <c r="E331" s="19">
        <f>SUMIFS('Stock Inflow'!$G$2:$G$601,'Stock Inflow'!$A$2:$A$601,$A331,'Stock Inflow'!$D$2:$D$601,$D331)</f>
        <v>166</v>
      </c>
      <c r="F331" s="19">
        <f>SUMIFS('Stock Inflow'!$F$2:$F$601,'Stock Inflow'!$A$2:$A$601,$A331,'Stock Inflow'!$D$2:$D$601,$D331)</f>
        <v>39</v>
      </c>
      <c r="G331" s="19">
        <f>SUMIFS('Stock Inflow'!$E$2:$E$601,'Stock Inflow'!$A$2:$A$601,$A331,'Stock Inflow'!$D$2:$D$601,$D331)</f>
        <v>1</v>
      </c>
      <c r="H331" s="19">
        <f>SUMIFS('Stock Outflow'!$F$2:$F$601,'Stock Outflow'!$A$2:$A$601,$A331,'Stock Outflow'!$D$2:$D$601,$D331)</f>
        <v>41</v>
      </c>
      <c r="I331" s="19">
        <f>SUMIFS('Stock Outflow'!$E$2:$E$601,'Stock Outflow'!$A$2:$A$601,$A331,'Stock Outflow'!$D$2:$D$601,$D331)</f>
        <v>1</v>
      </c>
      <c r="J331" s="19">
        <f t="shared" si="30"/>
        <v>164</v>
      </c>
      <c r="K331" s="20">
        <f>INDEX('Item Master'!$F$2:$F$51,MATCH($A331,'Item Master'!$A$2:$A$51,0))</f>
        <v>300</v>
      </c>
      <c r="L331" s="20">
        <f t="shared" si="31"/>
        <v>12300</v>
      </c>
      <c r="M331" s="21">
        <f t="shared" si="32"/>
        <v>1.3666666666666667</v>
      </c>
      <c r="N331" s="19">
        <f>INDEX('Item Master'!$E$2:$E$51,MATCH($A331,'Item Master'!$A$2:$A$51,0))</f>
        <v>5</v>
      </c>
      <c r="O331" s="22">
        <f>INDEX('Product Summary'!$L$2:$L$51,MATCH($A331,'Product Summary'!$A$2:$A$51,0))</f>
        <v>2.916666666666667</v>
      </c>
      <c r="P331" s="22">
        <f>INDEX('Product Summary'!$M$2:$M$51,MATCH($A331,'Product Summary'!$A$2:$A$51,0))</f>
        <v>9.4098173515981749</v>
      </c>
      <c r="Q331" s="22">
        <f t="shared" si="33"/>
        <v>120</v>
      </c>
      <c r="R331" s="22">
        <f t="shared" si="34"/>
        <v>113.11476779151353</v>
      </c>
      <c r="S331" s="19" t="str">
        <f t="shared" si="35"/>
        <v>HEALTHY</v>
      </c>
    </row>
    <row r="332" spans="1:19" x14ac:dyDescent="0.3">
      <c r="A332" s="19" t="s">
        <v>126</v>
      </c>
      <c r="B332" s="19" t="s">
        <v>127</v>
      </c>
      <c r="C332" s="19" t="s">
        <v>28</v>
      </c>
      <c r="D332" s="19" t="s">
        <v>39</v>
      </c>
      <c r="E332" s="19">
        <f>SUMIFS('Stock Inflow'!$G$2:$G$601,'Stock Inflow'!$A$2:$A$601,$A332,'Stock Inflow'!$D$2:$D$601,$D332)</f>
        <v>164</v>
      </c>
      <c r="F332" s="19">
        <f>SUMIFS('Stock Inflow'!$F$2:$F$601,'Stock Inflow'!$A$2:$A$601,$A332,'Stock Inflow'!$D$2:$D$601,$D332)</f>
        <v>38</v>
      </c>
      <c r="G332" s="19">
        <f>SUMIFS('Stock Inflow'!$E$2:$E$601,'Stock Inflow'!$A$2:$A$601,$A332,'Stock Inflow'!$D$2:$D$601,$D332)</f>
        <v>1</v>
      </c>
      <c r="H332" s="19">
        <f>SUMIFS('Stock Outflow'!$F$2:$F$601,'Stock Outflow'!$A$2:$A$601,$A332,'Stock Outflow'!$D$2:$D$601,$D332)</f>
        <v>40</v>
      </c>
      <c r="I332" s="19">
        <f>SUMIFS('Stock Outflow'!$E$2:$E$601,'Stock Outflow'!$A$2:$A$601,$A332,'Stock Outflow'!$D$2:$D$601,$D332)</f>
        <v>1</v>
      </c>
      <c r="J332" s="19">
        <f t="shared" si="30"/>
        <v>162</v>
      </c>
      <c r="K332" s="20">
        <f>INDEX('Item Master'!$F$2:$F$51,MATCH($A332,'Item Master'!$A$2:$A$51,0))</f>
        <v>300</v>
      </c>
      <c r="L332" s="20">
        <f t="shared" si="31"/>
        <v>12000</v>
      </c>
      <c r="M332" s="21">
        <f t="shared" si="32"/>
        <v>1.3333333333333333</v>
      </c>
      <c r="N332" s="19">
        <f>INDEX('Item Master'!$E$2:$E$51,MATCH($A332,'Item Master'!$A$2:$A$51,0))</f>
        <v>5</v>
      </c>
      <c r="O332" s="22">
        <f>INDEX('Product Summary'!$L$2:$L$51,MATCH($A332,'Product Summary'!$A$2:$A$51,0))</f>
        <v>2.916666666666667</v>
      </c>
      <c r="P332" s="22">
        <f>INDEX('Product Summary'!$M$2:$M$51,MATCH($A332,'Product Summary'!$A$2:$A$51,0))</f>
        <v>9.4098173515981749</v>
      </c>
      <c r="Q332" s="22">
        <f t="shared" si="33"/>
        <v>121.5</v>
      </c>
      <c r="R332" s="22">
        <f t="shared" si="34"/>
        <v>114.44263698630137</v>
      </c>
      <c r="S332" s="19" t="str">
        <f t="shared" si="35"/>
        <v>HEALTHY</v>
      </c>
    </row>
    <row r="333" spans="1:19" x14ac:dyDescent="0.3">
      <c r="A333" s="19" t="s">
        <v>126</v>
      </c>
      <c r="B333" s="19" t="s">
        <v>127</v>
      </c>
      <c r="C333" s="19" t="s">
        <v>28</v>
      </c>
      <c r="D333" s="19" t="s">
        <v>41</v>
      </c>
      <c r="E333" s="19">
        <f>SUMIFS('Stock Inflow'!$G$2:$G$601,'Stock Inflow'!$A$2:$A$601,$A333,'Stock Inflow'!$D$2:$D$601,$D333)</f>
        <v>162</v>
      </c>
      <c r="F333" s="19">
        <f>SUMIFS('Stock Inflow'!$F$2:$F$601,'Stock Inflow'!$A$2:$A$601,$A333,'Stock Inflow'!$D$2:$D$601,$D333)</f>
        <v>30</v>
      </c>
      <c r="G333" s="19">
        <f>SUMIFS('Stock Inflow'!$E$2:$E$601,'Stock Inflow'!$A$2:$A$601,$A333,'Stock Inflow'!$D$2:$D$601,$D333)</f>
        <v>1</v>
      </c>
      <c r="H333" s="19">
        <f>SUMIFS('Stock Outflow'!$F$2:$F$601,'Stock Outflow'!$A$2:$A$601,$A333,'Stock Outflow'!$D$2:$D$601,$D333)</f>
        <v>32</v>
      </c>
      <c r="I333" s="19">
        <f>SUMIFS('Stock Outflow'!$E$2:$E$601,'Stock Outflow'!$A$2:$A$601,$A333,'Stock Outflow'!$D$2:$D$601,$D333)</f>
        <v>1</v>
      </c>
      <c r="J333" s="19">
        <f t="shared" si="30"/>
        <v>160</v>
      </c>
      <c r="K333" s="20">
        <f>INDEX('Item Master'!$F$2:$F$51,MATCH($A333,'Item Master'!$A$2:$A$51,0))</f>
        <v>300</v>
      </c>
      <c r="L333" s="20">
        <f t="shared" si="31"/>
        <v>9600</v>
      </c>
      <c r="M333" s="21">
        <f t="shared" si="32"/>
        <v>1.0666666666666667</v>
      </c>
      <c r="N333" s="19">
        <f>INDEX('Item Master'!$E$2:$E$51,MATCH($A333,'Item Master'!$A$2:$A$51,0))</f>
        <v>5</v>
      </c>
      <c r="O333" s="22">
        <f>INDEX('Product Summary'!$L$2:$L$51,MATCH($A333,'Product Summary'!$A$2:$A$51,0))</f>
        <v>2.916666666666667</v>
      </c>
      <c r="P333" s="22">
        <f>INDEX('Product Summary'!$M$2:$M$51,MATCH($A333,'Product Summary'!$A$2:$A$51,0))</f>
        <v>9.4098173515981749</v>
      </c>
      <c r="Q333" s="22">
        <f t="shared" si="33"/>
        <v>150</v>
      </c>
      <c r="R333" s="22">
        <f t="shared" si="34"/>
        <v>141.1782962328767</v>
      </c>
      <c r="S333" s="19" t="str">
        <f t="shared" si="35"/>
        <v>HEALTHY</v>
      </c>
    </row>
    <row r="334" spans="1:19" x14ac:dyDescent="0.3">
      <c r="A334" s="19" t="s">
        <v>126</v>
      </c>
      <c r="B334" s="19" t="s">
        <v>127</v>
      </c>
      <c r="C334" s="19" t="s">
        <v>28</v>
      </c>
      <c r="D334" s="19" t="s">
        <v>43</v>
      </c>
      <c r="E334" s="19">
        <f>SUMIFS('Stock Inflow'!$G$2:$G$601,'Stock Inflow'!$A$2:$A$601,$A334,'Stock Inflow'!$D$2:$D$601,$D334)</f>
        <v>160</v>
      </c>
      <c r="F334" s="19">
        <f>SUMIFS('Stock Inflow'!$F$2:$F$601,'Stock Inflow'!$A$2:$A$601,$A334,'Stock Inflow'!$D$2:$D$601,$D334)</f>
        <v>46</v>
      </c>
      <c r="G334" s="19">
        <f>SUMIFS('Stock Inflow'!$E$2:$E$601,'Stock Inflow'!$A$2:$A$601,$A334,'Stock Inflow'!$D$2:$D$601,$D334)</f>
        <v>1</v>
      </c>
      <c r="H334" s="19">
        <f>SUMIFS('Stock Outflow'!$F$2:$F$601,'Stock Outflow'!$A$2:$A$601,$A334,'Stock Outflow'!$D$2:$D$601,$D334)</f>
        <v>39</v>
      </c>
      <c r="I334" s="19">
        <f>SUMIFS('Stock Outflow'!$E$2:$E$601,'Stock Outflow'!$A$2:$A$601,$A334,'Stock Outflow'!$D$2:$D$601,$D334)</f>
        <v>0</v>
      </c>
      <c r="J334" s="19">
        <f t="shared" si="30"/>
        <v>168</v>
      </c>
      <c r="K334" s="20">
        <f>INDEX('Item Master'!$F$2:$F$51,MATCH($A334,'Item Master'!$A$2:$A$51,0))</f>
        <v>300</v>
      </c>
      <c r="L334" s="20">
        <f t="shared" si="31"/>
        <v>11700</v>
      </c>
      <c r="M334" s="21">
        <f t="shared" si="32"/>
        <v>1.3</v>
      </c>
      <c r="N334" s="19">
        <f>INDEX('Item Master'!$E$2:$E$51,MATCH($A334,'Item Master'!$A$2:$A$51,0))</f>
        <v>5</v>
      </c>
      <c r="O334" s="22">
        <f>INDEX('Product Summary'!$L$2:$L$51,MATCH($A334,'Product Summary'!$A$2:$A$51,0))</f>
        <v>2.916666666666667</v>
      </c>
      <c r="P334" s="22">
        <f>INDEX('Product Summary'!$M$2:$M$51,MATCH($A334,'Product Summary'!$A$2:$A$51,0))</f>
        <v>9.4098173515981749</v>
      </c>
      <c r="Q334" s="22">
        <f t="shared" si="33"/>
        <v>129.23076923076923</v>
      </c>
      <c r="R334" s="22">
        <f t="shared" si="34"/>
        <v>121.99244819107832</v>
      </c>
      <c r="S334" s="19" t="str">
        <f t="shared" si="35"/>
        <v>HEALTHY</v>
      </c>
    </row>
    <row r="335" spans="1:19" x14ac:dyDescent="0.3">
      <c r="A335" s="19" t="s">
        <v>126</v>
      </c>
      <c r="B335" s="19" t="s">
        <v>127</v>
      </c>
      <c r="C335" s="19" t="s">
        <v>28</v>
      </c>
      <c r="D335" s="19" t="s">
        <v>45</v>
      </c>
      <c r="E335" s="19">
        <f>SUMIFS('Stock Inflow'!$G$2:$G$601,'Stock Inflow'!$A$2:$A$601,$A335,'Stock Inflow'!$D$2:$D$601,$D335)</f>
        <v>168</v>
      </c>
      <c r="F335" s="19">
        <f>SUMIFS('Stock Inflow'!$F$2:$F$601,'Stock Inflow'!$A$2:$A$601,$A335,'Stock Inflow'!$D$2:$D$601,$D335)</f>
        <v>58</v>
      </c>
      <c r="G335" s="19">
        <f>SUMIFS('Stock Inflow'!$E$2:$E$601,'Stock Inflow'!$A$2:$A$601,$A335,'Stock Inflow'!$D$2:$D$601,$D335)</f>
        <v>1</v>
      </c>
      <c r="H335" s="19">
        <f>SUMIFS('Stock Outflow'!$F$2:$F$601,'Stock Outflow'!$A$2:$A$601,$A335,'Stock Outflow'!$D$2:$D$601,$D335)</f>
        <v>57</v>
      </c>
      <c r="I335" s="19">
        <f>SUMIFS('Stock Outflow'!$E$2:$E$601,'Stock Outflow'!$A$2:$A$601,$A335,'Stock Outflow'!$D$2:$D$601,$D335)</f>
        <v>1</v>
      </c>
      <c r="J335" s="19">
        <f t="shared" si="30"/>
        <v>169</v>
      </c>
      <c r="K335" s="20">
        <f>INDEX('Item Master'!$F$2:$F$51,MATCH($A335,'Item Master'!$A$2:$A$51,0))</f>
        <v>300</v>
      </c>
      <c r="L335" s="20">
        <f t="shared" si="31"/>
        <v>17100</v>
      </c>
      <c r="M335" s="21">
        <f t="shared" si="32"/>
        <v>1.9</v>
      </c>
      <c r="N335" s="19">
        <f>INDEX('Item Master'!$E$2:$E$51,MATCH($A335,'Item Master'!$A$2:$A$51,0))</f>
        <v>5</v>
      </c>
      <c r="O335" s="22">
        <f>INDEX('Product Summary'!$L$2:$L$51,MATCH($A335,'Product Summary'!$A$2:$A$51,0))</f>
        <v>2.916666666666667</v>
      </c>
      <c r="P335" s="22">
        <f>INDEX('Product Summary'!$M$2:$M$51,MATCH($A335,'Product Summary'!$A$2:$A$51,0))</f>
        <v>9.4098173515981749</v>
      </c>
      <c r="Q335" s="22">
        <f t="shared" si="33"/>
        <v>88.94736842105263</v>
      </c>
      <c r="R335" s="22">
        <f t="shared" si="34"/>
        <v>83.994832972843071</v>
      </c>
      <c r="S335" s="19" t="str">
        <f t="shared" si="35"/>
        <v>HEALTHY</v>
      </c>
    </row>
    <row r="336" spans="1:19" x14ac:dyDescent="0.3">
      <c r="A336" s="19" t="s">
        <v>126</v>
      </c>
      <c r="B336" s="19" t="s">
        <v>127</v>
      </c>
      <c r="C336" s="19" t="s">
        <v>28</v>
      </c>
      <c r="D336" s="19" t="s">
        <v>47</v>
      </c>
      <c r="E336" s="19">
        <f>SUMIFS('Stock Inflow'!$G$2:$G$601,'Stock Inflow'!$A$2:$A$601,$A336,'Stock Inflow'!$D$2:$D$601,$D336)</f>
        <v>169</v>
      </c>
      <c r="F336" s="19">
        <f>SUMIFS('Stock Inflow'!$F$2:$F$601,'Stock Inflow'!$A$2:$A$601,$A336,'Stock Inflow'!$D$2:$D$601,$D336)</f>
        <v>52</v>
      </c>
      <c r="G336" s="19">
        <f>SUMIFS('Stock Inflow'!$E$2:$E$601,'Stock Inflow'!$A$2:$A$601,$A336,'Stock Inflow'!$D$2:$D$601,$D336)</f>
        <v>1</v>
      </c>
      <c r="H336" s="19">
        <f>SUMIFS('Stock Outflow'!$F$2:$F$601,'Stock Outflow'!$A$2:$A$601,$A336,'Stock Outflow'!$D$2:$D$601,$D336)</f>
        <v>48</v>
      </c>
      <c r="I336" s="19">
        <f>SUMIFS('Stock Outflow'!$E$2:$E$601,'Stock Outflow'!$A$2:$A$601,$A336,'Stock Outflow'!$D$2:$D$601,$D336)</f>
        <v>1</v>
      </c>
      <c r="J336" s="19">
        <f t="shared" si="30"/>
        <v>173</v>
      </c>
      <c r="K336" s="20">
        <f>INDEX('Item Master'!$F$2:$F$51,MATCH($A336,'Item Master'!$A$2:$A$51,0))</f>
        <v>300</v>
      </c>
      <c r="L336" s="20">
        <f t="shared" si="31"/>
        <v>14400</v>
      </c>
      <c r="M336" s="21">
        <f t="shared" si="32"/>
        <v>1.6</v>
      </c>
      <c r="N336" s="19">
        <f>INDEX('Item Master'!$E$2:$E$51,MATCH($A336,'Item Master'!$A$2:$A$51,0))</f>
        <v>5</v>
      </c>
      <c r="O336" s="22">
        <f>INDEX('Product Summary'!$L$2:$L$51,MATCH($A336,'Product Summary'!$A$2:$A$51,0))</f>
        <v>2.916666666666667</v>
      </c>
      <c r="P336" s="22">
        <f>INDEX('Product Summary'!$M$2:$M$51,MATCH($A336,'Product Summary'!$A$2:$A$51,0))</f>
        <v>9.4098173515981749</v>
      </c>
      <c r="Q336" s="22">
        <f t="shared" si="33"/>
        <v>108.125</v>
      </c>
      <c r="R336" s="22">
        <f t="shared" si="34"/>
        <v>102.24386415525113</v>
      </c>
      <c r="S336" s="19" t="str">
        <f t="shared" si="35"/>
        <v>HEALTHY</v>
      </c>
    </row>
    <row r="337" spans="1:19" x14ac:dyDescent="0.3">
      <c r="A337" s="19" t="s">
        <v>126</v>
      </c>
      <c r="B337" s="19" t="s">
        <v>127</v>
      </c>
      <c r="C337" s="19" t="s">
        <v>28</v>
      </c>
      <c r="D337" s="19" t="s">
        <v>49</v>
      </c>
      <c r="E337" s="19">
        <f>SUMIFS('Stock Inflow'!$G$2:$G$601,'Stock Inflow'!$A$2:$A$601,$A337,'Stock Inflow'!$D$2:$D$601,$D337)</f>
        <v>173</v>
      </c>
      <c r="F337" s="19">
        <f>SUMIFS('Stock Inflow'!$F$2:$F$601,'Stock Inflow'!$A$2:$A$601,$A337,'Stock Inflow'!$D$2:$D$601,$D337)</f>
        <v>35</v>
      </c>
      <c r="G337" s="19">
        <f>SUMIFS('Stock Inflow'!$E$2:$E$601,'Stock Inflow'!$A$2:$A$601,$A337,'Stock Inflow'!$D$2:$D$601,$D337)</f>
        <v>1</v>
      </c>
      <c r="H337" s="19">
        <f>SUMIFS('Stock Outflow'!$F$2:$F$601,'Stock Outflow'!$A$2:$A$601,$A337,'Stock Outflow'!$D$2:$D$601,$D337)</f>
        <v>39</v>
      </c>
      <c r="I337" s="19">
        <f>SUMIFS('Stock Outflow'!$E$2:$E$601,'Stock Outflow'!$A$2:$A$601,$A337,'Stock Outflow'!$D$2:$D$601,$D337)</f>
        <v>0</v>
      </c>
      <c r="J337" s="19">
        <f t="shared" si="30"/>
        <v>170</v>
      </c>
      <c r="K337" s="20">
        <f>INDEX('Item Master'!$F$2:$F$51,MATCH($A337,'Item Master'!$A$2:$A$51,0))</f>
        <v>300</v>
      </c>
      <c r="L337" s="20">
        <f t="shared" si="31"/>
        <v>11700</v>
      </c>
      <c r="M337" s="21">
        <f t="shared" si="32"/>
        <v>1.3</v>
      </c>
      <c r="N337" s="19">
        <f>INDEX('Item Master'!$E$2:$E$51,MATCH($A337,'Item Master'!$A$2:$A$51,0))</f>
        <v>5</v>
      </c>
      <c r="O337" s="22">
        <f>INDEX('Product Summary'!$L$2:$L$51,MATCH($A337,'Product Summary'!$A$2:$A$51,0))</f>
        <v>2.916666666666667</v>
      </c>
      <c r="P337" s="22">
        <f>INDEX('Product Summary'!$M$2:$M$51,MATCH($A337,'Product Summary'!$A$2:$A$51,0))</f>
        <v>9.4098173515981749</v>
      </c>
      <c r="Q337" s="22">
        <f t="shared" si="33"/>
        <v>130.76923076923077</v>
      </c>
      <c r="R337" s="22">
        <f t="shared" si="34"/>
        <v>123.53090972953986</v>
      </c>
      <c r="S337" s="19" t="str">
        <f t="shared" si="35"/>
        <v>HEALTHY</v>
      </c>
    </row>
    <row r="338" spans="1:19" x14ac:dyDescent="0.3">
      <c r="A338" s="19" t="s">
        <v>128</v>
      </c>
      <c r="B338" s="19" t="s">
        <v>129</v>
      </c>
      <c r="C338" s="19" t="s">
        <v>28</v>
      </c>
      <c r="D338" s="19" t="s">
        <v>27</v>
      </c>
      <c r="E338" s="19">
        <f>SUMIFS('Stock Inflow'!$G$2:$G$601,'Stock Inflow'!$A$2:$A$601,$A338,'Stock Inflow'!$D$2:$D$601,$D338)</f>
        <v>299</v>
      </c>
      <c r="F338" s="19">
        <f>SUMIFS('Stock Inflow'!$F$2:$F$601,'Stock Inflow'!$A$2:$A$601,$A338,'Stock Inflow'!$D$2:$D$601,$D338)</f>
        <v>21</v>
      </c>
      <c r="G338" s="19">
        <f>SUMIFS('Stock Inflow'!$E$2:$E$601,'Stock Inflow'!$A$2:$A$601,$A338,'Stock Inflow'!$D$2:$D$601,$D338)</f>
        <v>1</v>
      </c>
      <c r="H338" s="19">
        <f>SUMIFS('Stock Outflow'!$F$2:$F$601,'Stock Outflow'!$A$2:$A$601,$A338,'Stock Outflow'!$D$2:$D$601,$D338)</f>
        <v>20</v>
      </c>
      <c r="I338" s="19">
        <f>SUMIFS('Stock Outflow'!$E$2:$E$601,'Stock Outflow'!$A$2:$A$601,$A338,'Stock Outflow'!$D$2:$D$601,$D338)</f>
        <v>0</v>
      </c>
      <c r="J338" s="19">
        <f t="shared" si="30"/>
        <v>301</v>
      </c>
      <c r="K338" s="20">
        <f>INDEX('Item Master'!$F$2:$F$51,MATCH($A338,'Item Master'!$A$2:$A$51,0))</f>
        <v>600</v>
      </c>
      <c r="L338" s="20">
        <f t="shared" si="31"/>
        <v>12000</v>
      </c>
      <c r="M338" s="21">
        <f t="shared" si="32"/>
        <v>0.66666666666666663</v>
      </c>
      <c r="N338" s="19">
        <f>INDEX('Item Master'!$E$2:$E$51,MATCH($A338,'Item Master'!$A$2:$A$51,0))</f>
        <v>7</v>
      </c>
      <c r="O338" s="22">
        <f>INDEX('Product Summary'!$L$2:$L$51,MATCH($A338,'Product Summary'!$A$2:$A$51,0))</f>
        <v>1.8666666666666667</v>
      </c>
      <c r="P338" s="22">
        <f>INDEX('Product Summary'!$M$2:$M$51,MATCH($A338,'Product Summary'!$A$2:$A$51,0))</f>
        <v>7.3899543378995425</v>
      </c>
      <c r="Q338" s="22">
        <f t="shared" si="33"/>
        <v>451.5</v>
      </c>
      <c r="R338" s="22">
        <f t="shared" si="34"/>
        <v>440.41506849315067</v>
      </c>
      <c r="S338" s="19" t="str">
        <f t="shared" si="35"/>
        <v>OVERSTOCK</v>
      </c>
    </row>
    <row r="339" spans="1:19" x14ac:dyDescent="0.3">
      <c r="A339" s="19" t="s">
        <v>128</v>
      </c>
      <c r="B339" s="19" t="s">
        <v>129</v>
      </c>
      <c r="C339" s="19" t="s">
        <v>28</v>
      </c>
      <c r="D339" s="19" t="s">
        <v>29</v>
      </c>
      <c r="E339" s="19">
        <f>SUMIFS('Stock Inflow'!$G$2:$G$601,'Stock Inflow'!$A$2:$A$601,$A339,'Stock Inflow'!$D$2:$D$601,$D339)</f>
        <v>301</v>
      </c>
      <c r="F339" s="19">
        <f>SUMIFS('Stock Inflow'!$F$2:$F$601,'Stock Inflow'!$A$2:$A$601,$A339,'Stock Inflow'!$D$2:$D$601,$D339)</f>
        <v>27</v>
      </c>
      <c r="G339" s="19">
        <f>SUMIFS('Stock Inflow'!$E$2:$E$601,'Stock Inflow'!$A$2:$A$601,$A339,'Stock Inflow'!$D$2:$D$601,$D339)</f>
        <v>0</v>
      </c>
      <c r="H339" s="19">
        <f>SUMIFS('Stock Outflow'!$F$2:$F$601,'Stock Outflow'!$A$2:$A$601,$A339,'Stock Outflow'!$D$2:$D$601,$D339)</f>
        <v>24</v>
      </c>
      <c r="I339" s="19">
        <f>SUMIFS('Stock Outflow'!$E$2:$E$601,'Stock Outflow'!$A$2:$A$601,$A339,'Stock Outflow'!$D$2:$D$601,$D339)</f>
        <v>1</v>
      </c>
      <c r="J339" s="19">
        <f t="shared" si="30"/>
        <v>303</v>
      </c>
      <c r="K339" s="20">
        <f>INDEX('Item Master'!$F$2:$F$51,MATCH($A339,'Item Master'!$A$2:$A$51,0))</f>
        <v>600</v>
      </c>
      <c r="L339" s="20">
        <f t="shared" si="31"/>
        <v>14400</v>
      </c>
      <c r="M339" s="21">
        <f t="shared" si="32"/>
        <v>0.8</v>
      </c>
      <c r="N339" s="19">
        <f>INDEX('Item Master'!$E$2:$E$51,MATCH($A339,'Item Master'!$A$2:$A$51,0))</f>
        <v>7</v>
      </c>
      <c r="O339" s="22">
        <f>INDEX('Product Summary'!$L$2:$L$51,MATCH($A339,'Product Summary'!$A$2:$A$51,0))</f>
        <v>1.8666666666666667</v>
      </c>
      <c r="P339" s="22">
        <f>INDEX('Product Summary'!$M$2:$M$51,MATCH($A339,'Product Summary'!$A$2:$A$51,0))</f>
        <v>7.3899543378995425</v>
      </c>
      <c r="Q339" s="22">
        <f t="shared" si="33"/>
        <v>378.75</v>
      </c>
      <c r="R339" s="22">
        <f t="shared" si="34"/>
        <v>369.51255707762556</v>
      </c>
      <c r="S339" s="19" t="str">
        <f t="shared" si="35"/>
        <v>OVERSTOCK</v>
      </c>
    </row>
    <row r="340" spans="1:19" x14ac:dyDescent="0.3">
      <c r="A340" s="19" t="s">
        <v>128</v>
      </c>
      <c r="B340" s="19" t="s">
        <v>129</v>
      </c>
      <c r="C340" s="19" t="s">
        <v>28</v>
      </c>
      <c r="D340" s="19" t="s">
        <v>31</v>
      </c>
      <c r="E340" s="19">
        <f>SUMIFS('Stock Inflow'!$G$2:$G$601,'Stock Inflow'!$A$2:$A$601,$A340,'Stock Inflow'!$D$2:$D$601,$D340)</f>
        <v>303</v>
      </c>
      <c r="F340" s="19">
        <f>SUMIFS('Stock Inflow'!$F$2:$F$601,'Stock Inflow'!$A$2:$A$601,$A340,'Stock Inflow'!$D$2:$D$601,$D340)</f>
        <v>28</v>
      </c>
      <c r="G340" s="19">
        <f>SUMIFS('Stock Inflow'!$E$2:$E$601,'Stock Inflow'!$A$2:$A$601,$A340,'Stock Inflow'!$D$2:$D$601,$D340)</f>
        <v>1</v>
      </c>
      <c r="H340" s="19">
        <f>SUMIFS('Stock Outflow'!$F$2:$F$601,'Stock Outflow'!$A$2:$A$601,$A340,'Stock Outflow'!$D$2:$D$601,$D340)</f>
        <v>23</v>
      </c>
      <c r="I340" s="19">
        <f>SUMIFS('Stock Outflow'!$E$2:$E$601,'Stock Outflow'!$A$2:$A$601,$A340,'Stock Outflow'!$D$2:$D$601,$D340)</f>
        <v>0</v>
      </c>
      <c r="J340" s="19">
        <f t="shared" si="30"/>
        <v>309</v>
      </c>
      <c r="K340" s="20">
        <f>INDEX('Item Master'!$F$2:$F$51,MATCH($A340,'Item Master'!$A$2:$A$51,0))</f>
        <v>600</v>
      </c>
      <c r="L340" s="20">
        <f t="shared" si="31"/>
        <v>13800</v>
      </c>
      <c r="M340" s="21">
        <f t="shared" si="32"/>
        <v>0.76666666666666672</v>
      </c>
      <c r="N340" s="19">
        <f>INDEX('Item Master'!$E$2:$E$51,MATCH($A340,'Item Master'!$A$2:$A$51,0))</f>
        <v>7</v>
      </c>
      <c r="O340" s="22">
        <f>INDEX('Product Summary'!$L$2:$L$51,MATCH($A340,'Product Summary'!$A$2:$A$51,0))</f>
        <v>1.8666666666666667</v>
      </c>
      <c r="P340" s="22">
        <f>INDEX('Product Summary'!$M$2:$M$51,MATCH($A340,'Product Summary'!$A$2:$A$51,0))</f>
        <v>7.3899543378995425</v>
      </c>
      <c r="Q340" s="22">
        <f t="shared" si="33"/>
        <v>403.04347826086956</v>
      </c>
      <c r="R340" s="22">
        <f t="shared" si="34"/>
        <v>393.40440738534841</v>
      </c>
      <c r="S340" s="19" t="str">
        <f t="shared" si="35"/>
        <v>OVERSTOCK</v>
      </c>
    </row>
    <row r="341" spans="1:19" x14ac:dyDescent="0.3">
      <c r="A341" s="19" t="s">
        <v>128</v>
      </c>
      <c r="B341" s="19" t="s">
        <v>129</v>
      </c>
      <c r="C341" s="19" t="s">
        <v>28</v>
      </c>
      <c r="D341" s="19" t="s">
        <v>33</v>
      </c>
      <c r="E341" s="19">
        <f>SUMIFS('Stock Inflow'!$G$2:$G$601,'Stock Inflow'!$A$2:$A$601,$A341,'Stock Inflow'!$D$2:$D$601,$D341)</f>
        <v>309</v>
      </c>
      <c r="F341" s="19">
        <f>SUMIFS('Stock Inflow'!$F$2:$F$601,'Stock Inflow'!$A$2:$A$601,$A341,'Stock Inflow'!$D$2:$D$601,$D341)</f>
        <v>24</v>
      </c>
      <c r="G341" s="19">
        <f>SUMIFS('Stock Inflow'!$E$2:$E$601,'Stock Inflow'!$A$2:$A$601,$A341,'Stock Inflow'!$D$2:$D$601,$D341)</f>
        <v>1</v>
      </c>
      <c r="H341" s="19">
        <f>SUMIFS('Stock Outflow'!$F$2:$F$601,'Stock Outflow'!$A$2:$A$601,$A341,'Stock Outflow'!$D$2:$D$601,$D341)</f>
        <v>26</v>
      </c>
      <c r="I341" s="19">
        <f>SUMIFS('Stock Outflow'!$E$2:$E$601,'Stock Outflow'!$A$2:$A$601,$A341,'Stock Outflow'!$D$2:$D$601,$D341)</f>
        <v>0</v>
      </c>
      <c r="J341" s="19">
        <f t="shared" si="30"/>
        <v>308</v>
      </c>
      <c r="K341" s="20">
        <f>INDEX('Item Master'!$F$2:$F$51,MATCH($A341,'Item Master'!$A$2:$A$51,0))</f>
        <v>600</v>
      </c>
      <c r="L341" s="20">
        <f t="shared" si="31"/>
        <v>15600</v>
      </c>
      <c r="M341" s="21">
        <f t="shared" si="32"/>
        <v>0.8666666666666667</v>
      </c>
      <c r="N341" s="19">
        <f>INDEX('Item Master'!$E$2:$E$51,MATCH($A341,'Item Master'!$A$2:$A$51,0))</f>
        <v>7</v>
      </c>
      <c r="O341" s="22">
        <f>INDEX('Product Summary'!$L$2:$L$51,MATCH($A341,'Product Summary'!$A$2:$A$51,0))</f>
        <v>1.8666666666666667</v>
      </c>
      <c r="P341" s="22">
        <f>INDEX('Product Summary'!$M$2:$M$51,MATCH($A341,'Product Summary'!$A$2:$A$51,0))</f>
        <v>7.3899543378995425</v>
      </c>
      <c r="Q341" s="22">
        <f t="shared" si="33"/>
        <v>355.38461538461536</v>
      </c>
      <c r="R341" s="22">
        <f t="shared" si="34"/>
        <v>346.85774499473126</v>
      </c>
      <c r="S341" s="19" t="str">
        <f t="shared" si="35"/>
        <v>OVERSTOCK</v>
      </c>
    </row>
    <row r="342" spans="1:19" x14ac:dyDescent="0.3">
      <c r="A342" s="19" t="s">
        <v>128</v>
      </c>
      <c r="B342" s="19" t="s">
        <v>129</v>
      </c>
      <c r="C342" s="19" t="s">
        <v>28</v>
      </c>
      <c r="D342" s="19" t="s">
        <v>35</v>
      </c>
      <c r="E342" s="19">
        <f>SUMIFS('Stock Inflow'!$G$2:$G$601,'Stock Inflow'!$A$2:$A$601,$A342,'Stock Inflow'!$D$2:$D$601,$D342)</f>
        <v>308</v>
      </c>
      <c r="F342" s="19">
        <f>SUMIFS('Stock Inflow'!$F$2:$F$601,'Stock Inflow'!$A$2:$A$601,$A342,'Stock Inflow'!$D$2:$D$601,$D342)</f>
        <v>26</v>
      </c>
      <c r="G342" s="19">
        <f>SUMIFS('Stock Inflow'!$E$2:$E$601,'Stock Inflow'!$A$2:$A$601,$A342,'Stock Inflow'!$D$2:$D$601,$D342)</f>
        <v>0</v>
      </c>
      <c r="H342" s="19">
        <f>SUMIFS('Stock Outflow'!$F$2:$F$601,'Stock Outflow'!$A$2:$A$601,$A342,'Stock Outflow'!$D$2:$D$601,$D342)</f>
        <v>25</v>
      </c>
      <c r="I342" s="19">
        <f>SUMIFS('Stock Outflow'!$E$2:$E$601,'Stock Outflow'!$A$2:$A$601,$A342,'Stock Outflow'!$D$2:$D$601,$D342)</f>
        <v>0</v>
      </c>
      <c r="J342" s="19">
        <f t="shared" si="30"/>
        <v>309</v>
      </c>
      <c r="K342" s="20">
        <f>INDEX('Item Master'!$F$2:$F$51,MATCH($A342,'Item Master'!$A$2:$A$51,0))</f>
        <v>600</v>
      </c>
      <c r="L342" s="20">
        <f t="shared" si="31"/>
        <v>15000</v>
      </c>
      <c r="M342" s="21">
        <f t="shared" si="32"/>
        <v>0.83333333333333337</v>
      </c>
      <c r="N342" s="19">
        <f>INDEX('Item Master'!$E$2:$E$51,MATCH($A342,'Item Master'!$A$2:$A$51,0))</f>
        <v>7</v>
      </c>
      <c r="O342" s="22">
        <f>INDEX('Product Summary'!$L$2:$L$51,MATCH($A342,'Product Summary'!$A$2:$A$51,0))</f>
        <v>1.8666666666666667</v>
      </c>
      <c r="P342" s="22">
        <f>INDEX('Product Summary'!$M$2:$M$51,MATCH($A342,'Product Summary'!$A$2:$A$51,0))</f>
        <v>7.3899543378995425</v>
      </c>
      <c r="Q342" s="22">
        <f t="shared" si="33"/>
        <v>370.8</v>
      </c>
      <c r="R342" s="22">
        <f t="shared" si="34"/>
        <v>361.93205479452052</v>
      </c>
      <c r="S342" s="19" t="str">
        <f t="shared" si="35"/>
        <v>OVERSTOCK</v>
      </c>
    </row>
    <row r="343" spans="1:19" x14ac:dyDescent="0.3">
      <c r="A343" s="19" t="s">
        <v>128</v>
      </c>
      <c r="B343" s="19" t="s">
        <v>129</v>
      </c>
      <c r="C343" s="19" t="s">
        <v>28</v>
      </c>
      <c r="D343" s="19" t="s">
        <v>37</v>
      </c>
      <c r="E343" s="19">
        <f>SUMIFS('Stock Inflow'!$G$2:$G$601,'Stock Inflow'!$A$2:$A$601,$A343,'Stock Inflow'!$D$2:$D$601,$D343)</f>
        <v>309</v>
      </c>
      <c r="F343" s="19">
        <f>SUMIFS('Stock Inflow'!$F$2:$F$601,'Stock Inflow'!$A$2:$A$601,$A343,'Stock Inflow'!$D$2:$D$601,$D343)</f>
        <v>23</v>
      </c>
      <c r="G343" s="19">
        <f>SUMIFS('Stock Inflow'!$E$2:$E$601,'Stock Inflow'!$A$2:$A$601,$A343,'Stock Inflow'!$D$2:$D$601,$D343)</f>
        <v>1</v>
      </c>
      <c r="H343" s="19">
        <f>SUMIFS('Stock Outflow'!$F$2:$F$601,'Stock Outflow'!$A$2:$A$601,$A343,'Stock Outflow'!$D$2:$D$601,$D343)</f>
        <v>24</v>
      </c>
      <c r="I343" s="19">
        <f>SUMIFS('Stock Outflow'!$E$2:$E$601,'Stock Outflow'!$A$2:$A$601,$A343,'Stock Outflow'!$D$2:$D$601,$D343)</f>
        <v>1</v>
      </c>
      <c r="J343" s="19">
        <f t="shared" si="30"/>
        <v>308</v>
      </c>
      <c r="K343" s="20">
        <f>INDEX('Item Master'!$F$2:$F$51,MATCH($A343,'Item Master'!$A$2:$A$51,0))</f>
        <v>600</v>
      </c>
      <c r="L343" s="20">
        <f t="shared" si="31"/>
        <v>14400</v>
      </c>
      <c r="M343" s="21">
        <f t="shared" si="32"/>
        <v>0.8</v>
      </c>
      <c r="N343" s="19">
        <f>INDEX('Item Master'!$E$2:$E$51,MATCH($A343,'Item Master'!$A$2:$A$51,0))</f>
        <v>7</v>
      </c>
      <c r="O343" s="22">
        <f>INDEX('Product Summary'!$L$2:$L$51,MATCH($A343,'Product Summary'!$A$2:$A$51,0))</f>
        <v>1.8666666666666667</v>
      </c>
      <c r="P343" s="22">
        <f>INDEX('Product Summary'!$M$2:$M$51,MATCH($A343,'Product Summary'!$A$2:$A$51,0))</f>
        <v>7.3899543378995425</v>
      </c>
      <c r="Q343" s="22">
        <f t="shared" si="33"/>
        <v>385</v>
      </c>
      <c r="R343" s="22">
        <f t="shared" si="34"/>
        <v>375.76255707762556</v>
      </c>
      <c r="S343" s="19" t="str">
        <f t="shared" si="35"/>
        <v>OVERSTOCK</v>
      </c>
    </row>
    <row r="344" spans="1:19" x14ac:dyDescent="0.3">
      <c r="A344" s="19" t="s">
        <v>128</v>
      </c>
      <c r="B344" s="19" t="s">
        <v>129</v>
      </c>
      <c r="C344" s="19" t="s">
        <v>28</v>
      </c>
      <c r="D344" s="19" t="s">
        <v>39</v>
      </c>
      <c r="E344" s="19">
        <f>SUMIFS('Stock Inflow'!$G$2:$G$601,'Stock Inflow'!$A$2:$A$601,$A344,'Stock Inflow'!$D$2:$D$601,$D344)</f>
        <v>308</v>
      </c>
      <c r="F344" s="19">
        <f>SUMIFS('Stock Inflow'!$F$2:$F$601,'Stock Inflow'!$A$2:$A$601,$A344,'Stock Inflow'!$D$2:$D$601,$D344)</f>
        <v>21</v>
      </c>
      <c r="G344" s="19">
        <f>SUMIFS('Stock Inflow'!$E$2:$E$601,'Stock Inflow'!$A$2:$A$601,$A344,'Stock Inflow'!$D$2:$D$601,$D344)</f>
        <v>0</v>
      </c>
      <c r="H344" s="19">
        <f>SUMIFS('Stock Outflow'!$F$2:$F$601,'Stock Outflow'!$A$2:$A$601,$A344,'Stock Outflow'!$D$2:$D$601,$D344)</f>
        <v>20</v>
      </c>
      <c r="I344" s="19">
        <f>SUMIFS('Stock Outflow'!$E$2:$E$601,'Stock Outflow'!$A$2:$A$601,$A344,'Stock Outflow'!$D$2:$D$601,$D344)</f>
        <v>0</v>
      </c>
      <c r="J344" s="19">
        <f t="shared" si="30"/>
        <v>309</v>
      </c>
      <c r="K344" s="20">
        <f>INDEX('Item Master'!$F$2:$F$51,MATCH($A344,'Item Master'!$A$2:$A$51,0))</f>
        <v>600</v>
      </c>
      <c r="L344" s="20">
        <f t="shared" si="31"/>
        <v>12000</v>
      </c>
      <c r="M344" s="21">
        <f t="shared" si="32"/>
        <v>0.66666666666666663</v>
      </c>
      <c r="N344" s="19">
        <f>INDEX('Item Master'!$E$2:$E$51,MATCH($A344,'Item Master'!$A$2:$A$51,0))</f>
        <v>7</v>
      </c>
      <c r="O344" s="22">
        <f>INDEX('Product Summary'!$L$2:$L$51,MATCH($A344,'Product Summary'!$A$2:$A$51,0))</f>
        <v>1.8666666666666667</v>
      </c>
      <c r="P344" s="22">
        <f>INDEX('Product Summary'!$M$2:$M$51,MATCH($A344,'Product Summary'!$A$2:$A$51,0))</f>
        <v>7.3899543378995425</v>
      </c>
      <c r="Q344" s="22">
        <f t="shared" si="33"/>
        <v>463.5</v>
      </c>
      <c r="R344" s="22">
        <f t="shared" si="34"/>
        <v>452.41506849315067</v>
      </c>
      <c r="S344" s="19" t="str">
        <f t="shared" si="35"/>
        <v>OVERSTOCK</v>
      </c>
    </row>
    <row r="345" spans="1:19" x14ac:dyDescent="0.3">
      <c r="A345" s="19" t="s">
        <v>128</v>
      </c>
      <c r="B345" s="19" t="s">
        <v>129</v>
      </c>
      <c r="C345" s="19" t="s">
        <v>28</v>
      </c>
      <c r="D345" s="19" t="s">
        <v>41</v>
      </c>
      <c r="E345" s="19">
        <f>SUMIFS('Stock Inflow'!$G$2:$G$601,'Stock Inflow'!$A$2:$A$601,$A345,'Stock Inflow'!$D$2:$D$601,$D345)</f>
        <v>309</v>
      </c>
      <c r="F345" s="19">
        <f>SUMIFS('Stock Inflow'!$F$2:$F$601,'Stock Inflow'!$A$2:$A$601,$A345,'Stock Inflow'!$D$2:$D$601,$D345)</f>
        <v>29</v>
      </c>
      <c r="G345" s="19">
        <f>SUMIFS('Stock Inflow'!$E$2:$E$601,'Stock Inflow'!$A$2:$A$601,$A345,'Stock Inflow'!$D$2:$D$601,$D345)</f>
        <v>1</v>
      </c>
      <c r="H345" s="19">
        <f>SUMIFS('Stock Outflow'!$F$2:$F$601,'Stock Outflow'!$A$2:$A$601,$A345,'Stock Outflow'!$D$2:$D$601,$D345)</f>
        <v>25</v>
      </c>
      <c r="I345" s="19">
        <f>SUMIFS('Stock Outflow'!$E$2:$E$601,'Stock Outflow'!$A$2:$A$601,$A345,'Stock Outflow'!$D$2:$D$601,$D345)</f>
        <v>0</v>
      </c>
      <c r="J345" s="19">
        <f t="shared" si="30"/>
        <v>314</v>
      </c>
      <c r="K345" s="20">
        <f>INDEX('Item Master'!$F$2:$F$51,MATCH($A345,'Item Master'!$A$2:$A$51,0))</f>
        <v>600</v>
      </c>
      <c r="L345" s="20">
        <f t="shared" si="31"/>
        <v>15000</v>
      </c>
      <c r="M345" s="21">
        <f t="shared" si="32"/>
        <v>0.83333333333333337</v>
      </c>
      <c r="N345" s="19">
        <f>INDEX('Item Master'!$E$2:$E$51,MATCH($A345,'Item Master'!$A$2:$A$51,0))</f>
        <v>7</v>
      </c>
      <c r="O345" s="22">
        <f>INDEX('Product Summary'!$L$2:$L$51,MATCH($A345,'Product Summary'!$A$2:$A$51,0))</f>
        <v>1.8666666666666667</v>
      </c>
      <c r="P345" s="22">
        <f>INDEX('Product Summary'!$M$2:$M$51,MATCH($A345,'Product Summary'!$A$2:$A$51,0))</f>
        <v>7.3899543378995425</v>
      </c>
      <c r="Q345" s="22">
        <f t="shared" si="33"/>
        <v>376.8</v>
      </c>
      <c r="R345" s="22">
        <f t="shared" si="34"/>
        <v>367.93205479452052</v>
      </c>
      <c r="S345" s="19" t="str">
        <f t="shared" si="35"/>
        <v>OVERSTOCK</v>
      </c>
    </row>
    <row r="346" spans="1:19" x14ac:dyDescent="0.3">
      <c r="A346" s="19" t="s">
        <v>128</v>
      </c>
      <c r="B346" s="19" t="s">
        <v>129</v>
      </c>
      <c r="C346" s="19" t="s">
        <v>28</v>
      </c>
      <c r="D346" s="19" t="s">
        <v>43</v>
      </c>
      <c r="E346" s="19">
        <f>SUMIFS('Stock Inflow'!$G$2:$G$601,'Stock Inflow'!$A$2:$A$601,$A346,'Stock Inflow'!$D$2:$D$601,$D346)</f>
        <v>314</v>
      </c>
      <c r="F346" s="19">
        <f>SUMIFS('Stock Inflow'!$F$2:$F$601,'Stock Inflow'!$A$2:$A$601,$A346,'Stock Inflow'!$D$2:$D$601,$D346)</f>
        <v>20</v>
      </c>
      <c r="G346" s="19">
        <f>SUMIFS('Stock Inflow'!$E$2:$E$601,'Stock Inflow'!$A$2:$A$601,$A346,'Stock Inflow'!$D$2:$D$601,$D346)</f>
        <v>1</v>
      </c>
      <c r="H346" s="19">
        <f>SUMIFS('Stock Outflow'!$F$2:$F$601,'Stock Outflow'!$A$2:$A$601,$A346,'Stock Outflow'!$D$2:$D$601,$D346)</f>
        <v>21</v>
      </c>
      <c r="I346" s="19">
        <f>SUMIFS('Stock Outflow'!$E$2:$E$601,'Stock Outflow'!$A$2:$A$601,$A346,'Stock Outflow'!$D$2:$D$601,$D346)</f>
        <v>1</v>
      </c>
      <c r="J346" s="19">
        <f t="shared" si="30"/>
        <v>313</v>
      </c>
      <c r="K346" s="20">
        <f>INDEX('Item Master'!$F$2:$F$51,MATCH($A346,'Item Master'!$A$2:$A$51,0))</f>
        <v>600</v>
      </c>
      <c r="L346" s="20">
        <f t="shared" si="31"/>
        <v>12600</v>
      </c>
      <c r="M346" s="21">
        <f t="shared" si="32"/>
        <v>0.7</v>
      </c>
      <c r="N346" s="19">
        <f>INDEX('Item Master'!$E$2:$E$51,MATCH($A346,'Item Master'!$A$2:$A$51,0))</f>
        <v>7</v>
      </c>
      <c r="O346" s="22">
        <f>INDEX('Product Summary'!$L$2:$L$51,MATCH($A346,'Product Summary'!$A$2:$A$51,0))</f>
        <v>1.8666666666666667</v>
      </c>
      <c r="P346" s="22">
        <f>INDEX('Product Summary'!$M$2:$M$51,MATCH($A346,'Product Summary'!$A$2:$A$51,0))</f>
        <v>7.3899543378995425</v>
      </c>
      <c r="Q346" s="22">
        <f t="shared" si="33"/>
        <v>447.14285714285717</v>
      </c>
      <c r="R346" s="22">
        <f t="shared" si="34"/>
        <v>436.58577951728637</v>
      </c>
      <c r="S346" s="19" t="str">
        <f t="shared" si="35"/>
        <v>OVERSTOCK</v>
      </c>
    </row>
    <row r="347" spans="1:19" x14ac:dyDescent="0.3">
      <c r="A347" s="19" t="s">
        <v>128</v>
      </c>
      <c r="B347" s="19" t="s">
        <v>129</v>
      </c>
      <c r="C347" s="19" t="s">
        <v>28</v>
      </c>
      <c r="D347" s="19" t="s">
        <v>45</v>
      </c>
      <c r="E347" s="19">
        <f>SUMIFS('Stock Inflow'!$G$2:$G$601,'Stock Inflow'!$A$2:$A$601,$A347,'Stock Inflow'!$D$2:$D$601,$D347)</f>
        <v>313</v>
      </c>
      <c r="F347" s="19">
        <f>SUMIFS('Stock Inflow'!$F$2:$F$601,'Stock Inflow'!$A$2:$A$601,$A347,'Stock Inflow'!$D$2:$D$601,$D347)</f>
        <v>31</v>
      </c>
      <c r="G347" s="19">
        <f>SUMIFS('Stock Inflow'!$E$2:$E$601,'Stock Inflow'!$A$2:$A$601,$A347,'Stock Inflow'!$D$2:$D$601,$D347)</f>
        <v>1</v>
      </c>
      <c r="H347" s="19">
        <f>SUMIFS('Stock Outflow'!$F$2:$F$601,'Stock Outflow'!$A$2:$A$601,$A347,'Stock Outflow'!$D$2:$D$601,$D347)</f>
        <v>32</v>
      </c>
      <c r="I347" s="19">
        <f>SUMIFS('Stock Outflow'!$E$2:$E$601,'Stock Outflow'!$A$2:$A$601,$A347,'Stock Outflow'!$D$2:$D$601,$D347)</f>
        <v>1</v>
      </c>
      <c r="J347" s="19">
        <f t="shared" si="30"/>
        <v>312</v>
      </c>
      <c r="K347" s="20">
        <f>INDEX('Item Master'!$F$2:$F$51,MATCH($A347,'Item Master'!$A$2:$A$51,0))</f>
        <v>600</v>
      </c>
      <c r="L347" s="20">
        <f t="shared" si="31"/>
        <v>19200</v>
      </c>
      <c r="M347" s="21">
        <f t="shared" si="32"/>
        <v>1.0666666666666667</v>
      </c>
      <c r="N347" s="19">
        <f>INDEX('Item Master'!$E$2:$E$51,MATCH($A347,'Item Master'!$A$2:$A$51,0))</f>
        <v>7</v>
      </c>
      <c r="O347" s="22">
        <f>INDEX('Product Summary'!$L$2:$L$51,MATCH($A347,'Product Summary'!$A$2:$A$51,0))</f>
        <v>1.8666666666666667</v>
      </c>
      <c r="P347" s="22">
        <f>INDEX('Product Summary'!$M$2:$M$51,MATCH($A347,'Product Summary'!$A$2:$A$51,0))</f>
        <v>7.3899543378995425</v>
      </c>
      <c r="Q347" s="22">
        <f t="shared" si="33"/>
        <v>292.5</v>
      </c>
      <c r="R347" s="22">
        <f t="shared" si="34"/>
        <v>285.57191780821915</v>
      </c>
      <c r="S347" s="19" t="str">
        <f t="shared" si="35"/>
        <v>OVERSTOCK</v>
      </c>
    </row>
    <row r="348" spans="1:19" x14ac:dyDescent="0.3">
      <c r="A348" s="19" t="s">
        <v>128</v>
      </c>
      <c r="B348" s="19" t="s">
        <v>129</v>
      </c>
      <c r="C348" s="19" t="s">
        <v>28</v>
      </c>
      <c r="D348" s="19" t="s">
        <v>47</v>
      </c>
      <c r="E348" s="19">
        <f>SUMIFS('Stock Inflow'!$G$2:$G$601,'Stock Inflow'!$A$2:$A$601,$A348,'Stock Inflow'!$D$2:$D$601,$D348)</f>
        <v>312</v>
      </c>
      <c r="F348" s="19">
        <f>SUMIFS('Stock Inflow'!$F$2:$F$601,'Stock Inflow'!$A$2:$A$601,$A348,'Stock Inflow'!$D$2:$D$601,$D348)</f>
        <v>26</v>
      </c>
      <c r="G348" s="19">
        <f>SUMIFS('Stock Inflow'!$E$2:$E$601,'Stock Inflow'!$A$2:$A$601,$A348,'Stock Inflow'!$D$2:$D$601,$D348)</f>
        <v>1</v>
      </c>
      <c r="H348" s="19">
        <f>SUMIFS('Stock Outflow'!$F$2:$F$601,'Stock Outflow'!$A$2:$A$601,$A348,'Stock Outflow'!$D$2:$D$601,$D348)</f>
        <v>25</v>
      </c>
      <c r="I348" s="19">
        <f>SUMIFS('Stock Outflow'!$E$2:$E$601,'Stock Outflow'!$A$2:$A$601,$A348,'Stock Outflow'!$D$2:$D$601,$D348)</f>
        <v>1</v>
      </c>
      <c r="J348" s="19">
        <f t="shared" si="30"/>
        <v>313</v>
      </c>
      <c r="K348" s="20">
        <f>INDEX('Item Master'!$F$2:$F$51,MATCH($A348,'Item Master'!$A$2:$A$51,0))</f>
        <v>600</v>
      </c>
      <c r="L348" s="20">
        <f t="shared" si="31"/>
        <v>15000</v>
      </c>
      <c r="M348" s="21">
        <f t="shared" si="32"/>
        <v>0.83333333333333337</v>
      </c>
      <c r="N348" s="19">
        <f>INDEX('Item Master'!$E$2:$E$51,MATCH($A348,'Item Master'!$A$2:$A$51,0))</f>
        <v>7</v>
      </c>
      <c r="O348" s="22">
        <f>INDEX('Product Summary'!$L$2:$L$51,MATCH($A348,'Product Summary'!$A$2:$A$51,0))</f>
        <v>1.8666666666666667</v>
      </c>
      <c r="P348" s="22">
        <f>INDEX('Product Summary'!$M$2:$M$51,MATCH($A348,'Product Summary'!$A$2:$A$51,0))</f>
        <v>7.3899543378995425</v>
      </c>
      <c r="Q348" s="22">
        <f t="shared" si="33"/>
        <v>375.59999999999997</v>
      </c>
      <c r="R348" s="22">
        <f t="shared" si="34"/>
        <v>366.73205479452054</v>
      </c>
      <c r="S348" s="19" t="str">
        <f t="shared" si="35"/>
        <v>OVERSTOCK</v>
      </c>
    </row>
    <row r="349" spans="1:19" x14ac:dyDescent="0.3">
      <c r="A349" s="19" t="s">
        <v>128</v>
      </c>
      <c r="B349" s="19" t="s">
        <v>129</v>
      </c>
      <c r="C349" s="19" t="s">
        <v>28</v>
      </c>
      <c r="D349" s="19" t="s">
        <v>49</v>
      </c>
      <c r="E349" s="19">
        <f>SUMIFS('Stock Inflow'!$G$2:$G$601,'Stock Inflow'!$A$2:$A$601,$A349,'Stock Inflow'!$D$2:$D$601,$D349)</f>
        <v>313</v>
      </c>
      <c r="F349" s="19">
        <f>SUMIFS('Stock Inflow'!$F$2:$F$601,'Stock Inflow'!$A$2:$A$601,$A349,'Stock Inflow'!$D$2:$D$601,$D349)</f>
        <v>21</v>
      </c>
      <c r="G349" s="19">
        <f>SUMIFS('Stock Inflow'!$E$2:$E$601,'Stock Inflow'!$A$2:$A$601,$A349,'Stock Inflow'!$D$2:$D$601,$D349)</f>
        <v>1</v>
      </c>
      <c r="H349" s="19">
        <f>SUMIFS('Stock Outflow'!$F$2:$F$601,'Stock Outflow'!$A$2:$A$601,$A349,'Stock Outflow'!$D$2:$D$601,$D349)</f>
        <v>23</v>
      </c>
      <c r="I349" s="19">
        <f>SUMIFS('Stock Outflow'!$E$2:$E$601,'Stock Outflow'!$A$2:$A$601,$A349,'Stock Outflow'!$D$2:$D$601,$D349)</f>
        <v>0</v>
      </c>
      <c r="J349" s="19">
        <f t="shared" si="30"/>
        <v>312</v>
      </c>
      <c r="K349" s="20">
        <f>INDEX('Item Master'!$F$2:$F$51,MATCH($A349,'Item Master'!$A$2:$A$51,0))</f>
        <v>600</v>
      </c>
      <c r="L349" s="20">
        <f t="shared" si="31"/>
        <v>13800</v>
      </c>
      <c r="M349" s="21">
        <f t="shared" si="32"/>
        <v>0.76666666666666672</v>
      </c>
      <c r="N349" s="19">
        <f>INDEX('Item Master'!$E$2:$E$51,MATCH($A349,'Item Master'!$A$2:$A$51,0))</f>
        <v>7</v>
      </c>
      <c r="O349" s="22">
        <f>INDEX('Product Summary'!$L$2:$L$51,MATCH($A349,'Product Summary'!$A$2:$A$51,0))</f>
        <v>1.8666666666666667</v>
      </c>
      <c r="P349" s="22">
        <f>INDEX('Product Summary'!$M$2:$M$51,MATCH($A349,'Product Summary'!$A$2:$A$51,0))</f>
        <v>7.3899543378995425</v>
      </c>
      <c r="Q349" s="22">
        <f t="shared" si="33"/>
        <v>406.95652173913038</v>
      </c>
      <c r="R349" s="22">
        <f t="shared" si="34"/>
        <v>397.31745086360922</v>
      </c>
      <c r="S349" s="19" t="str">
        <f t="shared" si="35"/>
        <v>OVERSTOCK</v>
      </c>
    </row>
    <row r="350" spans="1:19" x14ac:dyDescent="0.3">
      <c r="A350" s="19" t="s">
        <v>130</v>
      </c>
      <c r="B350" s="19" t="s">
        <v>131</v>
      </c>
      <c r="C350" s="19" t="s">
        <v>28</v>
      </c>
      <c r="D350" s="19" t="s">
        <v>27</v>
      </c>
      <c r="E350" s="19">
        <f>SUMIFS('Stock Inflow'!$G$2:$G$601,'Stock Inflow'!$A$2:$A$601,$A350,'Stock Inflow'!$D$2:$D$601,$D350)</f>
        <v>219</v>
      </c>
      <c r="F350" s="19">
        <f>SUMIFS('Stock Inflow'!$F$2:$F$601,'Stock Inflow'!$A$2:$A$601,$A350,'Stock Inflow'!$D$2:$D$601,$D350)</f>
        <v>24</v>
      </c>
      <c r="G350" s="19">
        <f>SUMIFS('Stock Inflow'!$E$2:$E$601,'Stock Inflow'!$A$2:$A$601,$A350,'Stock Inflow'!$D$2:$D$601,$D350)</f>
        <v>1</v>
      </c>
      <c r="H350" s="19">
        <f>SUMIFS('Stock Outflow'!$F$2:$F$601,'Stock Outflow'!$A$2:$A$601,$A350,'Stock Outflow'!$D$2:$D$601,$D350)</f>
        <v>23</v>
      </c>
      <c r="I350" s="19">
        <f>SUMIFS('Stock Outflow'!$E$2:$E$601,'Stock Outflow'!$A$2:$A$601,$A350,'Stock Outflow'!$D$2:$D$601,$D350)</f>
        <v>1</v>
      </c>
      <c r="J350" s="19">
        <f t="shared" si="30"/>
        <v>220</v>
      </c>
      <c r="K350" s="20">
        <f>INDEX('Item Master'!$F$2:$F$51,MATCH($A350,'Item Master'!$A$2:$A$51,0))</f>
        <v>350</v>
      </c>
      <c r="L350" s="20">
        <f t="shared" si="31"/>
        <v>8050</v>
      </c>
      <c r="M350" s="21">
        <f t="shared" si="32"/>
        <v>0.76666666666666672</v>
      </c>
      <c r="N350" s="19">
        <f>INDEX('Item Master'!$E$2:$E$51,MATCH($A350,'Item Master'!$A$2:$A$51,0))</f>
        <v>5</v>
      </c>
      <c r="O350" s="22">
        <f>INDEX('Product Summary'!$L$2:$L$51,MATCH($A350,'Product Summary'!$A$2:$A$51,0))</f>
        <v>2.6805555555555554</v>
      </c>
      <c r="P350" s="22">
        <f>INDEX('Product Summary'!$M$2:$M$51,MATCH($A350,'Product Summary'!$A$2:$A$51,0))</f>
        <v>7.2695966514459665</v>
      </c>
      <c r="Q350" s="22">
        <f t="shared" si="33"/>
        <v>286.95652173913044</v>
      </c>
      <c r="R350" s="22">
        <f t="shared" si="34"/>
        <v>277.47443915028788</v>
      </c>
      <c r="S350" s="19" t="str">
        <f t="shared" si="35"/>
        <v>OVERSTOCK</v>
      </c>
    </row>
    <row r="351" spans="1:19" x14ac:dyDescent="0.3">
      <c r="A351" s="19" t="s">
        <v>130</v>
      </c>
      <c r="B351" s="19" t="s">
        <v>131</v>
      </c>
      <c r="C351" s="19" t="s">
        <v>28</v>
      </c>
      <c r="D351" s="19" t="s">
        <v>29</v>
      </c>
      <c r="E351" s="19">
        <f>SUMIFS('Stock Inflow'!$G$2:$G$601,'Stock Inflow'!$A$2:$A$601,$A351,'Stock Inflow'!$D$2:$D$601,$D351)</f>
        <v>220</v>
      </c>
      <c r="F351" s="19">
        <f>SUMIFS('Stock Inflow'!$F$2:$F$601,'Stock Inflow'!$A$2:$A$601,$A351,'Stock Inflow'!$D$2:$D$601,$D351)</f>
        <v>31</v>
      </c>
      <c r="G351" s="19">
        <f>SUMIFS('Stock Inflow'!$E$2:$E$601,'Stock Inflow'!$A$2:$A$601,$A351,'Stock Inflow'!$D$2:$D$601,$D351)</f>
        <v>1</v>
      </c>
      <c r="H351" s="19">
        <f>SUMIFS('Stock Outflow'!$F$2:$F$601,'Stock Outflow'!$A$2:$A$601,$A351,'Stock Outflow'!$D$2:$D$601,$D351)</f>
        <v>29</v>
      </c>
      <c r="I351" s="19">
        <f>SUMIFS('Stock Outflow'!$E$2:$E$601,'Stock Outflow'!$A$2:$A$601,$A351,'Stock Outflow'!$D$2:$D$601,$D351)</f>
        <v>0</v>
      </c>
      <c r="J351" s="19">
        <f t="shared" si="30"/>
        <v>223</v>
      </c>
      <c r="K351" s="20">
        <f>INDEX('Item Master'!$F$2:$F$51,MATCH($A351,'Item Master'!$A$2:$A$51,0))</f>
        <v>350</v>
      </c>
      <c r="L351" s="20">
        <f t="shared" si="31"/>
        <v>10150</v>
      </c>
      <c r="M351" s="21">
        <f t="shared" si="32"/>
        <v>0.96666666666666667</v>
      </c>
      <c r="N351" s="19">
        <f>INDEX('Item Master'!$E$2:$E$51,MATCH($A351,'Item Master'!$A$2:$A$51,0))</f>
        <v>5</v>
      </c>
      <c r="O351" s="22">
        <f>INDEX('Product Summary'!$L$2:$L$51,MATCH($A351,'Product Summary'!$A$2:$A$51,0))</f>
        <v>2.6805555555555554</v>
      </c>
      <c r="P351" s="22">
        <f>INDEX('Product Summary'!$M$2:$M$51,MATCH($A351,'Product Summary'!$A$2:$A$51,0))</f>
        <v>7.2695966514459665</v>
      </c>
      <c r="Q351" s="22">
        <f t="shared" si="33"/>
        <v>230.68965517241378</v>
      </c>
      <c r="R351" s="22">
        <f t="shared" si="34"/>
        <v>223.16938277436623</v>
      </c>
      <c r="S351" s="19" t="str">
        <f t="shared" si="35"/>
        <v>OVERSTOCK</v>
      </c>
    </row>
    <row r="352" spans="1:19" x14ac:dyDescent="0.3">
      <c r="A352" s="19" t="s">
        <v>130</v>
      </c>
      <c r="B352" s="19" t="s">
        <v>131</v>
      </c>
      <c r="C352" s="19" t="s">
        <v>28</v>
      </c>
      <c r="D352" s="19" t="s">
        <v>31</v>
      </c>
      <c r="E352" s="19">
        <f>SUMIFS('Stock Inflow'!$G$2:$G$601,'Stock Inflow'!$A$2:$A$601,$A352,'Stock Inflow'!$D$2:$D$601,$D352)</f>
        <v>223</v>
      </c>
      <c r="F352" s="19">
        <f>SUMIFS('Stock Inflow'!$F$2:$F$601,'Stock Inflow'!$A$2:$A$601,$A352,'Stock Inflow'!$D$2:$D$601,$D352)</f>
        <v>33</v>
      </c>
      <c r="G352" s="19">
        <f>SUMIFS('Stock Inflow'!$E$2:$E$601,'Stock Inflow'!$A$2:$A$601,$A352,'Stock Inflow'!$D$2:$D$601,$D352)</f>
        <v>1</v>
      </c>
      <c r="H352" s="19">
        <f>SUMIFS('Stock Outflow'!$F$2:$F$601,'Stock Outflow'!$A$2:$A$601,$A352,'Stock Outflow'!$D$2:$D$601,$D352)</f>
        <v>26</v>
      </c>
      <c r="I352" s="19">
        <f>SUMIFS('Stock Outflow'!$E$2:$E$601,'Stock Outflow'!$A$2:$A$601,$A352,'Stock Outflow'!$D$2:$D$601,$D352)</f>
        <v>1</v>
      </c>
      <c r="J352" s="19">
        <f t="shared" si="30"/>
        <v>230</v>
      </c>
      <c r="K352" s="20">
        <f>INDEX('Item Master'!$F$2:$F$51,MATCH($A352,'Item Master'!$A$2:$A$51,0))</f>
        <v>350</v>
      </c>
      <c r="L352" s="20">
        <f t="shared" si="31"/>
        <v>9100</v>
      </c>
      <c r="M352" s="21">
        <f t="shared" si="32"/>
        <v>0.8666666666666667</v>
      </c>
      <c r="N352" s="19">
        <f>INDEX('Item Master'!$E$2:$E$51,MATCH($A352,'Item Master'!$A$2:$A$51,0))</f>
        <v>5</v>
      </c>
      <c r="O352" s="22">
        <f>INDEX('Product Summary'!$L$2:$L$51,MATCH($A352,'Product Summary'!$A$2:$A$51,0))</f>
        <v>2.6805555555555554</v>
      </c>
      <c r="P352" s="22">
        <f>INDEX('Product Summary'!$M$2:$M$51,MATCH($A352,'Product Summary'!$A$2:$A$51,0))</f>
        <v>7.2695966514459665</v>
      </c>
      <c r="Q352" s="22">
        <f t="shared" si="33"/>
        <v>265.38461538461536</v>
      </c>
      <c r="R352" s="22">
        <f t="shared" si="34"/>
        <v>256.99661924833157</v>
      </c>
      <c r="S352" s="19" t="str">
        <f t="shared" si="35"/>
        <v>OVERSTOCK</v>
      </c>
    </row>
    <row r="353" spans="1:19" x14ac:dyDescent="0.3">
      <c r="A353" s="19" t="s">
        <v>130</v>
      </c>
      <c r="B353" s="19" t="s">
        <v>131</v>
      </c>
      <c r="C353" s="19" t="s">
        <v>28</v>
      </c>
      <c r="D353" s="19" t="s">
        <v>33</v>
      </c>
      <c r="E353" s="19">
        <f>SUMIFS('Stock Inflow'!$G$2:$G$601,'Stock Inflow'!$A$2:$A$601,$A353,'Stock Inflow'!$D$2:$D$601,$D353)</f>
        <v>230</v>
      </c>
      <c r="F353" s="19">
        <f>SUMIFS('Stock Inflow'!$F$2:$F$601,'Stock Inflow'!$A$2:$A$601,$A353,'Stock Inflow'!$D$2:$D$601,$D353)</f>
        <v>26</v>
      </c>
      <c r="G353" s="19">
        <f>SUMIFS('Stock Inflow'!$E$2:$E$601,'Stock Inflow'!$A$2:$A$601,$A353,'Stock Inflow'!$D$2:$D$601,$D353)</f>
        <v>1</v>
      </c>
      <c r="H353" s="19">
        <f>SUMIFS('Stock Outflow'!$F$2:$F$601,'Stock Outflow'!$A$2:$A$601,$A353,'Stock Outflow'!$D$2:$D$601,$D353)</f>
        <v>28</v>
      </c>
      <c r="I353" s="19">
        <f>SUMIFS('Stock Outflow'!$E$2:$E$601,'Stock Outflow'!$A$2:$A$601,$A353,'Stock Outflow'!$D$2:$D$601,$D353)</f>
        <v>1</v>
      </c>
      <c r="J353" s="19">
        <f t="shared" si="30"/>
        <v>228</v>
      </c>
      <c r="K353" s="20">
        <f>INDEX('Item Master'!$F$2:$F$51,MATCH($A353,'Item Master'!$A$2:$A$51,0))</f>
        <v>350</v>
      </c>
      <c r="L353" s="20">
        <f t="shared" si="31"/>
        <v>9800</v>
      </c>
      <c r="M353" s="21">
        <f t="shared" si="32"/>
        <v>0.93333333333333335</v>
      </c>
      <c r="N353" s="19">
        <f>INDEX('Item Master'!$E$2:$E$51,MATCH($A353,'Item Master'!$A$2:$A$51,0))</f>
        <v>5</v>
      </c>
      <c r="O353" s="22">
        <f>INDEX('Product Summary'!$L$2:$L$51,MATCH($A353,'Product Summary'!$A$2:$A$51,0))</f>
        <v>2.6805555555555554</v>
      </c>
      <c r="P353" s="22">
        <f>INDEX('Product Summary'!$M$2:$M$51,MATCH($A353,'Product Summary'!$A$2:$A$51,0))</f>
        <v>7.2695966514459665</v>
      </c>
      <c r="Q353" s="22">
        <f t="shared" si="33"/>
        <v>244.28571428571428</v>
      </c>
      <c r="R353" s="22">
        <f t="shared" si="34"/>
        <v>236.4968607305936</v>
      </c>
      <c r="S353" s="19" t="str">
        <f t="shared" si="35"/>
        <v>OVERSTOCK</v>
      </c>
    </row>
    <row r="354" spans="1:19" x14ac:dyDescent="0.3">
      <c r="A354" s="19" t="s">
        <v>130</v>
      </c>
      <c r="B354" s="19" t="s">
        <v>131</v>
      </c>
      <c r="C354" s="19" t="s">
        <v>28</v>
      </c>
      <c r="D354" s="19" t="s">
        <v>35</v>
      </c>
      <c r="E354" s="19">
        <f>SUMIFS('Stock Inflow'!$G$2:$G$601,'Stock Inflow'!$A$2:$A$601,$A354,'Stock Inflow'!$D$2:$D$601,$D354)</f>
        <v>228</v>
      </c>
      <c r="F354" s="19">
        <f>SUMIFS('Stock Inflow'!$F$2:$F$601,'Stock Inflow'!$A$2:$A$601,$A354,'Stock Inflow'!$D$2:$D$601,$D354)</f>
        <v>27</v>
      </c>
      <c r="G354" s="19">
        <f>SUMIFS('Stock Inflow'!$E$2:$E$601,'Stock Inflow'!$A$2:$A$601,$A354,'Stock Inflow'!$D$2:$D$601,$D354)</f>
        <v>0</v>
      </c>
      <c r="H354" s="19">
        <f>SUMIFS('Stock Outflow'!$F$2:$F$601,'Stock Outflow'!$A$2:$A$601,$A354,'Stock Outflow'!$D$2:$D$601,$D354)</f>
        <v>26</v>
      </c>
      <c r="I354" s="19">
        <f>SUMIFS('Stock Outflow'!$E$2:$E$601,'Stock Outflow'!$A$2:$A$601,$A354,'Stock Outflow'!$D$2:$D$601,$D354)</f>
        <v>1</v>
      </c>
      <c r="J354" s="19">
        <f t="shared" si="30"/>
        <v>228</v>
      </c>
      <c r="K354" s="20">
        <f>INDEX('Item Master'!$F$2:$F$51,MATCH($A354,'Item Master'!$A$2:$A$51,0))</f>
        <v>350</v>
      </c>
      <c r="L354" s="20">
        <f t="shared" si="31"/>
        <v>9100</v>
      </c>
      <c r="M354" s="21">
        <f t="shared" si="32"/>
        <v>0.8666666666666667</v>
      </c>
      <c r="N354" s="19">
        <f>INDEX('Item Master'!$E$2:$E$51,MATCH($A354,'Item Master'!$A$2:$A$51,0))</f>
        <v>5</v>
      </c>
      <c r="O354" s="22">
        <f>INDEX('Product Summary'!$L$2:$L$51,MATCH($A354,'Product Summary'!$A$2:$A$51,0))</f>
        <v>2.6805555555555554</v>
      </c>
      <c r="P354" s="22">
        <f>INDEX('Product Summary'!$M$2:$M$51,MATCH($A354,'Product Summary'!$A$2:$A$51,0))</f>
        <v>7.2695966514459665</v>
      </c>
      <c r="Q354" s="22">
        <f t="shared" si="33"/>
        <v>263.07692307692309</v>
      </c>
      <c r="R354" s="22">
        <f t="shared" si="34"/>
        <v>254.68892694063925</v>
      </c>
      <c r="S354" s="19" t="str">
        <f t="shared" si="35"/>
        <v>OVERSTOCK</v>
      </c>
    </row>
    <row r="355" spans="1:19" x14ac:dyDescent="0.3">
      <c r="A355" s="19" t="s">
        <v>130</v>
      </c>
      <c r="B355" s="19" t="s">
        <v>131</v>
      </c>
      <c r="C355" s="19" t="s">
        <v>28</v>
      </c>
      <c r="D355" s="19" t="s">
        <v>37</v>
      </c>
      <c r="E355" s="19">
        <f>SUMIFS('Stock Inflow'!$G$2:$G$601,'Stock Inflow'!$A$2:$A$601,$A355,'Stock Inflow'!$D$2:$D$601,$D355)</f>
        <v>228</v>
      </c>
      <c r="F355" s="19">
        <f>SUMIFS('Stock Inflow'!$F$2:$F$601,'Stock Inflow'!$A$2:$A$601,$A355,'Stock Inflow'!$D$2:$D$601,$D355)</f>
        <v>27</v>
      </c>
      <c r="G355" s="19">
        <f>SUMIFS('Stock Inflow'!$E$2:$E$601,'Stock Inflow'!$A$2:$A$601,$A355,'Stock Inflow'!$D$2:$D$601,$D355)</f>
        <v>1</v>
      </c>
      <c r="H355" s="19">
        <f>SUMIFS('Stock Outflow'!$F$2:$F$601,'Stock Outflow'!$A$2:$A$601,$A355,'Stock Outflow'!$D$2:$D$601,$D355)</f>
        <v>24</v>
      </c>
      <c r="I355" s="19">
        <f>SUMIFS('Stock Outflow'!$E$2:$E$601,'Stock Outflow'!$A$2:$A$601,$A355,'Stock Outflow'!$D$2:$D$601,$D355)</f>
        <v>1</v>
      </c>
      <c r="J355" s="19">
        <f t="shared" si="30"/>
        <v>231</v>
      </c>
      <c r="K355" s="20">
        <f>INDEX('Item Master'!$F$2:$F$51,MATCH($A355,'Item Master'!$A$2:$A$51,0))</f>
        <v>350</v>
      </c>
      <c r="L355" s="20">
        <f t="shared" si="31"/>
        <v>8400</v>
      </c>
      <c r="M355" s="21">
        <f t="shared" si="32"/>
        <v>0.8</v>
      </c>
      <c r="N355" s="19">
        <f>INDEX('Item Master'!$E$2:$E$51,MATCH($A355,'Item Master'!$A$2:$A$51,0))</f>
        <v>5</v>
      </c>
      <c r="O355" s="22">
        <f>INDEX('Product Summary'!$L$2:$L$51,MATCH($A355,'Product Summary'!$A$2:$A$51,0))</f>
        <v>2.6805555555555554</v>
      </c>
      <c r="P355" s="22">
        <f>INDEX('Product Summary'!$M$2:$M$51,MATCH($A355,'Product Summary'!$A$2:$A$51,0))</f>
        <v>7.2695966514459665</v>
      </c>
      <c r="Q355" s="22">
        <f t="shared" si="33"/>
        <v>288.75</v>
      </c>
      <c r="R355" s="22">
        <f t="shared" si="34"/>
        <v>279.6630041856925</v>
      </c>
      <c r="S355" s="19" t="str">
        <f t="shared" si="35"/>
        <v>OVERSTOCK</v>
      </c>
    </row>
    <row r="356" spans="1:19" x14ac:dyDescent="0.3">
      <c r="A356" s="19" t="s">
        <v>130</v>
      </c>
      <c r="B356" s="19" t="s">
        <v>131</v>
      </c>
      <c r="C356" s="19" t="s">
        <v>28</v>
      </c>
      <c r="D356" s="19" t="s">
        <v>39</v>
      </c>
      <c r="E356" s="19">
        <f>SUMIFS('Stock Inflow'!$G$2:$G$601,'Stock Inflow'!$A$2:$A$601,$A356,'Stock Inflow'!$D$2:$D$601,$D356)</f>
        <v>231</v>
      </c>
      <c r="F356" s="19">
        <f>SUMIFS('Stock Inflow'!$F$2:$F$601,'Stock Inflow'!$A$2:$A$601,$A356,'Stock Inflow'!$D$2:$D$601,$D356)</f>
        <v>23</v>
      </c>
      <c r="G356" s="19">
        <f>SUMIFS('Stock Inflow'!$E$2:$E$601,'Stock Inflow'!$A$2:$A$601,$A356,'Stock Inflow'!$D$2:$D$601,$D356)</f>
        <v>1</v>
      </c>
      <c r="H356" s="19">
        <f>SUMIFS('Stock Outflow'!$F$2:$F$601,'Stock Outflow'!$A$2:$A$601,$A356,'Stock Outflow'!$D$2:$D$601,$D356)</f>
        <v>25</v>
      </c>
      <c r="I356" s="19">
        <f>SUMIFS('Stock Outflow'!$E$2:$E$601,'Stock Outflow'!$A$2:$A$601,$A356,'Stock Outflow'!$D$2:$D$601,$D356)</f>
        <v>0</v>
      </c>
      <c r="J356" s="19">
        <f t="shared" si="30"/>
        <v>230</v>
      </c>
      <c r="K356" s="20">
        <f>INDEX('Item Master'!$F$2:$F$51,MATCH($A356,'Item Master'!$A$2:$A$51,0))</f>
        <v>350</v>
      </c>
      <c r="L356" s="20">
        <f t="shared" si="31"/>
        <v>8750</v>
      </c>
      <c r="M356" s="21">
        <f t="shared" si="32"/>
        <v>0.83333333333333337</v>
      </c>
      <c r="N356" s="19">
        <f>INDEX('Item Master'!$E$2:$E$51,MATCH($A356,'Item Master'!$A$2:$A$51,0))</f>
        <v>5</v>
      </c>
      <c r="O356" s="22">
        <f>INDEX('Product Summary'!$L$2:$L$51,MATCH($A356,'Product Summary'!$A$2:$A$51,0))</f>
        <v>2.6805555555555554</v>
      </c>
      <c r="P356" s="22">
        <f>INDEX('Product Summary'!$M$2:$M$51,MATCH($A356,'Product Summary'!$A$2:$A$51,0))</f>
        <v>7.2695966514459665</v>
      </c>
      <c r="Q356" s="22">
        <f t="shared" si="33"/>
        <v>276</v>
      </c>
      <c r="R356" s="22">
        <f t="shared" si="34"/>
        <v>267.27648401826485</v>
      </c>
      <c r="S356" s="19" t="str">
        <f t="shared" si="35"/>
        <v>OVERSTOCK</v>
      </c>
    </row>
    <row r="357" spans="1:19" x14ac:dyDescent="0.3">
      <c r="A357" s="19" t="s">
        <v>130</v>
      </c>
      <c r="B357" s="19" t="s">
        <v>131</v>
      </c>
      <c r="C357" s="19" t="s">
        <v>28</v>
      </c>
      <c r="D357" s="19" t="s">
        <v>41</v>
      </c>
      <c r="E357" s="19">
        <f>SUMIFS('Stock Inflow'!$G$2:$G$601,'Stock Inflow'!$A$2:$A$601,$A357,'Stock Inflow'!$D$2:$D$601,$D357)</f>
        <v>230</v>
      </c>
      <c r="F357" s="19">
        <f>SUMIFS('Stock Inflow'!$F$2:$F$601,'Stock Inflow'!$A$2:$A$601,$A357,'Stock Inflow'!$D$2:$D$601,$D357)</f>
        <v>30</v>
      </c>
      <c r="G357" s="19">
        <f>SUMIFS('Stock Inflow'!$E$2:$E$601,'Stock Inflow'!$A$2:$A$601,$A357,'Stock Inflow'!$D$2:$D$601,$D357)</f>
        <v>1</v>
      </c>
      <c r="H357" s="19">
        <f>SUMIFS('Stock Outflow'!$F$2:$F$601,'Stock Outflow'!$A$2:$A$601,$A357,'Stock Outflow'!$D$2:$D$601,$D357)</f>
        <v>30</v>
      </c>
      <c r="I357" s="19">
        <f>SUMIFS('Stock Outflow'!$E$2:$E$601,'Stock Outflow'!$A$2:$A$601,$A357,'Stock Outflow'!$D$2:$D$601,$D357)</f>
        <v>1</v>
      </c>
      <c r="J357" s="19">
        <f t="shared" si="30"/>
        <v>230</v>
      </c>
      <c r="K357" s="20">
        <f>INDEX('Item Master'!$F$2:$F$51,MATCH($A357,'Item Master'!$A$2:$A$51,0))</f>
        <v>350</v>
      </c>
      <c r="L357" s="20">
        <f t="shared" si="31"/>
        <v>10500</v>
      </c>
      <c r="M357" s="21">
        <f t="shared" si="32"/>
        <v>1</v>
      </c>
      <c r="N357" s="19">
        <f>INDEX('Item Master'!$E$2:$E$51,MATCH($A357,'Item Master'!$A$2:$A$51,0))</f>
        <v>5</v>
      </c>
      <c r="O357" s="22">
        <f>INDEX('Product Summary'!$L$2:$L$51,MATCH($A357,'Product Summary'!$A$2:$A$51,0))</f>
        <v>2.6805555555555554</v>
      </c>
      <c r="P357" s="22">
        <f>INDEX('Product Summary'!$M$2:$M$51,MATCH($A357,'Product Summary'!$A$2:$A$51,0))</f>
        <v>7.2695966514459665</v>
      </c>
      <c r="Q357" s="22">
        <f t="shared" si="33"/>
        <v>230</v>
      </c>
      <c r="R357" s="22">
        <f t="shared" si="34"/>
        <v>222.73040334855403</v>
      </c>
      <c r="S357" s="19" t="str">
        <f t="shared" si="35"/>
        <v>OVERSTOCK</v>
      </c>
    </row>
    <row r="358" spans="1:19" x14ac:dyDescent="0.3">
      <c r="A358" s="19" t="s">
        <v>130</v>
      </c>
      <c r="B358" s="19" t="s">
        <v>131</v>
      </c>
      <c r="C358" s="19" t="s">
        <v>28</v>
      </c>
      <c r="D358" s="19" t="s">
        <v>43</v>
      </c>
      <c r="E358" s="19">
        <f>SUMIFS('Stock Inflow'!$G$2:$G$601,'Stock Inflow'!$A$2:$A$601,$A358,'Stock Inflow'!$D$2:$D$601,$D358)</f>
        <v>230</v>
      </c>
      <c r="F358" s="19">
        <f>SUMIFS('Stock Inflow'!$F$2:$F$601,'Stock Inflow'!$A$2:$A$601,$A358,'Stock Inflow'!$D$2:$D$601,$D358)</f>
        <v>27</v>
      </c>
      <c r="G358" s="19">
        <f>SUMIFS('Stock Inflow'!$E$2:$E$601,'Stock Inflow'!$A$2:$A$601,$A358,'Stock Inflow'!$D$2:$D$601,$D358)</f>
        <v>0</v>
      </c>
      <c r="H358" s="19">
        <f>SUMIFS('Stock Outflow'!$F$2:$F$601,'Stock Outflow'!$A$2:$A$601,$A358,'Stock Outflow'!$D$2:$D$601,$D358)</f>
        <v>23</v>
      </c>
      <c r="I358" s="19">
        <f>SUMIFS('Stock Outflow'!$E$2:$E$601,'Stock Outflow'!$A$2:$A$601,$A358,'Stock Outflow'!$D$2:$D$601,$D358)</f>
        <v>1</v>
      </c>
      <c r="J358" s="19">
        <f t="shared" si="30"/>
        <v>233</v>
      </c>
      <c r="K358" s="20">
        <f>INDEX('Item Master'!$F$2:$F$51,MATCH($A358,'Item Master'!$A$2:$A$51,0))</f>
        <v>350</v>
      </c>
      <c r="L358" s="20">
        <f t="shared" si="31"/>
        <v>8050</v>
      </c>
      <c r="M358" s="21">
        <f t="shared" si="32"/>
        <v>0.76666666666666672</v>
      </c>
      <c r="N358" s="19">
        <f>INDEX('Item Master'!$E$2:$E$51,MATCH($A358,'Item Master'!$A$2:$A$51,0))</f>
        <v>5</v>
      </c>
      <c r="O358" s="22">
        <f>INDEX('Product Summary'!$L$2:$L$51,MATCH($A358,'Product Summary'!$A$2:$A$51,0))</f>
        <v>2.6805555555555554</v>
      </c>
      <c r="P358" s="22">
        <f>INDEX('Product Summary'!$M$2:$M$51,MATCH($A358,'Product Summary'!$A$2:$A$51,0))</f>
        <v>7.2695966514459665</v>
      </c>
      <c r="Q358" s="22">
        <f t="shared" si="33"/>
        <v>303.91304347826087</v>
      </c>
      <c r="R358" s="22">
        <f t="shared" si="34"/>
        <v>294.43096088941826</v>
      </c>
      <c r="S358" s="19" t="str">
        <f t="shared" si="35"/>
        <v>OVERSTOCK</v>
      </c>
    </row>
    <row r="359" spans="1:19" x14ac:dyDescent="0.3">
      <c r="A359" s="19" t="s">
        <v>130</v>
      </c>
      <c r="B359" s="19" t="s">
        <v>131</v>
      </c>
      <c r="C359" s="19" t="s">
        <v>28</v>
      </c>
      <c r="D359" s="19" t="s">
        <v>45</v>
      </c>
      <c r="E359" s="19">
        <f>SUMIFS('Stock Inflow'!$G$2:$G$601,'Stock Inflow'!$A$2:$A$601,$A359,'Stock Inflow'!$D$2:$D$601,$D359)</f>
        <v>233</v>
      </c>
      <c r="F359" s="19">
        <f>SUMIFS('Stock Inflow'!$F$2:$F$601,'Stock Inflow'!$A$2:$A$601,$A359,'Stock Inflow'!$D$2:$D$601,$D359)</f>
        <v>56</v>
      </c>
      <c r="G359" s="19">
        <f>SUMIFS('Stock Inflow'!$E$2:$E$601,'Stock Inflow'!$A$2:$A$601,$A359,'Stock Inflow'!$D$2:$D$601,$D359)</f>
        <v>1</v>
      </c>
      <c r="H359" s="19">
        <f>SUMIFS('Stock Outflow'!$F$2:$F$601,'Stock Outflow'!$A$2:$A$601,$A359,'Stock Outflow'!$D$2:$D$601,$D359)</f>
        <v>44</v>
      </c>
      <c r="I359" s="19">
        <f>SUMIFS('Stock Outflow'!$E$2:$E$601,'Stock Outflow'!$A$2:$A$601,$A359,'Stock Outflow'!$D$2:$D$601,$D359)</f>
        <v>1</v>
      </c>
      <c r="J359" s="19">
        <f t="shared" si="30"/>
        <v>245</v>
      </c>
      <c r="K359" s="20">
        <f>INDEX('Item Master'!$F$2:$F$51,MATCH($A359,'Item Master'!$A$2:$A$51,0))</f>
        <v>350</v>
      </c>
      <c r="L359" s="20">
        <f t="shared" si="31"/>
        <v>15400</v>
      </c>
      <c r="M359" s="21">
        <f t="shared" si="32"/>
        <v>1.4666666666666666</v>
      </c>
      <c r="N359" s="19">
        <f>INDEX('Item Master'!$E$2:$E$51,MATCH($A359,'Item Master'!$A$2:$A$51,0))</f>
        <v>5</v>
      </c>
      <c r="O359" s="22">
        <f>INDEX('Product Summary'!$L$2:$L$51,MATCH($A359,'Product Summary'!$A$2:$A$51,0))</f>
        <v>2.6805555555555554</v>
      </c>
      <c r="P359" s="22">
        <f>INDEX('Product Summary'!$M$2:$M$51,MATCH($A359,'Product Summary'!$A$2:$A$51,0))</f>
        <v>7.2695966514459665</v>
      </c>
      <c r="Q359" s="22">
        <f t="shared" si="33"/>
        <v>167.04545454545456</v>
      </c>
      <c r="R359" s="22">
        <f t="shared" si="34"/>
        <v>162.08891137401412</v>
      </c>
      <c r="S359" s="19" t="str">
        <f t="shared" si="35"/>
        <v>OVERSTOCK</v>
      </c>
    </row>
    <row r="360" spans="1:19" x14ac:dyDescent="0.3">
      <c r="A360" s="19" t="s">
        <v>130</v>
      </c>
      <c r="B360" s="19" t="s">
        <v>131</v>
      </c>
      <c r="C360" s="19" t="s">
        <v>28</v>
      </c>
      <c r="D360" s="19" t="s">
        <v>47</v>
      </c>
      <c r="E360" s="19">
        <f>SUMIFS('Stock Inflow'!$G$2:$G$601,'Stock Inflow'!$A$2:$A$601,$A360,'Stock Inflow'!$D$2:$D$601,$D360)</f>
        <v>245</v>
      </c>
      <c r="F360" s="19">
        <f>SUMIFS('Stock Inflow'!$F$2:$F$601,'Stock Inflow'!$A$2:$A$601,$A360,'Stock Inflow'!$D$2:$D$601,$D360)</f>
        <v>29</v>
      </c>
      <c r="G360" s="19">
        <f>SUMIFS('Stock Inflow'!$E$2:$E$601,'Stock Inflow'!$A$2:$A$601,$A360,'Stock Inflow'!$D$2:$D$601,$D360)</f>
        <v>0</v>
      </c>
      <c r="H360" s="19">
        <f>SUMIFS('Stock Outflow'!$F$2:$F$601,'Stock Outflow'!$A$2:$A$601,$A360,'Stock Outflow'!$D$2:$D$601,$D360)</f>
        <v>32</v>
      </c>
      <c r="I360" s="19">
        <f>SUMIFS('Stock Outflow'!$E$2:$E$601,'Stock Outflow'!$A$2:$A$601,$A360,'Stock Outflow'!$D$2:$D$601,$D360)</f>
        <v>1</v>
      </c>
      <c r="J360" s="19">
        <f t="shared" si="30"/>
        <v>241</v>
      </c>
      <c r="K360" s="20">
        <f>INDEX('Item Master'!$F$2:$F$51,MATCH($A360,'Item Master'!$A$2:$A$51,0))</f>
        <v>350</v>
      </c>
      <c r="L360" s="20">
        <f t="shared" si="31"/>
        <v>11200</v>
      </c>
      <c r="M360" s="21">
        <f t="shared" si="32"/>
        <v>1.0666666666666667</v>
      </c>
      <c r="N360" s="19">
        <f>INDEX('Item Master'!$E$2:$E$51,MATCH($A360,'Item Master'!$A$2:$A$51,0))</f>
        <v>5</v>
      </c>
      <c r="O360" s="22">
        <f>INDEX('Product Summary'!$L$2:$L$51,MATCH($A360,'Product Summary'!$A$2:$A$51,0))</f>
        <v>2.6805555555555554</v>
      </c>
      <c r="P360" s="22">
        <f>INDEX('Product Summary'!$M$2:$M$51,MATCH($A360,'Product Summary'!$A$2:$A$51,0))</f>
        <v>7.2695966514459665</v>
      </c>
      <c r="Q360" s="22">
        <f t="shared" si="33"/>
        <v>225.9375</v>
      </c>
      <c r="R360" s="22">
        <f t="shared" si="34"/>
        <v>219.12225313926942</v>
      </c>
      <c r="S360" s="19" t="str">
        <f t="shared" si="35"/>
        <v>OVERSTOCK</v>
      </c>
    </row>
    <row r="361" spans="1:19" x14ac:dyDescent="0.3">
      <c r="A361" s="19" t="s">
        <v>130</v>
      </c>
      <c r="B361" s="19" t="s">
        <v>131</v>
      </c>
      <c r="C361" s="19" t="s">
        <v>28</v>
      </c>
      <c r="D361" s="19" t="s">
        <v>49</v>
      </c>
      <c r="E361" s="19">
        <f>SUMIFS('Stock Inflow'!$G$2:$G$601,'Stock Inflow'!$A$2:$A$601,$A361,'Stock Inflow'!$D$2:$D$601,$D361)</f>
        <v>241</v>
      </c>
      <c r="F361" s="19">
        <f>SUMIFS('Stock Inflow'!$F$2:$F$601,'Stock Inflow'!$A$2:$A$601,$A361,'Stock Inflow'!$D$2:$D$601,$D361)</f>
        <v>26</v>
      </c>
      <c r="G361" s="19">
        <f>SUMIFS('Stock Inflow'!$E$2:$E$601,'Stock Inflow'!$A$2:$A$601,$A361,'Stock Inflow'!$D$2:$D$601,$D361)</f>
        <v>1</v>
      </c>
      <c r="H361" s="19">
        <f>SUMIFS('Stock Outflow'!$F$2:$F$601,'Stock Outflow'!$A$2:$A$601,$A361,'Stock Outflow'!$D$2:$D$601,$D361)</f>
        <v>25</v>
      </c>
      <c r="I361" s="19">
        <f>SUMIFS('Stock Outflow'!$E$2:$E$601,'Stock Outflow'!$A$2:$A$601,$A361,'Stock Outflow'!$D$2:$D$601,$D361)</f>
        <v>0</v>
      </c>
      <c r="J361" s="19">
        <f t="shared" si="30"/>
        <v>243</v>
      </c>
      <c r="K361" s="20">
        <f>INDEX('Item Master'!$F$2:$F$51,MATCH($A361,'Item Master'!$A$2:$A$51,0))</f>
        <v>350</v>
      </c>
      <c r="L361" s="20">
        <f t="shared" si="31"/>
        <v>8750</v>
      </c>
      <c r="M361" s="21">
        <f t="shared" si="32"/>
        <v>0.83333333333333337</v>
      </c>
      <c r="N361" s="19">
        <f>INDEX('Item Master'!$E$2:$E$51,MATCH($A361,'Item Master'!$A$2:$A$51,0))</f>
        <v>5</v>
      </c>
      <c r="O361" s="22">
        <f>INDEX('Product Summary'!$L$2:$L$51,MATCH($A361,'Product Summary'!$A$2:$A$51,0))</f>
        <v>2.6805555555555554</v>
      </c>
      <c r="P361" s="22">
        <f>INDEX('Product Summary'!$M$2:$M$51,MATCH($A361,'Product Summary'!$A$2:$A$51,0))</f>
        <v>7.2695966514459665</v>
      </c>
      <c r="Q361" s="22">
        <f t="shared" si="33"/>
        <v>291.59999999999997</v>
      </c>
      <c r="R361" s="22">
        <f t="shared" si="34"/>
        <v>282.87648401826482</v>
      </c>
      <c r="S361" s="19" t="str">
        <f t="shared" si="35"/>
        <v>OVERSTOCK</v>
      </c>
    </row>
    <row r="362" spans="1:19" x14ac:dyDescent="0.3">
      <c r="A362" s="19" t="s">
        <v>132</v>
      </c>
      <c r="B362" s="19" t="s">
        <v>133</v>
      </c>
      <c r="C362" s="19" t="s">
        <v>40</v>
      </c>
      <c r="D362" s="19" t="s">
        <v>27</v>
      </c>
      <c r="E362" s="19">
        <f>SUMIFS('Stock Inflow'!$G$2:$G$601,'Stock Inflow'!$A$2:$A$601,$A362,'Stock Inflow'!$D$2:$D$601,$D362)</f>
        <v>270</v>
      </c>
      <c r="F362" s="19">
        <f>SUMIFS('Stock Inflow'!$F$2:$F$601,'Stock Inflow'!$A$2:$A$601,$A362,'Stock Inflow'!$D$2:$D$601,$D362)</f>
        <v>26</v>
      </c>
      <c r="G362" s="19">
        <f>SUMIFS('Stock Inflow'!$E$2:$E$601,'Stock Inflow'!$A$2:$A$601,$A362,'Stock Inflow'!$D$2:$D$601,$D362)</f>
        <v>0</v>
      </c>
      <c r="H362" s="19">
        <f>SUMIFS('Stock Outflow'!$F$2:$F$601,'Stock Outflow'!$A$2:$A$601,$A362,'Stock Outflow'!$D$2:$D$601,$D362)</f>
        <v>28</v>
      </c>
      <c r="I362" s="19">
        <f>SUMIFS('Stock Outflow'!$E$2:$E$601,'Stock Outflow'!$A$2:$A$601,$A362,'Stock Outflow'!$D$2:$D$601,$D362)</f>
        <v>0</v>
      </c>
      <c r="J362" s="19">
        <f t="shared" si="30"/>
        <v>268</v>
      </c>
      <c r="K362" s="20">
        <f>INDEX('Item Master'!$F$2:$F$51,MATCH($A362,'Item Master'!$A$2:$A$51,0))</f>
        <v>900</v>
      </c>
      <c r="L362" s="20">
        <f t="shared" si="31"/>
        <v>25200</v>
      </c>
      <c r="M362" s="21">
        <f t="shared" si="32"/>
        <v>0.93333333333333335</v>
      </c>
      <c r="N362" s="19">
        <f>INDEX('Item Master'!$E$2:$E$51,MATCH($A362,'Item Master'!$A$2:$A$51,0))</f>
        <v>10</v>
      </c>
      <c r="O362" s="22">
        <f>INDEX('Product Summary'!$L$2:$L$51,MATCH($A362,'Product Summary'!$A$2:$A$51,0))</f>
        <v>4.6111111111111107</v>
      </c>
      <c r="P362" s="22">
        <f>INDEX('Product Summary'!$M$2:$M$51,MATCH($A362,'Product Summary'!$A$2:$A$51,0))</f>
        <v>14.200152207001521</v>
      </c>
      <c r="Q362" s="22">
        <f t="shared" si="33"/>
        <v>287.14285714285711</v>
      </c>
      <c r="R362" s="22">
        <f t="shared" si="34"/>
        <v>271.92840834964124</v>
      </c>
      <c r="S362" s="19" t="str">
        <f t="shared" si="35"/>
        <v>OVERSTOCK</v>
      </c>
    </row>
    <row r="363" spans="1:19" x14ac:dyDescent="0.3">
      <c r="A363" s="19" t="s">
        <v>132</v>
      </c>
      <c r="B363" s="19" t="s">
        <v>133</v>
      </c>
      <c r="C363" s="19" t="s">
        <v>40</v>
      </c>
      <c r="D363" s="19" t="s">
        <v>29</v>
      </c>
      <c r="E363" s="19">
        <f>SUMIFS('Stock Inflow'!$G$2:$G$601,'Stock Inflow'!$A$2:$A$601,$A363,'Stock Inflow'!$D$2:$D$601,$D363)</f>
        <v>268</v>
      </c>
      <c r="F363" s="19">
        <f>SUMIFS('Stock Inflow'!$F$2:$F$601,'Stock Inflow'!$A$2:$A$601,$A363,'Stock Inflow'!$D$2:$D$601,$D363)</f>
        <v>26</v>
      </c>
      <c r="G363" s="19">
        <f>SUMIFS('Stock Inflow'!$E$2:$E$601,'Stock Inflow'!$A$2:$A$601,$A363,'Stock Inflow'!$D$2:$D$601,$D363)</f>
        <v>1</v>
      </c>
      <c r="H363" s="19">
        <f>SUMIFS('Stock Outflow'!$F$2:$F$601,'Stock Outflow'!$A$2:$A$601,$A363,'Stock Outflow'!$D$2:$D$601,$D363)</f>
        <v>26</v>
      </c>
      <c r="I363" s="19">
        <f>SUMIFS('Stock Outflow'!$E$2:$E$601,'Stock Outflow'!$A$2:$A$601,$A363,'Stock Outflow'!$D$2:$D$601,$D363)</f>
        <v>0</v>
      </c>
      <c r="J363" s="19">
        <f t="shared" si="30"/>
        <v>269</v>
      </c>
      <c r="K363" s="20">
        <f>INDEX('Item Master'!$F$2:$F$51,MATCH($A363,'Item Master'!$A$2:$A$51,0))</f>
        <v>900</v>
      </c>
      <c r="L363" s="20">
        <f t="shared" si="31"/>
        <v>23400</v>
      </c>
      <c r="M363" s="21">
        <f t="shared" si="32"/>
        <v>0.8666666666666667</v>
      </c>
      <c r="N363" s="19">
        <f>INDEX('Item Master'!$E$2:$E$51,MATCH($A363,'Item Master'!$A$2:$A$51,0))</f>
        <v>10</v>
      </c>
      <c r="O363" s="22">
        <f>INDEX('Product Summary'!$L$2:$L$51,MATCH($A363,'Product Summary'!$A$2:$A$51,0))</f>
        <v>4.6111111111111107</v>
      </c>
      <c r="P363" s="22">
        <f>INDEX('Product Summary'!$M$2:$M$51,MATCH($A363,'Product Summary'!$A$2:$A$51,0))</f>
        <v>14.200152207001521</v>
      </c>
      <c r="Q363" s="22">
        <f t="shared" si="33"/>
        <v>310.38461538461536</v>
      </c>
      <c r="R363" s="22">
        <f t="shared" si="34"/>
        <v>293.99982437653671</v>
      </c>
      <c r="S363" s="19" t="str">
        <f t="shared" si="35"/>
        <v>OVERSTOCK</v>
      </c>
    </row>
    <row r="364" spans="1:19" x14ac:dyDescent="0.3">
      <c r="A364" s="19" t="s">
        <v>132</v>
      </c>
      <c r="B364" s="19" t="s">
        <v>133</v>
      </c>
      <c r="C364" s="19" t="s">
        <v>40</v>
      </c>
      <c r="D364" s="19" t="s">
        <v>31</v>
      </c>
      <c r="E364" s="19">
        <f>SUMIFS('Stock Inflow'!$G$2:$G$601,'Stock Inflow'!$A$2:$A$601,$A364,'Stock Inflow'!$D$2:$D$601,$D364)</f>
        <v>269</v>
      </c>
      <c r="F364" s="19">
        <f>SUMIFS('Stock Inflow'!$F$2:$F$601,'Stock Inflow'!$A$2:$A$601,$A364,'Stock Inflow'!$D$2:$D$601,$D364)</f>
        <v>28</v>
      </c>
      <c r="G364" s="19">
        <f>SUMIFS('Stock Inflow'!$E$2:$E$601,'Stock Inflow'!$A$2:$A$601,$A364,'Stock Inflow'!$D$2:$D$601,$D364)</f>
        <v>1</v>
      </c>
      <c r="H364" s="19">
        <f>SUMIFS('Stock Outflow'!$F$2:$F$601,'Stock Outflow'!$A$2:$A$601,$A364,'Stock Outflow'!$D$2:$D$601,$D364)</f>
        <v>25</v>
      </c>
      <c r="I364" s="19">
        <f>SUMIFS('Stock Outflow'!$E$2:$E$601,'Stock Outflow'!$A$2:$A$601,$A364,'Stock Outflow'!$D$2:$D$601,$D364)</f>
        <v>0</v>
      </c>
      <c r="J364" s="19">
        <f t="shared" si="30"/>
        <v>273</v>
      </c>
      <c r="K364" s="20">
        <f>INDEX('Item Master'!$F$2:$F$51,MATCH($A364,'Item Master'!$A$2:$A$51,0))</f>
        <v>900</v>
      </c>
      <c r="L364" s="20">
        <f t="shared" si="31"/>
        <v>22500</v>
      </c>
      <c r="M364" s="21">
        <f t="shared" si="32"/>
        <v>0.83333333333333337</v>
      </c>
      <c r="N364" s="19">
        <f>INDEX('Item Master'!$E$2:$E$51,MATCH($A364,'Item Master'!$A$2:$A$51,0))</f>
        <v>10</v>
      </c>
      <c r="O364" s="22">
        <f>INDEX('Product Summary'!$L$2:$L$51,MATCH($A364,'Product Summary'!$A$2:$A$51,0))</f>
        <v>4.6111111111111107</v>
      </c>
      <c r="P364" s="22">
        <f>INDEX('Product Summary'!$M$2:$M$51,MATCH($A364,'Product Summary'!$A$2:$A$51,0))</f>
        <v>14.200152207001521</v>
      </c>
      <c r="Q364" s="22">
        <f t="shared" si="33"/>
        <v>327.59999999999997</v>
      </c>
      <c r="R364" s="22">
        <f t="shared" si="34"/>
        <v>310.55981735159816</v>
      </c>
      <c r="S364" s="19" t="str">
        <f t="shared" si="35"/>
        <v>OVERSTOCK</v>
      </c>
    </row>
    <row r="365" spans="1:19" x14ac:dyDescent="0.3">
      <c r="A365" s="19" t="s">
        <v>132</v>
      </c>
      <c r="B365" s="19" t="s">
        <v>133</v>
      </c>
      <c r="C365" s="19" t="s">
        <v>40</v>
      </c>
      <c r="D365" s="19" t="s">
        <v>33</v>
      </c>
      <c r="E365" s="19">
        <f>SUMIFS('Stock Inflow'!$G$2:$G$601,'Stock Inflow'!$A$2:$A$601,$A365,'Stock Inflow'!$D$2:$D$601,$D365)</f>
        <v>273</v>
      </c>
      <c r="F365" s="19">
        <f>SUMIFS('Stock Inflow'!$F$2:$F$601,'Stock Inflow'!$A$2:$A$601,$A365,'Stock Inflow'!$D$2:$D$601,$D365)</f>
        <v>35</v>
      </c>
      <c r="G365" s="19">
        <f>SUMIFS('Stock Inflow'!$E$2:$E$601,'Stock Inflow'!$A$2:$A$601,$A365,'Stock Inflow'!$D$2:$D$601,$D365)</f>
        <v>0</v>
      </c>
      <c r="H365" s="19">
        <f>SUMIFS('Stock Outflow'!$F$2:$F$601,'Stock Outflow'!$A$2:$A$601,$A365,'Stock Outflow'!$D$2:$D$601,$D365)</f>
        <v>30</v>
      </c>
      <c r="I365" s="19">
        <f>SUMIFS('Stock Outflow'!$E$2:$E$601,'Stock Outflow'!$A$2:$A$601,$A365,'Stock Outflow'!$D$2:$D$601,$D365)</f>
        <v>1</v>
      </c>
      <c r="J365" s="19">
        <f t="shared" si="30"/>
        <v>277</v>
      </c>
      <c r="K365" s="20">
        <f>INDEX('Item Master'!$F$2:$F$51,MATCH($A365,'Item Master'!$A$2:$A$51,0))</f>
        <v>900</v>
      </c>
      <c r="L365" s="20">
        <f t="shared" si="31"/>
        <v>27000</v>
      </c>
      <c r="M365" s="21">
        <f t="shared" si="32"/>
        <v>1</v>
      </c>
      <c r="N365" s="19">
        <f>INDEX('Item Master'!$E$2:$E$51,MATCH($A365,'Item Master'!$A$2:$A$51,0))</f>
        <v>10</v>
      </c>
      <c r="O365" s="22">
        <f>INDEX('Product Summary'!$L$2:$L$51,MATCH($A365,'Product Summary'!$A$2:$A$51,0))</f>
        <v>4.6111111111111107</v>
      </c>
      <c r="P365" s="22">
        <f>INDEX('Product Summary'!$M$2:$M$51,MATCH($A365,'Product Summary'!$A$2:$A$51,0))</f>
        <v>14.200152207001521</v>
      </c>
      <c r="Q365" s="22">
        <f t="shared" si="33"/>
        <v>277</v>
      </c>
      <c r="R365" s="22">
        <f t="shared" si="34"/>
        <v>262.79984779299849</v>
      </c>
      <c r="S365" s="19" t="str">
        <f t="shared" si="35"/>
        <v>OVERSTOCK</v>
      </c>
    </row>
    <row r="366" spans="1:19" x14ac:dyDescent="0.3">
      <c r="A366" s="19" t="s">
        <v>132</v>
      </c>
      <c r="B366" s="19" t="s">
        <v>133</v>
      </c>
      <c r="C366" s="19" t="s">
        <v>40</v>
      </c>
      <c r="D366" s="19" t="s">
        <v>35</v>
      </c>
      <c r="E366" s="19">
        <f>SUMIFS('Stock Inflow'!$G$2:$G$601,'Stock Inflow'!$A$2:$A$601,$A366,'Stock Inflow'!$D$2:$D$601,$D366)</f>
        <v>277</v>
      </c>
      <c r="F366" s="19">
        <f>SUMIFS('Stock Inflow'!$F$2:$F$601,'Stock Inflow'!$A$2:$A$601,$A366,'Stock Inflow'!$D$2:$D$601,$D366)</f>
        <v>39</v>
      </c>
      <c r="G366" s="19">
        <f>SUMIFS('Stock Inflow'!$E$2:$E$601,'Stock Inflow'!$A$2:$A$601,$A366,'Stock Inflow'!$D$2:$D$601,$D366)</f>
        <v>0</v>
      </c>
      <c r="H366" s="19">
        <f>SUMIFS('Stock Outflow'!$F$2:$F$601,'Stock Outflow'!$A$2:$A$601,$A366,'Stock Outflow'!$D$2:$D$601,$D366)</f>
        <v>30</v>
      </c>
      <c r="I366" s="19">
        <f>SUMIFS('Stock Outflow'!$E$2:$E$601,'Stock Outflow'!$A$2:$A$601,$A366,'Stock Outflow'!$D$2:$D$601,$D366)</f>
        <v>0</v>
      </c>
      <c r="J366" s="19">
        <f t="shared" si="30"/>
        <v>286</v>
      </c>
      <c r="K366" s="20">
        <f>INDEX('Item Master'!$F$2:$F$51,MATCH($A366,'Item Master'!$A$2:$A$51,0))</f>
        <v>900</v>
      </c>
      <c r="L366" s="20">
        <f t="shared" si="31"/>
        <v>27000</v>
      </c>
      <c r="M366" s="21">
        <f t="shared" si="32"/>
        <v>1</v>
      </c>
      <c r="N366" s="19">
        <f>INDEX('Item Master'!$E$2:$E$51,MATCH($A366,'Item Master'!$A$2:$A$51,0))</f>
        <v>10</v>
      </c>
      <c r="O366" s="22">
        <f>INDEX('Product Summary'!$L$2:$L$51,MATCH($A366,'Product Summary'!$A$2:$A$51,0))</f>
        <v>4.6111111111111107</v>
      </c>
      <c r="P366" s="22">
        <f>INDEX('Product Summary'!$M$2:$M$51,MATCH($A366,'Product Summary'!$A$2:$A$51,0))</f>
        <v>14.200152207001521</v>
      </c>
      <c r="Q366" s="22">
        <f t="shared" si="33"/>
        <v>286</v>
      </c>
      <c r="R366" s="22">
        <f t="shared" si="34"/>
        <v>271.79984779299849</v>
      </c>
      <c r="S366" s="19" t="str">
        <f t="shared" si="35"/>
        <v>OVERSTOCK</v>
      </c>
    </row>
    <row r="367" spans="1:19" x14ac:dyDescent="0.3">
      <c r="A367" s="19" t="s">
        <v>132</v>
      </c>
      <c r="B367" s="19" t="s">
        <v>133</v>
      </c>
      <c r="C367" s="19" t="s">
        <v>40</v>
      </c>
      <c r="D367" s="19" t="s">
        <v>37</v>
      </c>
      <c r="E367" s="19">
        <f>SUMIFS('Stock Inflow'!$G$2:$G$601,'Stock Inflow'!$A$2:$A$601,$A367,'Stock Inflow'!$D$2:$D$601,$D367)</f>
        <v>286</v>
      </c>
      <c r="F367" s="19">
        <f>SUMIFS('Stock Inflow'!$F$2:$F$601,'Stock Inflow'!$A$2:$A$601,$A367,'Stock Inflow'!$D$2:$D$601,$D367)</f>
        <v>23</v>
      </c>
      <c r="G367" s="19">
        <f>SUMIFS('Stock Inflow'!$E$2:$E$601,'Stock Inflow'!$A$2:$A$601,$A367,'Stock Inflow'!$D$2:$D$601,$D367)</f>
        <v>1</v>
      </c>
      <c r="H367" s="19">
        <f>SUMIFS('Stock Outflow'!$F$2:$F$601,'Stock Outflow'!$A$2:$A$601,$A367,'Stock Outflow'!$D$2:$D$601,$D367)</f>
        <v>24</v>
      </c>
      <c r="I367" s="19">
        <f>SUMIFS('Stock Outflow'!$E$2:$E$601,'Stock Outflow'!$A$2:$A$601,$A367,'Stock Outflow'!$D$2:$D$601,$D367)</f>
        <v>1</v>
      </c>
      <c r="J367" s="19">
        <f t="shared" si="30"/>
        <v>285</v>
      </c>
      <c r="K367" s="20">
        <f>INDEX('Item Master'!$F$2:$F$51,MATCH($A367,'Item Master'!$A$2:$A$51,0))</f>
        <v>900</v>
      </c>
      <c r="L367" s="20">
        <f t="shared" si="31"/>
        <v>21600</v>
      </c>
      <c r="M367" s="21">
        <f t="shared" si="32"/>
        <v>0.8</v>
      </c>
      <c r="N367" s="19">
        <f>INDEX('Item Master'!$E$2:$E$51,MATCH($A367,'Item Master'!$A$2:$A$51,0))</f>
        <v>10</v>
      </c>
      <c r="O367" s="22">
        <f>INDEX('Product Summary'!$L$2:$L$51,MATCH($A367,'Product Summary'!$A$2:$A$51,0))</f>
        <v>4.6111111111111107</v>
      </c>
      <c r="P367" s="22">
        <f>INDEX('Product Summary'!$M$2:$M$51,MATCH($A367,'Product Summary'!$A$2:$A$51,0))</f>
        <v>14.200152207001521</v>
      </c>
      <c r="Q367" s="22">
        <f t="shared" si="33"/>
        <v>356.25</v>
      </c>
      <c r="R367" s="22">
        <f t="shared" si="34"/>
        <v>338.4998097412481</v>
      </c>
      <c r="S367" s="19" t="str">
        <f t="shared" si="35"/>
        <v>OVERSTOCK</v>
      </c>
    </row>
    <row r="368" spans="1:19" x14ac:dyDescent="0.3">
      <c r="A368" s="19" t="s">
        <v>132</v>
      </c>
      <c r="B368" s="19" t="s">
        <v>133</v>
      </c>
      <c r="C368" s="19" t="s">
        <v>40</v>
      </c>
      <c r="D368" s="19" t="s">
        <v>39</v>
      </c>
      <c r="E368" s="19">
        <f>SUMIFS('Stock Inflow'!$G$2:$G$601,'Stock Inflow'!$A$2:$A$601,$A368,'Stock Inflow'!$D$2:$D$601,$D368)</f>
        <v>285</v>
      </c>
      <c r="F368" s="19">
        <f>SUMIFS('Stock Inflow'!$F$2:$F$601,'Stock Inflow'!$A$2:$A$601,$A368,'Stock Inflow'!$D$2:$D$601,$D368)</f>
        <v>40</v>
      </c>
      <c r="G368" s="19">
        <f>SUMIFS('Stock Inflow'!$E$2:$E$601,'Stock Inflow'!$A$2:$A$601,$A368,'Stock Inflow'!$D$2:$D$601,$D368)</f>
        <v>1</v>
      </c>
      <c r="H368" s="19">
        <f>SUMIFS('Stock Outflow'!$F$2:$F$601,'Stock Outflow'!$A$2:$A$601,$A368,'Stock Outflow'!$D$2:$D$601,$D368)</f>
        <v>31</v>
      </c>
      <c r="I368" s="19">
        <f>SUMIFS('Stock Outflow'!$E$2:$E$601,'Stock Outflow'!$A$2:$A$601,$A368,'Stock Outflow'!$D$2:$D$601,$D368)</f>
        <v>1</v>
      </c>
      <c r="J368" s="19">
        <f t="shared" si="30"/>
        <v>294</v>
      </c>
      <c r="K368" s="20">
        <f>INDEX('Item Master'!$F$2:$F$51,MATCH($A368,'Item Master'!$A$2:$A$51,0))</f>
        <v>900</v>
      </c>
      <c r="L368" s="20">
        <f t="shared" si="31"/>
        <v>27900</v>
      </c>
      <c r="M368" s="21">
        <f t="shared" si="32"/>
        <v>1.0333333333333334</v>
      </c>
      <c r="N368" s="19">
        <f>INDEX('Item Master'!$E$2:$E$51,MATCH($A368,'Item Master'!$A$2:$A$51,0))</f>
        <v>10</v>
      </c>
      <c r="O368" s="22">
        <f>INDEX('Product Summary'!$L$2:$L$51,MATCH($A368,'Product Summary'!$A$2:$A$51,0))</f>
        <v>4.6111111111111107</v>
      </c>
      <c r="P368" s="22">
        <f>INDEX('Product Summary'!$M$2:$M$51,MATCH($A368,'Product Summary'!$A$2:$A$51,0))</f>
        <v>14.200152207001521</v>
      </c>
      <c r="Q368" s="22">
        <f t="shared" si="33"/>
        <v>284.51612903225805</v>
      </c>
      <c r="R368" s="22">
        <f t="shared" si="34"/>
        <v>270.77404625128884</v>
      </c>
      <c r="S368" s="19" t="str">
        <f t="shared" si="35"/>
        <v>OVERSTOCK</v>
      </c>
    </row>
    <row r="369" spans="1:19" x14ac:dyDescent="0.3">
      <c r="A369" s="19" t="s">
        <v>132</v>
      </c>
      <c r="B369" s="19" t="s">
        <v>133</v>
      </c>
      <c r="C369" s="19" t="s">
        <v>40</v>
      </c>
      <c r="D369" s="19" t="s">
        <v>41</v>
      </c>
      <c r="E369" s="19">
        <f>SUMIFS('Stock Inflow'!$G$2:$G$601,'Stock Inflow'!$A$2:$A$601,$A369,'Stock Inflow'!$D$2:$D$601,$D369)</f>
        <v>294</v>
      </c>
      <c r="F369" s="19">
        <f>SUMIFS('Stock Inflow'!$F$2:$F$601,'Stock Inflow'!$A$2:$A$601,$A369,'Stock Inflow'!$D$2:$D$601,$D369)</f>
        <v>34</v>
      </c>
      <c r="G369" s="19">
        <f>SUMIFS('Stock Inflow'!$E$2:$E$601,'Stock Inflow'!$A$2:$A$601,$A369,'Stock Inflow'!$D$2:$D$601,$D369)</f>
        <v>1</v>
      </c>
      <c r="H369" s="19">
        <f>SUMIFS('Stock Outflow'!$F$2:$F$601,'Stock Outflow'!$A$2:$A$601,$A369,'Stock Outflow'!$D$2:$D$601,$D369)</f>
        <v>30</v>
      </c>
      <c r="I369" s="19">
        <f>SUMIFS('Stock Outflow'!$E$2:$E$601,'Stock Outflow'!$A$2:$A$601,$A369,'Stock Outflow'!$D$2:$D$601,$D369)</f>
        <v>0</v>
      </c>
      <c r="J369" s="19">
        <f t="shared" si="30"/>
        <v>299</v>
      </c>
      <c r="K369" s="20">
        <f>INDEX('Item Master'!$F$2:$F$51,MATCH($A369,'Item Master'!$A$2:$A$51,0))</f>
        <v>900</v>
      </c>
      <c r="L369" s="20">
        <f t="shared" si="31"/>
        <v>27000</v>
      </c>
      <c r="M369" s="21">
        <f t="shared" si="32"/>
        <v>1</v>
      </c>
      <c r="N369" s="19">
        <f>INDEX('Item Master'!$E$2:$E$51,MATCH($A369,'Item Master'!$A$2:$A$51,0))</f>
        <v>10</v>
      </c>
      <c r="O369" s="22">
        <f>INDEX('Product Summary'!$L$2:$L$51,MATCH($A369,'Product Summary'!$A$2:$A$51,0))</f>
        <v>4.6111111111111107</v>
      </c>
      <c r="P369" s="22">
        <f>INDEX('Product Summary'!$M$2:$M$51,MATCH($A369,'Product Summary'!$A$2:$A$51,0))</f>
        <v>14.200152207001521</v>
      </c>
      <c r="Q369" s="22">
        <f t="shared" si="33"/>
        <v>299</v>
      </c>
      <c r="R369" s="22">
        <f t="shared" si="34"/>
        <v>284.79984779299849</v>
      </c>
      <c r="S369" s="19" t="str">
        <f t="shared" si="35"/>
        <v>OVERSTOCK</v>
      </c>
    </row>
    <row r="370" spans="1:19" x14ac:dyDescent="0.3">
      <c r="A370" s="19" t="s">
        <v>132</v>
      </c>
      <c r="B370" s="19" t="s">
        <v>133</v>
      </c>
      <c r="C370" s="19" t="s">
        <v>40</v>
      </c>
      <c r="D370" s="19" t="s">
        <v>43</v>
      </c>
      <c r="E370" s="19">
        <f>SUMIFS('Stock Inflow'!$G$2:$G$601,'Stock Inflow'!$A$2:$A$601,$A370,'Stock Inflow'!$D$2:$D$601,$D370)</f>
        <v>299</v>
      </c>
      <c r="F370" s="19">
        <f>SUMIFS('Stock Inflow'!$F$2:$F$601,'Stock Inflow'!$A$2:$A$601,$A370,'Stock Inflow'!$D$2:$D$601,$D370)</f>
        <v>30</v>
      </c>
      <c r="G370" s="19">
        <f>SUMIFS('Stock Inflow'!$E$2:$E$601,'Stock Inflow'!$A$2:$A$601,$A370,'Stock Inflow'!$D$2:$D$601,$D370)</f>
        <v>1</v>
      </c>
      <c r="H370" s="19">
        <f>SUMIFS('Stock Outflow'!$F$2:$F$601,'Stock Outflow'!$A$2:$A$601,$A370,'Stock Outflow'!$D$2:$D$601,$D370)</f>
        <v>25</v>
      </c>
      <c r="I370" s="19">
        <f>SUMIFS('Stock Outflow'!$E$2:$E$601,'Stock Outflow'!$A$2:$A$601,$A370,'Stock Outflow'!$D$2:$D$601,$D370)</f>
        <v>0</v>
      </c>
      <c r="J370" s="19">
        <f t="shared" si="30"/>
        <v>305</v>
      </c>
      <c r="K370" s="20">
        <f>INDEX('Item Master'!$F$2:$F$51,MATCH($A370,'Item Master'!$A$2:$A$51,0))</f>
        <v>900</v>
      </c>
      <c r="L370" s="20">
        <f t="shared" si="31"/>
        <v>22500</v>
      </c>
      <c r="M370" s="21">
        <f t="shared" si="32"/>
        <v>0.83333333333333337</v>
      </c>
      <c r="N370" s="19">
        <f>INDEX('Item Master'!$E$2:$E$51,MATCH($A370,'Item Master'!$A$2:$A$51,0))</f>
        <v>10</v>
      </c>
      <c r="O370" s="22">
        <f>INDEX('Product Summary'!$L$2:$L$51,MATCH($A370,'Product Summary'!$A$2:$A$51,0))</f>
        <v>4.6111111111111107</v>
      </c>
      <c r="P370" s="22">
        <f>INDEX('Product Summary'!$M$2:$M$51,MATCH($A370,'Product Summary'!$A$2:$A$51,0))</f>
        <v>14.200152207001521</v>
      </c>
      <c r="Q370" s="22">
        <f t="shared" si="33"/>
        <v>366</v>
      </c>
      <c r="R370" s="22">
        <f t="shared" si="34"/>
        <v>348.95981735159819</v>
      </c>
      <c r="S370" s="19" t="str">
        <f t="shared" si="35"/>
        <v>OVERSTOCK</v>
      </c>
    </row>
    <row r="371" spans="1:19" x14ac:dyDescent="0.3">
      <c r="A371" s="19" t="s">
        <v>132</v>
      </c>
      <c r="B371" s="19" t="s">
        <v>133</v>
      </c>
      <c r="C371" s="19" t="s">
        <v>40</v>
      </c>
      <c r="D371" s="19" t="s">
        <v>45</v>
      </c>
      <c r="E371" s="19">
        <f>SUMIFS('Stock Inflow'!$G$2:$G$601,'Stock Inflow'!$A$2:$A$601,$A371,'Stock Inflow'!$D$2:$D$601,$D371)</f>
        <v>305</v>
      </c>
      <c r="F371" s="19">
        <f>SUMIFS('Stock Inflow'!$F$2:$F$601,'Stock Inflow'!$A$2:$A$601,$A371,'Stock Inflow'!$D$2:$D$601,$D371)</f>
        <v>43</v>
      </c>
      <c r="G371" s="19">
        <f>SUMIFS('Stock Inflow'!$E$2:$E$601,'Stock Inflow'!$A$2:$A$601,$A371,'Stock Inflow'!$D$2:$D$601,$D371)</f>
        <v>2</v>
      </c>
      <c r="H371" s="19">
        <f>SUMIFS('Stock Outflow'!$F$2:$F$601,'Stock Outflow'!$A$2:$A$601,$A371,'Stock Outflow'!$D$2:$D$601,$D371)</f>
        <v>43</v>
      </c>
      <c r="I371" s="19">
        <f>SUMIFS('Stock Outflow'!$E$2:$E$601,'Stock Outflow'!$A$2:$A$601,$A371,'Stock Outflow'!$D$2:$D$601,$D371)</f>
        <v>1</v>
      </c>
      <c r="J371" s="19">
        <f t="shared" si="30"/>
        <v>306</v>
      </c>
      <c r="K371" s="20">
        <f>INDEX('Item Master'!$F$2:$F$51,MATCH($A371,'Item Master'!$A$2:$A$51,0))</f>
        <v>900</v>
      </c>
      <c r="L371" s="20">
        <f t="shared" si="31"/>
        <v>38700</v>
      </c>
      <c r="M371" s="21">
        <f t="shared" si="32"/>
        <v>1.4333333333333333</v>
      </c>
      <c r="N371" s="19">
        <f>INDEX('Item Master'!$E$2:$E$51,MATCH($A371,'Item Master'!$A$2:$A$51,0))</f>
        <v>10</v>
      </c>
      <c r="O371" s="22">
        <f>INDEX('Product Summary'!$L$2:$L$51,MATCH($A371,'Product Summary'!$A$2:$A$51,0))</f>
        <v>4.6111111111111107</v>
      </c>
      <c r="P371" s="22">
        <f>INDEX('Product Summary'!$M$2:$M$51,MATCH($A371,'Product Summary'!$A$2:$A$51,0))</f>
        <v>14.200152207001521</v>
      </c>
      <c r="Q371" s="22">
        <f t="shared" si="33"/>
        <v>213.48837209302326</v>
      </c>
      <c r="R371" s="22">
        <f t="shared" si="34"/>
        <v>203.58128915790593</v>
      </c>
      <c r="S371" s="19" t="str">
        <f t="shared" si="35"/>
        <v>OVERSTOCK</v>
      </c>
    </row>
    <row r="372" spans="1:19" x14ac:dyDescent="0.3">
      <c r="A372" s="19" t="s">
        <v>132</v>
      </c>
      <c r="B372" s="19" t="s">
        <v>133</v>
      </c>
      <c r="C372" s="19" t="s">
        <v>40</v>
      </c>
      <c r="D372" s="19" t="s">
        <v>47</v>
      </c>
      <c r="E372" s="19">
        <f>SUMIFS('Stock Inflow'!$G$2:$G$601,'Stock Inflow'!$A$2:$A$601,$A372,'Stock Inflow'!$D$2:$D$601,$D372)</f>
        <v>306</v>
      </c>
      <c r="F372" s="19">
        <f>SUMIFS('Stock Inflow'!$F$2:$F$601,'Stock Inflow'!$A$2:$A$601,$A372,'Stock Inflow'!$D$2:$D$601,$D372)</f>
        <v>33</v>
      </c>
      <c r="G372" s="19">
        <f>SUMIFS('Stock Inflow'!$E$2:$E$601,'Stock Inflow'!$A$2:$A$601,$A372,'Stock Inflow'!$D$2:$D$601,$D372)</f>
        <v>1</v>
      </c>
      <c r="H372" s="19">
        <f>SUMIFS('Stock Outflow'!$F$2:$F$601,'Stock Outflow'!$A$2:$A$601,$A372,'Stock Outflow'!$D$2:$D$601,$D372)</f>
        <v>30</v>
      </c>
      <c r="I372" s="19">
        <f>SUMIFS('Stock Outflow'!$E$2:$E$601,'Stock Outflow'!$A$2:$A$601,$A372,'Stock Outflow'!$D$2:$D$601,$D372)</f>
        <v>1</v>
      </c>
      <c r="J372" s="19">
        <f t="shared" si="30"/>
        <v>309</v>
      </c>
      <c r="K372" s="20">
        <f>INDEX('Item Master'!$F$2:$F$51,MATCH($A372,'Item Master'!$A$2:$A$51,0))</f>
        <v>900</v>
      </c>
      <c r="L372" s="20">
        <f t="shared" si="31"/>
        <v>27000</v>
      </c>
      <c r="M372" s="21">
        <f t="shared" si="32"/>
        <v>1</v>
      </c>
      <c r="N372" s="19">
        <f>INDEX('Item Master'!$E$2:$E$51,MATCH($A372,'Item Master'!$A$2:$A$51,0))</f>
        <v>10</v>
      </c>
      <c r="O372" s="22">
        <f>INDEX('Product Summary'!$L$2:$L$51,MATCH($A372,'Product Summary'!$A$2:$A$51,0))</f>
        <v>4.6111111111111107</v>
      </c>
      <c r="P372" s="22">
        <f>INDEX('Product Summary'!$M$2:$M$51,MATCH($A372,'Product Summary'!$A$2:$A$51,0))</f>
        <v>14.200152207001521</v>
      </c>
      <c r="Q372" s="22">
        <f t="shared" si="33"/>
        <v>309</v>
      </c>
      <c r="R372" s="22">
        <f t="shared" si="34"/>
        <v>294.79984779299849</v>
      </c>
      <c r="S372" s="19" t="str">
        <f t="shared" si="35"/>
        <v>OVERSTOCK</v>
      </c>
    </row>
    <row r="373" spans="1:19" x14ac:dyDescent="0.3">
      <c r="A373" s="19" t="s">
        <v>132</v>
      </c>
      <c r="B373" s="19" t="s">
        <v>133</v>
      </c>
      <c r="C373" s="19" t="s">
        <v>40</v>
      </c>
      <c r="D373" s="19" t="s">
        <v>49</v>
      </c>
      <c r="E373" s="19">
        <f>SUMIFS('Stock Inflow'!$G$2:$G$601,'Stock Inflow'!$A$2:$A$601,$A373,'Stock Inflow'!$D$2:$D$601,$D373)</f>
        <v>309</v>
      </c>
      <c r="F373" s="19">
        <f>SUMIFS('Stock Inflow'!$F$2:$F$601,'Stock Inflow'!$A$2:$A$601,$A373,'Stock Inflow'!$D$2:$D$601,$D373)</f>
        <v>36</v>
      </c>
      <c r="G373" s="19">
        <f>SUMIFS('Stock Inflow'!$E$2:$E$601,'Stock Inflow'!$A$2:$A$601,$A373,'Stock Inflow'!$D$2:$D$601,$D373)</f>
        <v>0</v>
      </c>
      <c r="H373" s="19">
        <f>SUMIFS('Stock Outflow'!$F$2:$F$601,'Stock Outflow'!$A$2:$A$601,$A373,'Stock Outflow'!$D$2:$D$601,$D373)</f>
        <v>28</v>
      </c>
      <c r="I373" s="19">
        <f>SUMIFS('Stock Outflow'!$E$2:$E$601,'Stock Outflow'!$A$2:$A$601,$A373,'Stock Outflow'!$D$2:$D$601,$D373)</f>
        <v>1</v>
      </c>
      <c r="J373" s="19">
        <f t="shared" si="30"/>
        <v>316</v>
      </c>
      <c r="K373" s="20">
        <f>INDEX('Item Master'!$F$2:$F$51,MATCH($A373,'Item Master'!$A$2:$A$51,0))</f>
        <v>900</v>
      </c>
      <c r="L373" s="20">
        <f t="shared" si="31"/>
        <v>25200</v>
      </c>
      <c r="M373" s="21">
        <f t="shared" si="32"/>
        <v>0.93333333333333335</v>
      </c>
      <c r="N373" s="19">
        <f>INDEX('Item Master'!$E$2:$E$51,MATCH($A373,'Item Master'!$A$2:$A$51,0))</f>
        <v>10</v>
      </c>
      <c r="O373" s="22">
        <f>INDEX('Product Summary'!$L$2:$L$51,MATCH($A373,'Product Summary'!$A$2:$A$51,0))</f>
        <v>4.6111111111111107</v>
      </c>
      <c r="P373" s="22">
        <f>INDEX('Product Summary'!$M$2:$M$51,MATCH($A373,'Product Summary'!$A$2:$A$51,0))</f>
        <v>14.200152207001521</v>
      </c>
      <c r="Q373" s="22">
        <f t="shared" si="33"/>
        <v>338.57142857142856</v>
      </c>
      <c r="R373" s="22">
        <f t="shared" si="34"/>
        <v>323.35697977821269</v>
      </c>
      <c r="S373" s="19" t="str">
        <f t="shared" si="35"/>
        <v>OVERSTOCK</v>
      </c>
    </row>
    <row r="374" spans="1:19" x14ac:dyDescent="0.3">
      <c r="A374" s="19" t="s">
        <v>134</v>
      </c>
      <c r="B374" s="19" t="s">
        <v>135</v>
      </c>
      <c r="C374" s="19" t="s">
        <v>40</v>
      </c>
      <c r="D374" s="19" t="s">
        <v>27</v>
      </c>
      <c r="E374" s="19">
        <f>SUMIFS('Stock Inflow'!$G$2:$G$601,'Stock Inflow'!$A$2:$A$601,$A374,'Stock Inflow'!$D$2:$D$601,$D374)</f>
        <v>283</v>
      </c>
      <c r="F374" s="19">
        <f>SUMIFS('Stock Inflow'!$F$2:$F$601,'Stock Inflow'!$A$2:$A$601,$A374,'Stock Inflow'!$D$2:$D$601,$D374)</f>
        <v>33</v>
      </c>
      <c r="G374" s="19">
        <f>SUMIFS('Stock Inflow'!$E$2:$E$601,'Stock Inflow'!$A$2:$A$601,$A374,'Stock Inflow'!$D$2:$D$601,$D374)</f>
        <v>1</v>
      </c>
      <c r="H374" s="19">
        <f>SUMIFS('Stock Outflow'!$F$2:$F$601,'Stock Outflow'!$A$2:$A$601,$A374,'Stock Outflow'!$D$2:$D$601,$D374)</f>
        <v>28</v>
      </c>
      <c r="I374" s="19">
        <f>SUMIFS('Stock Outflow'!$E$2:$E$601,'Stock Outflow'!$A$2:$A$601,$A374,'Stock Outflow'!$D$2:$D$601,$D374)</f>
        <v>1</v>
      </c>
      <c r="J374" s="19">
        <f t="shared" si="30"/>
        <v>288</v>
      </c>
      <c r="K374" s="20">
        <f>INDEX('Item Master'!$F$2:$F$51,MATCH($A374,'Item Master'!$A$2:$A$51,0))</f>
        <v>500</v>
      </c>
      <c r="L374" s="20">
        <f t="shared" si="31"/>
        <v>14000</v>
      </c>
      <c r="M374" s="21">
        <f t="shared" si="32"/>
        <v>0.93333333333333335</v>
      </c>
      <c r="N374" s="19">
        <f>INDEX('Item Master'!$E$2:$E$51,MATCH($A374,'Item Master'!$A$2:$A$51,0))</f>
        <v>5</v>
      </c>
      <c r="O374" s="22">
        <f>INDEX('Product Summary'!$L$2:$L$51,MATCH($A374,'Product Summary'!$A$2:$A$51,0))</f>
        <v>2.8611111111111116</v>
      </c>
      <c r="P374" s="22">
        <f>INDEX('Product Summary'!$M$2:$M$51,MATCH($A374,'Product Summary'!$A$2:$A$51,0))</f>
        <v>7.1076864535768651</v>
      </c>
      <c r="Q374" s="22">
        <f t="shared" si="33"/>
        <v>308.57142857142856</v>
      </c>
      <c r="R374" s="22">
        <f t="shared" si="34"/>
        <v>300.95605022831046</v>
      </c>
      <c r="S374" s="19" t="str">
        <f t="shared" si="35"/>
        <v>OVERSTOCK</v>
      </c>
    </row>
    <row r="375" spans="1:19" x14ac:dyDescent="0.3">
      <c r="A375" s="19" t="s">
        <v>134</v>
      </c>
      <c r="B375" s="19" t="s">
        <v>135</v>
      </c>
      <c r="C375" s="19" t="s">
        <v>40</v>
      </c>
      <c r="D375" s="19" t="s">
        <v>29</v>
      </c>
      <c r="E375" s="19">
        <f>SUMIFS('Stock Inflow'!$G$2:$G$601,'Stock Inflow'!$A$2:$A$601,$A375,'Stock Inflow'!$D$2:$D$601,$D375)</f>
        <v>288</v>
      </c>
      <c r="F375" s="19">
        <f>SUMIFS('Stock Inflow'!$F$2:$F$601,'Stock Inflow'!$A$2:$A$601,$A375,'Stock Inflow'!$D$2:$D$601,$D375)</f>
        <v>24</v>
      </c>
      <c r="G375" s="19">
        <f>SUMIFS('Stock Inflow'!$E$2:$E$601,'Stock Inflow'!$A$2:$A$601,$A375,'Stock Inflow'!$D$2:$D$601,$D375)</f>
        <v>1</v>
      </c>
      <c r="H375" s="19">
        <f>SUMIFS('Stock Outflow'!$F$2:$F$601,'Stock Outflow'!$A$2:$A$601,$A375,'Stock Outflow'!$D$2:$D$601,$D375)</f>
        <v>26</v>
      </c>
      <c r="I375" s="19">
        <f>SUMIFS('Stock Outflow'!$E$2:$E$601,'Stock Outflow'!$A$2:$A$601,$A375,'Stock Outflow'!$D$2:$D$601,$D375)</f>
        <v>0</v>
      </c>
      <c r="J375" s="19">
        <f t="shared" si="30"/>
        <v>287</v>
      </c>
      <c r="K375" s="20">
        <f>INDEX('Item Master'!$F$2:$F$51,MATCH($A375,'Item Master'!$A$2:$A$51,0))</f>
        <v>500</v>
      </c>
      <c r="L375" s="20">
        <f t="shared" si="31"/>
        <v>13000</v>
      </c>
      <c r="M375" s="21">
        <f t="shared" si="32"/>
        <v>0.8666666666666667</v>
      </c>
      <c r="N375" s="19">
        <f>INDEX('Item Master'!$E$2:$E$51,MATCH($A375,'Item Master'!$A$2:$A$51,0))</f>
        <v>5</v>
      </c>
      <c r="O375" s="22">
        <f>INDEX('Product Summary'!$L$2:$L$51,MATCH($A375,'Product Summary'!$A$2:$A$51,0))</f>
        <v>2.8611111111111116</v>
      </c>
      <c r="P375" s="22">
        <f>INDEX('Product Summary'!$M$2:$M$51,MATCH($A375,'Product Summary'!$A$2:$A$51,0))</f>
        <v>7.1076864535768651</v>
      </c>
      <c r="Q375" s="22">
        <f t="shared" si="33"/>
        <v>331.15384615384613</v>
      </c>
      <c r="R375" s="22">
        <f t="shared" si="34"/>
        <v>322.95266947664203</v>
      </c>
      <c r="S375" s="19" t="str">
        <f t="shared" si="35"/>
        <v>OVERSTOCK</v>
      </c>
    </row>
    <row r="376" spans="1:19" x14ac:dyDescent="0.3">
      <c r="A376" s="19" t="s">
        <v>134</v>
      </c>
      <c r="B376" s="19" t="s">
        <v>135</v>
      </c>
      <c r="C376" s="19" t="s">
        <v>40</v>
      </c>
      <c r="D376" s="19" t="s">
        <v>31</v>
      </c>
      <c r="E376" s="19">
        <f>SUMIFS('Stock Inflow'!$G$2:$G$601,'Stock Inflow'!$A$2:$A$601,$A376,'Stock Inflow'!$D$2:$D$601,$D376)</f>
        <v>287</v>
      </c>
      <c r="F376" s="19">
        <f>SUMIFS('Stock Inflow'!$F$2:$F$601,'Stock Inflow'!$A$2:$A$601,$A376,'Stock Inflow'!$D$2:$D$601,$D376)</f>
        <v>28</v>
      </c>
      <c r="G376" s="19">
        <f>SUMIFS('Stock Inflow'!$E$2:$E$601,'Stock Inflow'!$A$2:$A$601,$A376,'Stock Inflow'!$D$2:$D$601,$D376)</f>
        <v>0</v>
      </c>
      <c r="H376" s="19">
        <f>SUMIFS('Stock Outflow'!$F$2:$F$601,'Stock Outflow'!$A$2:$A$601,$A376,'Stock Outflow'!$D$2:$D$601,$D376)</f>
        <v>24</v>
      </c>
      <c r="I376" s="19">
        <f>SUMIFS('Stock Outflow'!$E$2:$E$601,'Stock Outflow'!$A$2:$A$601,$A376,'Stock Outflow'!$D$2:$D$601,$D376)</f>
        <v>1</v>
      </c>
      <c r="J376" s="19">
        <f t="shared" si="30"/>
        <v>290</v>
      </c>
      <c r="K376" s="20">
        <f>INDEX('Item Master'!$F$2:$F$51,MATCH($A376,'Item Master'!$A$2:$A$51,0))</f>
        <v>500</v>
      </c>
      <c r="L376" s="20">
        <f t="shared" si="31"/>
        <v>12000</v>
      </c>
      <c r="M376" s="21">
        <f t="shared" si="32"/>
        <v>0.8</v>
      </c>
      <c r="N376" s="19">
        <f>INDEX('Item Master'!$E$2:$E$51,MATCH($A376,'Item Master'!$A$2:$A$51,0))</f>
        <v>5</v>
      </c>
      <c r="O376" s="22">
        <f>INDEX('Product Summary'!$L$2:$L$51,MATCH($A376,'Product Summary'!$A$2:$A$51,0))</f>
        <v>2.8611111111111116</v>
      </c>
      <c r="P376" s="22">
        <f>INDEX('Product Summary'!$M$2:$M$51,MATCH($A376,'Product Summary'!$A$2:$A$51,0))</f>
        <v>7.1076864535768651</v>
      </c>
      <c r="Q376" s="22">
        <f t="shared" si="33"/>
        <v>362.5</v>
      </c>
      <c r="R376" s="22">
        <f t="shared" si="34"/>
        <v>353.61539193302889</v>
      </c>
      <c r="S376" s="19" t="str">
        <f t="shared" si="35"/>
        <v>OVERSTOCK</v>
      </c>
    </row>
    <row r="377" spans="1:19" x14ac:dyDescent="0.3">
      <c r="A377" s="19" t="s">
        <v>134</v>
      </c>
      <c r="B377" s="19" t="s">
        <v>135</v>
      </c>
      <c r="C377" s="19" t="s">
        <v>40</v>
      </c>
      <c r="D377" s="19" t="s">
        <v>33</v>
      </c>
      <c r="E377" s="19">
        <f>SUMIFS('Stock Inflow'!$G$2:$G$601,'Stock Inflow'!$A$2:$A$601,$A377,'Stock Inflow'!$D$2:$D$601,$D377)</f>
        <v>290</v>
      </c>
      <c r="F377" s="19">
        <f>SUMIFS('Stock Inflow'!$F$2:$F$601,'Stock Inflow'!$A$2:$A$601,$A377,'Stock Inflow'!$D$2:$D$601,$D377)</f>
        <v>30</v>
      </c>
      <c r="G377" s="19">
        <f>SUMIFS('Stock Inflow'!$E$2:$E$601,'Stock Inflow'!$A$2:$A$601,$A377,'Stock Inflow'!$D$2:$D$601,$D377)</f>
        <v>0</v>
      </c>
      <c r="H377" s="19">
        <f>SUMIFS('Stock Outflow'!$F$2:$F$601,'Stock Outflow'!$A$2:$A$601,$A377,'Stock Outflow'!$D$2:$D$601,$D377)</f>
        <v>26</v>
      </c>
      <c r="I377" s="19">
        <f>SUMIFS('Stock Outflow'!$E$2:$E$601,'Stock Outflow'!$A$2:$A$601,$A377,'Stock Outflow'!$D$2:$D$601,$D377)</f>
        <v>1</v>
      </c>
      <c r="J377" s="19">
        <f t="shared" si="30"/>
        <v>293</v>
      </c>
      <c r="K377" s="20">
        <f>INDEX('Item Master'!$F$2:$F$51,MATCH($A377,'Item Master'!$A$2:$A$51,0))</f>
        <v>500</v>
      </c>
      <c r="L377" s="20">
        <f t="shared" si="31"/>
        <v>13000</v>
      </c>
      <c r="M377" s="21">
        <f t="shared" si="32"/>
        <v>0.8666666666666667</v>
      </c>
      <c r="N377" s="19">
        <f>INDEX('Item Master'!$E$2:$E$51,MATCH($A377,'Item Master'!$A$2:$A$51,0))</f>
        <v>5</v>
      </c>
      <c r="O377" s="22">
        <f>INDEX('Product Summary'!$L$2:$L$51,MATCH($A377,'Product Summary'!$A$2:$A$51,0))</f>
        <v>2.8611111111111116</v>
      </c>
      <c r="P377" s="22">
        <f>INDEX('Product Summary'!$M$2:$M$51,MATCH($A377,'Product Summary'!$A$2:$A$51,0))</f>
        <v>7.1076864535768651</v>
      </c>
      <c r="Q377" s="22">
        <f t="shared" si="33"/>
        <v>338.07692307692304</v>
      </c>
      <c r="R377" s="22">
        <f t="shared" si="34"/>
        <v>329.87574639971893</v>
      </c>
      <c r="S377" s="19" t="str">
        <f t="shared" si="35"/>
        <v>OVERSTOCK</v>
      </c>
    </row>
    <row r="378" spans="1:19" x14ac:dyDescent="0.3">
      <c r="A378" s="19" t="s">
        <v>134</v>
      </c>
      <c r="B378" s="19" t="s">
        <v>135</v>
      </c>
      <c r="C378" s="19" t="s">
        <v>40</v>
      </c>
      <c r="D378" s="19" t="s">
        <v>35</v>
      </c>
      <c r="E378" s="19">
        <f>SUMIFS('Stock Inflow'!$G$2:$G$601,'Stock Inflow'!$A$2:$A$601,$A378,'Stock Inflow'!$D$2:$D$601,$D378)</f>
        <v>293</v>
      </c>
      <c r="F378" s="19">
        <f>SUMIFS('Stock Inflow'!$F$2:$F$601,'Stock Inflow'!$A$2:$A$601,$A378,'Stock Inflow'!$D$2:$D$601,$D378)</f>
        <v>30</v>
      </c>
      <c r="G378" s="19">
        <f>SUMIFS('Stock Inflow'!$E$2:$E$601,'Stock Inflow'!$A$2:$A$601,$A378,'Stock Inflow'!$D$2:$D$601,$D378)</f>
        <v>0</v>
      </c>
      <c r="H378" s="19">
        <f>SUMIFS('Stock Outflow'!$F$2:$F$601,'Stock Outflow'!$A$2:$A$601,$A378,'Stock Outflow'!$D$2:$D$601,$D378)</f>
        <v>24</v>
      </c>
      <c r="I378" s="19">
        <f>SUMIFS('Stock Outflow'!$E$2:$E$601,'Stock Outflow'!$A$2:$A$601,$A378,'Stock Outflow'!$D$2:$D$601,$D378)</f>
        <v>0</v>
      </c>
      <c r="J378" s="19">
        <f t="shared" si="30"/>
        <v>299</v>
      </c>
      <c r="K378" s="20">
        <f>INDEX('Item Master'!$F$2:$F$51,MATCH($A378,'Item Master'!$A$2:$A$51,0))</f>
        <v>500</v>
      </c>
      <c r="L378" s="20">
        <f t="shared" si="31"/>
        <v>12000</v>
      </c>
      <c r="M378" s="21">
        <f t="shared" si="32"/>
        <v>0.8</v>
      </c>
      <c r="N378" s="19">
        <f>INDEX('Item Master'!$E$2:$E$51,MATCH($A378,'Item Master'!$A$2:$A$51,0))</f>
        <v>5</v>
      </c>
      <c r="O378" s="22">
        <f>INDEX('Product Summary'!$L$2:$L$51,MATCH($A378,'Product Summary'!$A$2:$A$51,0))</f>
        <v>2.8611111111111116</v>
      </c>
      <c r="P378" s="22">
        <f>INDEX('Product Summary'!$M$2:$M$51,MATCH($A378,'Product Summary'!$A$2:$A$51,0))</f>
        <v>7.1076864535768651</v>
      </c>
      <c r="Q378" s="22">
        <f t="shared" si="33"/>
        <v>373.75</v>
      </c>
      <c r="R378" s="22">
        <f t="shared" si="34"/>
        <v>364.86539193302889</v>
      </c>
      <c r="S378" s="19" t="str">
        <f t="shared" si="35"/>
        <v>OVERSTOCK</v>
      </c>
    </row>
    <row r="379" spans="1:19" x14ac:dyDescent="0.3">
      <c r="A379" s="19" t="s">
        <v>134</v>
      </c>
      <c r="B379" s="19" t="s">
        <v>135</v>
      </c>
      <c r="C379" s="19" t="s">
        <v>40</v>
      </c>
      <c r="D379" s="19" t="s">
        <v>37</v>
      </c>
      <c r="E379" s="19">
        <f>SUMIFS('Stock Inflow'!$G$2:$G$601,'Stock Inflow'!$A$2:$A$601,$A379,'Stock Inflow'!$D$2:$D$601,$D379)</f>
        <v>299</v>
      </c>
      <c r="F379" s="19">
        <f>SUMIFS('Stock Inflow'!$F$2:$F$601,'Stock Inflow'!$A$2:$A$601,$A379,'Stock Inflow'!$D$2:$D$601,$D379)</f>
        <v>21</v>
      </c>
      <c r="G379" s="19">
        <f>SUMIFS('Stock Inflow'!$E$2:$E$601,'Stock Inflow'!$A$2:$A$601,$A379,'Stock Inflow'!$D$2:$D$601,$D379)</f>
        <v>0</v>
      </c>
      <c r="H379" s="19">
        <f>SUMIFS('Stock Outflow'!$F$2:$F$601,'Stock Outflow'!$A$2:$A$601,$A379,'Stock Outflow'!$D$2:$D$601,$D379)</f>
        <v>22</v>
      </c>
      <c r="I379" s="19">
        <f>SUMIFS('Stock Outflow'!$E$2:$E$601,'Stock Outflow'!$A$2:$A$601,$A379,'Stock Outflow'!$D$2:$D$601,$D379)</f>
        <v>0</v>
      </c>
      <c r="J379" s="19">
        <f t="shared" si="30"/>
        <v>298</v>
      </c>
      <c r="K379" s="20">
        <f>INDEX('Item Master'!$F$2:$F$51,MATCH($A379,'Item Master'!$A$2:$A$51,0))</f>
        <v>500</v>
      </c>
      <c r="L379" s="20">
        <f t="shared" si="31"/>
        <v>11000</v>
      </c>
      <c r="M379" s="21">
        <f t="shared" si="32"/>
        <v>0.73333333333333328</v>
      </c>
      <c r="N379" s="19">
        <f>INDEX('Item Master'!$E$2:$E$51,MATCH($A379,'Item Master'!$A$2:$A$51,0))</f>
        <v>5</v>
      </c>
      <c r="O379" s="22">
        <f>INDEX('Product Summary'!$L$2:$L$51,MATCH($A379,'Product Summary'!$A$2:$A$51,0))</f>
        <v>2.8611111111111116</v>
      </c>
      <c r="P379" s="22">
        <f>INDEX('Product Summary'!$M$2:$M$51,MATCH($A379,'Product Summary'!$A$2:$A$51,0))</f>
        <v>7.1076864535768651</v>
      </c>
      <c r="Q379" s="22">
        <f t="shared" si="33"/>
        <v>406.36363636363637</v>
      </c>
      <c r="R379" s="22">
        <f t="shared" si="34"/>
        <v>396.67133665421335</v>
      </c>
      <c r="S379" s="19" t="str">
        <f t="shared" si="35"/>
        <v>OVERSTOCK</v>
      </c>
    </row>
    <row r="380" spans="1:19" x14ac:dyDescent="0.3">
      <c r="A380" s="19" t="s">
        <v>134</v>
      </c>
      <c r="B380" s="19" t="s">
        <v>135</v>
      </c>
      <c r="C380" s="19" t="s">
        <v>40</v>
      </c>
      <c r="D380" s="19" t="s">
        <v>39</v>
      </c>
      <c r="E380" s="19">
        <f>SUMIFS('Stock Inflow'!$G$2:$G$601,'Stock Inflow'!$A$2:$A$601,$A380,'Stock Inflow'!$D$2:$D$601,$D380)</f>
        <v>298</v>
      </c>
      <c r="F380" s="19">
        <f>SUMIFS('Stock Inflow'!$F$2:$F$601,'Stock Inflow'!$A$2:$A$601,$A380,'Stock Inflow'!$D$2:$D$601,$D380)</f>
        <v>29</v>
      </c>
      <c r="G380" s="19">
        <f>SUMIFS('Stock Inflow'!$E$2:$E$601,'Stock Inflow'!$A$2:$A$601,$A380,'Stock Inflow'!$D$2:$D$601,$D380)</f>
        <v>1</v>
      </c>
      <c r="H380" s="19">
        <f>SUMIFS('Stock Outflow'!$F$2:$F$601,'Stock Outflow'!$A$2:$A$601,$A380,'Stock Outflow'!$D$2:$D$601,$D380)</f>
        <v>23</v>
      </c>
      <c r="I380" s="19">
        <f>SUMIFS('Stock Outflow'!$E$2:$E$601,'Stock Outflow'!$A$2:$A$601,$A380,'Stock Outflow'!$D$2:$D$601,$D380)</f>
        <v>1</v>
      </c>
      <c r="J380" s="19">
        <f t="shared" si="30"/>
        <v>304</v>
      </c>
      <c r="K380" s="20">
        <f>INDEX('Item Master'!$F$2:$F$51,MATCH($A380,'Item Master'!$A$2:$A$51,0))</f>
        <v>500</v>
      </c>
      <c r="L380" s="20">
        <f t="shared" si="31"/>
        <v>11500</v>
      </c>
      <c r="M380" s="21">
        <f t="shared" si="32"/>
        <v>0.76666666666666672</v>
      </c>
      <c r="N380" s="19">
        <f>INDEX('Item Master'!$E$2:$E$51,MATCH($A380,'Item Master'!$A$2:$A$51,0))</f>
        <v>5</v>
      </c>
      <c r="O380" s="22">
        <f>INDEX('Product Summary'!$L$2:$L$51,MATCH($A380,'Product Summary'!$A$2:$A$51,0))</f>
        <v>2.8611111111111116</v>
      </c>
      <c r="P380" s="22">
        <f>INDEX('Product Summary'!$M$2:$M$51,MATCH($A380,'Product Summary'!$A$2:$A$51,0))</f>
        <v>7.1076864535768651</v>
      </c>
      <c r="Q380" s="22">
        <f t="shared" si="33"/>
        <v>396.52173913043475</v>
      </c>
      <c r="R380" s="22">
        <f t="shared" si="34"/>
        <v>387.25084375620401</v>
      </c>
      <c r="S380" s="19" t="str">
        <f t="shared" si="35"/>
        <v>OVERSTOCK</v>
      </c>
    </row>
    <row r="381" spans="1:19" x14ac:dyDescent="0.3">
      <c r="A381" s="19" t="s">
        <v>134</v>
      </c>
      <c r="B381" s="19" t="s">
        <v>135</v>
      </c>
      <c r="C381" s="19" t="s">
        <v>40</v>
      </c>
      <c r="D381" s="19" t="s">
        <v>41</v>
      </c>
      <c r="E381" s="19">
        <f>SUMIFS('Stock Inflow'!$G$2:$G$601,'Stock Inflow'!$A$2:$A$601,$A381,'Stock Inflow'!$D$2:$D$601,$D381)</f>
        <v>304</v>
      </c>
      <c r="F381" s="19">
        <f>SUMIFS('Stock Inflow'!$F$2:$F$601,'Stock Inflow'!$A$2:$A$601,$A381,'Stock Inflow'!$D$2:$D$601,$D381)</f>
        <v>25</v>
      </c>
      <c r="G381" s="19">
        <f>SUMIFS('Stock Inflow'!$E$2:$E$601,'Stock Inflow'!$A$2:$A$601,$A381,'Stock Inflow'!$D$2:$D$601,$D381)</f>
        <v>1</v>
      </c>
      <c r="H381" s="19">
        <f>SUMIFS('Stock Outflow'!$F$2:$F$601,'Stock Outflow'!$A$2:$A$601,$A381,'Stock Outflow'!$D$2:$D$601,$D381)</f>
        <v>22</v>
      </c>
      <c r="I381" s="19">
        <f>SUMIFS('Stock Outflow'!$E$2:$E$601,'Stock Outflow'!$A$2:$A$601,$A381,'Stock Outflow'!$D$2:$D$601,$D381)</f>
        <v>0</v>
      </c>
      <c r="J381" s="19">
        <f t="shared" si="30"/>
        <v>308</v>
      </c>
      <c r="K381" s="20">
        <f>INDEX('Item Master'!$F$2:$F$51,MATCH($A381,'Item Master'!$A$2:$A$51,0))</f>
        <v>500</v>
      </c>
      <c r="L381" s="20">
        <f t="shared" si="31"/>
        <v>11000</v>
      </c>
      <c r="M381" s="21">
        <f t="shared" si="32"/>
        <v>0.73333333333333328</v>
      </c>
      <c r="N381" s="19">
        <f>INDEX('Item Master'!$E$2:$E$51,MATCH($A381,'Item Master'!$A$2:$A$51,0))</f>
        <v>5</v>
      </c>
      <c r="O381" s="22">
        <f>INDEX('Product Summary'!$L$2:$L$51,MATCH($A381,'Product Summary'!$A$2:$A$51,0))</f>
        <v>2.8611111111111116</v>
      </c>
      <c r="P381" s="22">
        <f>INDEX('Product Summary'!$M$2:$M$51,MATCH($A381,'Product Summary'!$A$2:$A$51,0))</f>
        <v>7.1076864535768651</v>
      </c>
      <c r="Q381" s="22">
        <f t="shared" si="33"/>
        <v>420.00000000000006</v>
      </c>
      <c r="R381" s="22">
        <f t="shared" si="34"/>
        <v>410.30770029057697</v>
      </c>
      <c r="S381" s="19" t="str">
        <f t="shared" si="35"/>
        <v>OVERSTOCK</v>
      </c>
    </row>
    <row r="382" spans="1:19" x14ac:dyDescent="0.3">
      <c r="A382" s="19" t="s">
        <v>134</v>
      </c>
      <c r="B382" s="19" t="s">
        <v>135</v>
      </c>
      <c r="C382" s="19" t="s">
        <v>40</v>
      </c>
      <c r="D382" s="19" t="s">
        <v>43</v>
      </c>
      <c r="E382" s="19">
        <f>SUMIFS('Stock Inflow'!$G$2:$G$601,'Stock Inflow'!$A$2:$A$601,$A382,'Stock Inflow'!$D$2:$D$601,$D382)</f>
        <v>308</v>
      </c>
      <c r="F382" s="19">
        <f>SUMIFS('Stock Inflow'!$F$2:$F$601,'Stock Inflow'!$A$2:$A$601,$A382,'Stock Inflow'!$D$2:$D$601,$D382)</f>
        <v>26</v>
      </c>
      <c r="G382" s="19">
        <f>SUMIFS('Stock Inflow'!$E$2:$E$601,'Stock Inflow'!$A$2:$A$601,$A382,'Stock Inflow'!$D$2:$D$601,$D382)</f>
        <v>1</v>
      </c>
      <c r="H382" s="19">
        <f>SUMIFS('Stock Outflow'!$F$2:$F$601,'Stock Outflow'!$A$2:$A$601,$A382,'Stock Outflow'!$D$2:$D$601,$D382)</f>
        <v>23</v>
      </c>
      <c r="I382" s="19">
        <f>SUMIFS('Stock Outflow'!$E$2:$E$601,'Stock Outflow'!$A$2:$A$601,$A382,'Stock Outflow'!$D$2:$D$601,$D382)</f>
        <v>0</v>
      </c>
      <c r="J382" s="19">
        <f t="shared" si="30"/>
        <v>312</v>
      </c>
      <c r="K382" s="20">
        <f>INDEX('Item Master'!$F$2:$F$51,MATCH($A382,'Item Master'!$A$2:$A$51,0))</f>
        <v>500</v>
      </c>
      <c r="L382" s="20">
        <f t="shared" si="31"/>
        <v>11500</v>
      </c>
      <c r="M382" s="21">
        <f t="shared" si="32"/>
        <v>0.76666666666666672</v>
      </c>
      <c r="N382" s="19">
        <f>INDEX('Item Master'!$E$2:$E$51,MATCH($A382,'Item Master'!$A$2:$A$51,0))</f>
        <v>5</v>
      </c>
      <c r="O382" s="22">
        <f>INDEX('Product Summary'!$L$2:$L$51,MATCH($A382,'Product Summary'!$A$2:$A$51,0))</f>
        <v>2.8611111111111116</v>
      </c>
      <c r="P382" s="22">
        <f>INDEX('Product Summary'!$M$2:$M$51,MATCH($A382,'Product Summary'!$A$2:$A$51,0))</f>
        <v>7.1076864535768651</v>
      </c>
      <c r="Q382" s="22">
        <f t="shared" si="33"/>
        <v>406.95652173913038</v>
      </c>
      <c r="R382" s="22">
        <f t="shared" si="34"/>
        <v>397.68562636489969</v>
      </c>
      <c r="S382" s="19" t="str">
        <f t="shared" si="35"/>
        <v>OVERSTOCK</v>
      </c>
    </row>
    <row r="383" spans="1:19" x14ac:dyDescent="0.3">
      <c r="A383" s="19" t="s">
        <v>134</v>
      </c>
      <c r="B383" s="19" t="s">
        <v>135</v>
      </c>
      <c r="C383" s="19" t="s">
        <v>40</v>
      </c>
      <c r="D383" s="19" t="s">
        <v>45</v>
      </c>
      <c r="E383" s="19">
        <f>SUMIFS('Stock Inflow'!$G$2:$G$601,'Stock Inflow'!$A$2:$A$601,$A383,'Stock Inflow'!$D$2:$D$601,$D383)</f>
        <v>312</v>
      </c>
      <c r="F383" s="19">
        <f>SUMIFS('Stock Inflow'!$F$2:$F$601,'Stock Inflow'!$A$2:$A$601,$A383,'Stock Inflow'!$D$2:$D$601,$D383)</f>
        <v>41</v>
      </c>
      <c r="G383" s="19">
        <f>SUMIFS('Stock Inflow'!$E$2:$E$601,'Stock Inflow'!$A$2:$A$601,$A383,'Stock Inflow'!$D$2:$D$601,$D383)</f>
        <v>1</v>
      </c>
      <c r="H383" s="19">
        <f>SUMIFS('Stock Outflow'!$F$2:$F$601,'Stock Outflow'!$A$2:$A$601,$A383,'Stock Outflow'!$D$2:$D$601,$D383)</f>
        <v>43</v>
      </c>
      <c r="I383" s="19">
        <f>SUMIFS('Stock Outflow'!$E$2:$E$601,'Stock Outflow'!$A$2:$A$601,$A383,'Stock Outflow'!$D$2:$D$601,$D383)</f>
        <v>1</v>
      </c>
      <c r="J383" s="19">
        <f t="shared" si="30"/>
        <v>310</v>
      </c>
      <c r="K383" s="20">
        <f>INDEX('Item Master'!$F$2:$F$51,MATCH($A383,'Item Master'!$A$2:$A$51,0))</f>
        <v>500</v>
      </c>
      <c r="L383" s="20">
        <f t="shared" si="31"/>
        <v>21500</v>
      </c>
      <c r="M383" s="21">
        <f t="shared" si="32"/>
        <v>1.4333333333333333</v>
      </c>
      <c r="N383" s="19">
        <f>INDEX('Item Master'!$E$2:$E$51,MATCH($A383,'Item Master'!$A$2:$A$51,0))</f>
        <v>5</v>
      </c>
      <c r="O383" s="22">
        <f>INDEX('Product Summary'!$L$2:$L$51,MATCH($A383,'Product Summary'!$A$2:$A$51,0))</f>
        <v>2.8611111111111116</v>
      </c>
      <c r="P383" s="22">
        <f>INDEX('Product Summary'!$M$2:$M$51,MATCH($A383,'Product Summary'!$A$2:$A$51,0))</f>
        <v>7.1076864535768651</v>
      </c>
      <c r="Q383" s="22">
        <f t="shared" si="33"/>
        <v>216.27906976744185</v>
      </c>
      <c r="R383" s="22">
        <f t="shared" si="34"/>
        <v>211.32021875331844</v>
      </c>
      <c r="S383" s="19" t="str">
        <f t="shared" si="35"/>
        <v>OVERSTOCK</v>
      </c>
    </row>
    <row r="384" spans="1:19" x14ac:dyDescent="0.3">
      <c r="A384" s="19" t="s">
        <v>134</v>
      </c>
      <c r="B384" s="19" t="s">
        <v>135</v>
      </c>
      <c r="C384" s="19" t="s">
        <v>40</v>
      </c>
      <c r="D384" s="19" t="s">
        <v>47</v>
      </c>
      <c r="E384" s="19">
        <f>SUMIFS('Stock Inflow'!$G$2:$G$601,'Stock Inflow'!$A$2:$A$601,$A384,'Stock Inflow'!$D$2:$D$601,$D384)</f>
        <v>310</v>
      </c>
      <c r="F384" s="19">
        <f>SUMIFS('Stock Inflow'!$F$2:$F$601,'Stock Inflow'!$A$2:$A$601,$A384,'Stock Inflow'!$D$2:$D$601,$D384)</f>
        <v>35</v>
      </c>
      <c r="G384" s="19">
        <f>SUMIFS('Stock Inflow'!$E$2:$E$601,'Stock Inflow'!$A$2:$A$601,$A384,'Stock Inflow'!$D$2:$D$601,$D384)</f>
        <v>1</v>
      </c>
      <c r="H384" s="19">
        <f>SUMIFS('Stock Outflow'!$F$2:$F$601,'Stock Outflow'!$A$2:$A$601,$A384,'Stock Outflow'!$D$2:$D$601,$D384)</f>
        <v>28</v>
      </c>
      <c r="I384" s="19">
        <f>SUMIFS('Stock Outflow'!$E$2:$E$601,'Stock Outflow'!$A$2:$A$601,$A384,'Stock Outflow'!$D$2:$D$601,$D384)</f>
        <v>1</v>
      </c>
      <c r="J384" s="19">
        <f t="shared" si="30"/>
        <v>317</v>
      </c>
      <c r="K384" s="20">
        <f>INDEX('Item Master'!$F$2:$F$51,MATCH($A384,'Item Master'!$A$2:$A$51,0))</f>
        <v>500</v>
      </c>
      <c r="L384" s="20">
        <f t="shared" si="31"/>
        <v>14000</v>
      </c>
      <c r="M384" s="21">
        <f t="shared" si="32"/>
        <v>0.93333333333333335</v>
      </c>
      <c r="N384" s="19">
        <f>INDEX('Item Master'!$E$2:$E$51,MATCH($A384,'Item Master'!$A$2:$A$51,0))</f>
        <v>5</v>
      </c>
      <c r="O384" s="22">
        <f>INDEX('Product Summary'!$L$2:$L$51,MATCH($A384,'Product Summary'!$A$2:$A$51,0))</f>
        <v>2.8611111111111116</v>
      </c>
      <c r="P384" s="22">
        <f>INDEX('Product Summary'!$M$2:$M$51,MATCH($A384,'Product Summary'!$A$2:$A$51,0))</f>
        <v>7.1076864535768651</v>
      </c>
      <c r="Q384" s="22">
        <f t="shared" si="33"/>
        <v>339.64285714285711</v>
      </c>
      <c r="R384" s="22">
        <f t="shared" si="34"/>
        <v>332.02747879973901</v>
      </c>
      <c r="S384" s="19" t="str">
        <f t="shared" si="35"/>
        <v>OVERSTOCK</v>
      </c>
    </row>
    <row r="385" spans="1:19" x14ac:dyDescent="0.3">
      <c r="A385" s="19" t="s">
        <v>134</v>
      </c>
      <c r="B385" s="19" t="s">
        <v>135</v>
      </c>
      <c r="C385" s="19" t="s">
        <v>40</v>
      </c>
      <c r="D385" s="19" t="s">
        <v>49</v>
      </c>
      <c r="E385" s="19">
        <f>SUMIFS('Stock Inflow'!$G$2:$G$601,'Stock Inflow'!$A$2:$A$601,$A385,'Stock Inflow'!$D$2:$D$601,$D385)</f>
        <v>317</v>
      </c>
      <c r="F385" s="19">
        <f>SUMIFS('Stock Inflow'!$F$2:$F$601,'Stock Inflow'!$A$2:$A$601,$A385,'Stock Inflow'!$D$2:$D$601,$D385)</f>
        <v>19</v>
      </c>
      <c r="G385" s="19">
        <f>SUMIFS('Stock Inflow'!$E$2:$E$601,'Stock Inflow'!$A$2:$A$601,$A385,'Stock Inflow'!$D$2:$D$601,$D385)</f>
        <v>1</v>
      </c>
      <c r="H385" s="19">
        <f>SUMIFS('Stock Outflow'!$F$2:$F$601,'Stock Outflow'!$A$2:$A$601,$A385,'Stock Outflow'!$D$2:$D$601,$D385)</f>
        <v>21</v>
      </c>
      <c r="I385" s="19">
        <f>SUMIFS('Stock Outflow'!$E$2:$E$601,'Stock Outflow'!$A$2:$A$601,$A385,'Stock Outflow'!$D$2:$D$601,$D385)</f>
        <v>0</v>
      </c>
      <c r="J385" s="19">
        <f t="shared" si="30"/>
        <v>316</v>
      </c>
      <c r="K385" s="20">
        <f>INDEX('Item Master'!$F$2:$F$51,MATCH($A385,'Item Master'!$A$2:$A$51,0))</f>
        <v>500</v>
      </c>
      <c r="L385" s="20">
        <f t="shared" si="31"/>
        <v>10500</v>
      </c>
      <c r="M385" s="21">
        <f t="shared" si="32"/>
        <v>0.7</v>
      </c>
      <c r="N385" s="19">
        <f>INDEX('Item Master'!$E$2:$E$51,MATCH($A385,'Item Master'!$A$2:$A$51,0))</f>
        <v>5</v>
      </c>
      <c r="O385" s="22">
        <f>INDEX('Product Summary'!$L$2:$L$51,MATCH($A385,'Product Summary'!$A$2:$A$51,0))</f>
        <v>2.8611111111111116</v>
      </c>
      <c r="P385" s="22">
        <f>INDEX('Product Summary'!$M$2:$M$51,MATCH($A385,'Product Summary'!$A$2:$A$51,0))</f>
        <v>7.1076864535768651</v>
      </c>
      <c r="Q385" s="22">
        <f t="shared" si="33"/>
        <v>451.42857142857144</v>
      </c>
      <c r="R385" s="22">
        <f t="shared" si="34"/>
        <v>441.27473363774732</v>
      </c>
      <c r="S385" s="19" t="str">
        <f t="shared" si="35"/>
        <v>OVERSTOCK</v>
      </c>
    </row>
    <row r="386" spans="1:19" x14ac:dyDescent="0.3">
      <c r="A386" s="19" t="s">
        <v>136</v>
      </c>
      <c r="B386" s="19" t="s">
        <v>137</v>
      </c>
      <c r="C386" s="19" t="s">
        <v>40</v>
      </c>
      <c r="D386" s="19" t="s">
        <v>27</v>
      </c>
      <c r="E386" s="19">
        <f>SUMIFS('Stock Inflow'!$G$2:$G$601,'Stock Inflow'!$A$2:$A$601,$A386,'Stock Inflow'!$D$2:$D$601,$D386)</f>
        <v>396</v>
      </c>
      <c r="F386" s="19">
        <f>SUMIFS('Stock Inflow'!$F$2:$F$601,'Stock Inflow'!$A$2:$A$601,$A386,'Stock Inflow'!$D$2:$D$601,$D386)</f>
        <v>35</v>
      </c>
      <c r="G386" s="19">
        <f>SUMIFS('Stock Inflow'!$E$2:$E$601,'Stock Inflow'!$A$2:$A$601,$A386,'Stock Inflow'!$D$2:$D$601,$D386)</f>
        <v>1</v>
      </c>
      <c r="H386" s="19">
        <f>SUMIFS('Stock Outflow'!$F$2:$F$601,'Stock Outflow'!$A$2:$A$601,$A386,'Stock Outflow'!$D$2:$D$601,$D386)</f>
        <v>32</v>
      </c>
      <c r="I386" s="19">
        <f>SUMIFS('Stock Outflow'!$E$2:$E$601,'Stock Outflow'!$A$2:$A$601,$A386,'Stock Outflow'!$D$2:$D$601,$D386)</f>
        <v>0</v>
      </c>
      <c r="J386" s="19">
        <f t="shared" ref="J386:J449" si="36">E386+F386+G386-H386-I386</f>
        <v>400</v>
      </c>
      <c r="K386" s="20">
        <f>INDEX('Item Master'!$F$2:$F$51,MATCH($A386,'Item Master'!$A$2:$A$51,0))</f>
        <v>400</v>
      </c>
      <c r="L386" s="20">
        <f t="shared" ref="L386:L449" si="37">H386*K386</f>
        <v>12800</v>
      </c>
      <c r="M386" s="21">
        <f t="shared" ref="M386:M449" si="38">H386/30</f>
        <v>1.0666666666666667</v>
      </c>
      <c r="N386" s="19">
        <f>INDEX('Item Master'!$E$2:$E$51,MATCH($A386,'Item Master'!$A$2:$A$51,0))</f>
        <v>7</v>
      </c>
      <c r="O386" s="22">
        <f>INDEX('Product Summary'!$L$2:$L$51,MATCH($A386,'Product Summary'!$A$2:$A$51,0))</f>
        <v>3.2666666666666666</v>
      </c>
      <c r="P386" s="22">
        <f>INDEX('Product Summary'!$M$2:$M$51,MATCH($A386,'Product Summary'!$A$2:$A$51,0))</f>
        <v>10.861187214611871</v>
      </c>
      <c r="Q386" s="22">
        <f t="shared" ref="Q386:Q449" si="39">IF(M386=0,"",J386/M386)</f>
        <v>375</v>
      </c>
      <c r="R386" s="22">
        <f t="shared" ref="R386:R449" si="40">IF(M386=0,"",IF(J386&lt;=P386,0,(J386-P386)/M386))</f>
        <v>364.81763698630141</v>
      </c>
      <c r="S386" s="19" t="str">
        <f t="shared" ref="S386:S449" si="41">IF(J386&lt;=P386,"REORDER NOW",IF(IFERROR(Q386,0)&gt;150,"OVERSTOCK","HEALTHY"))</f>
        <v>OVERSTOCK</v>
      </c>
    </row>
    <row r="387" spans="1:19" x14ac:dyDescent="0.3">
      <c r="A387" s="19" t="s">
        <v>136</v>
      </c>
      <c r="B387" s="19" t="s">
        <v>137</v>
      </c>
      <c r="C387" s="19" t="s">
        <v>40</v>
      </c>
      <c r="D387" s="19" t="s">
        <v>29</v>
      </c>
      <c r="E387" s="19">
        <f>SUMIFS('Stock Inflow'!$G$2:$G$601,'Stock Inflow'!$A$2:$A$601,$A387,'Stock Inflow'!$D$2:$D$601,$D387)</f>
        <v>400</v>
      </c>
      <c r="F387" s="19">
        <f>SUMIFS('Stock Inflow'!$F$2:$F$601,'Stock Inflow'!$A$2:$A$601,$A387,'Stock Inflow'!$D$2:$D$601,$D387)</f>
        <v>38</v>
      </c>
      <c r="G387" s="19">
        <f>SUMIFS('Stock Inflow'!$E$2:$E$601,'Stock Inflow'!$A$2:$A$601,$A387,'Stock Inflow'!$D$2:$D$601,$D387)</f>
        <v>1</v>
      </c>
      <c r="H387" s="19">
        <f>SUMIFS('Stock Outflow'!$F$2:$F$601,'Stock Outflow'!$A$2:$A$601,$A387,'Stock Outflow'!$D$2:$D$601,$D387)</f>
        <v>35</v>
      </c>
      <c r="I387" s="19">
        <f>SUMIFS('Stock Outflow'!$E$2:$E$601,'Stock Outflow'!$A$2:$A$601,$A387,'Stock Outflow'!$D$2:$D$601,$D387)</f>
        <v>1</v>
      </c>
      <c r="J387" s="19">
        <f t="shared" si="36"/>
        <v>403</v>
      </c>
      <c r="K387" s="20">
        <f>INDEX('Item Master'!$F$2:$F$51,MATCH($A387,'Item Master'!$A$2:$A$51,0))</f>
        <v>400</v>
      </c>
      <c r="L387" s="20">
        <f t="shared" si="37"/>
        <v>14000</v>
      </c>
      <c r="M387" s="21">
        <f t="shared" si="38"/>
        <v>1.1666666666666667</v>
      </c>
      <c r="N387" s="19">
        <f>INDEX('Item Master'!$E$2:$E$51,MATCH($A387,'Item Master'!$A$2:$A$51,0))</f>
        <v>7</v>
      </c>
      <c r="O387" s="22">
        <f>INDEX('Product Summary'!$L$2:$L$51,MATCH($A387,'Product Summary'!$A$2:$A$51,0))</f>
        <v>3.2666666666666666</v>
      </c>
      <c r="P387" s="22">
        <f>INDEX('Product Summary'!$M$2:$M$51,MATCH($A387,'Product Summary'!$A$2:$A$51,0))</f>
        <v>10.861187214611871</v>
      </c>
      <c r="Q387" s="22">
        <f t="shared" si="39"/>
        <v>345.42857142857139</v>
      </c>
      <c r="R387" s="22">
        <f t="shared" si="40"/>
        <v>336.11898238747551</v>
      </c>
      <c r="S387" s="19" t="str">
        <f t="shared" si="41"/>
        <v>OVERSTOCK</v>
      </c>
    </row>
    <row r="388" spans="1:19" x14ac:dyDescent="0.3">
      <c r="A388" s="19" t="s">
        <v>136</v>
      </c>
      <c r="B388" s="19" t="s">
        <v>137</v>
      </c>
      <c r="C388" s="19" t="s">
        <v>40</v>
      </c>
      <c r="D388" s="19" t="s">
        <v>31</v>
      </c>
      <c r="E388" s="19">
        <f>SUMIFS('Stock Inflow'!$G$2:$G$601,'Stock Inflow'!$A$2:$A$601,$A388,'Stock Inflow'!$D$2:$D$601,$D388)</f>
        <v>403</v>
      </c>
      <c r="F388" s="19">
        <f>SUMIFS('Stock Inflow'!$F$2:$F$601,'Stock Inflow'!$A$2:$A$601,$A388,'Stock Inflow'!$D$2:$D$601,$D388)</f>
        <v>27</v>
      </c>
      <c r="G388" s="19">
        <f>SUMIFS('Stock Inflow'!$E$2:$E$601,'Stock Inflow'!$A$2:$A$601,$A388,'Stock Inflow'!$D$2:$D$601,$D388)</f>
        <v>0</v>
      </c>
      <c r="H388" s="19">
        <f>SUMIFS('Stock Outflow'!$F$2:$F$601,'Stock Outflow'!$A$2:$A$601,$A388,'Stock Outflow'!$D$2:$D$601,$D388)</f>
        <v>29</v>
      </c>
      <c r="I388" s="19">
        <f>SUMIFS('Stock Outflow'!$E$2:$E$601,'Stock Outflow'!$A$2:$A$601,$A388,'Stock Outflow'!$D$2:$D$601,$D388)</f>
        <v>0</v>
      </c>
      <c r="J388" s="19">
        <f t="shared" si="36"/>
        <v>401</v>
      </c>
      <c r="K388" s="20">
        <f>INDEX('Item Master'!$F$2:$F$51,MATCH($A388,'Item Master'!$A$2:$A$51,0))</f>
        <v>400</v>
      </c>
      <c r="L388" s="20">
        <f t="shared" si="37"/>
        <v>11600</v>
      </c>
      <c r="M388" s="21">
        <f t="shared" si="38"/>
        <v>0.96666666666666667</v>
      </c>
      <c r="N388" s="19">
        <f>INDEX('Item Master'!$E$2:$E$51,MATCH($A388,'Item Master'!$A$2:$A$51,0))</f>
        <v>7</v>
      </c>
      <c r="O388" s="22">
        <f>INDEX('Product Summary'!$L$2:$L$51,MATCH($A388,'Product Summary'!$A$2:$A$51,0))</f>
        <v>3.2666666666666666</v>
      </c>
      <c r="P388" s="22">
        <f>INDEX('Product Summary'!$M$2:$M$51,MATCH($A388,'Product Summary'!$A$2:$A$51,0))</f>
        <v>10.861187214611871</v>
      </c>
      <c r="Q388" s="22">
        <f t="shared" si="39"/>
        <v>414.82758620689657</v>
      </c>
      <c r="R388" s="22">
        <f t="shared" si="40"/>
        <v>403.5918752952291</v>
      </c>
      <c r="S388" s="19" t="str">
        <f t="shared" si="41"/>
        <v>OVERSTOCK</v>
      </c>
    </row>
    <row r="389" spans="1:19" x14ac:dyDescent="0.3">
      <c r="A389" s="19" t="s">
        <v>136</v>
      </c>
      <c r="B389" s="19" t="s">
        <v>137</v>
      </c>
      <c r="C389" s="19" t="s">
        <v>40</v>
      </c>
      <c r="D389" s="19" t="s">
        <v>33</v>
      </c>
      <c r="E389" s="19">
        <f>SUMIFS('Stock Inflow'!$G$2:$G$601,'Stock Inflow'!$A$2:$A$601,$A389,'Stock Inflow'!$D$2:$D$601,$D389)</f>
        <v>401</v>
      </c>
      <c r="F389" s="19">
        <f>SUMIFS('Stock Inflow'!$F$2:$F$601,'Stock Inflow'!$A$2:$A$601,$A389,'Stock Inflow'!$D$2:$D$601,$D389)</f>
        <v>30</v>
      </c>
      <c r="G389" s="19">
        <f>SUMIFS('Stock Inflow'!$E$2:$E$601,'Stock Inflow'!$A$2:$A$601,$A389,'Stock Inflow'!$D$2:$D$601,$D389)</f>
        <v>1</v>
      </c>
      <c r="H389" s="19">
        <f>SUMIFS('Stock Outflow'!$F$2:$F$601,'Stock Outflow'!$A$2:$A$601,$A389,'Stock Outflow'!$D$2:$D$601,$D389)</f>
        <v>31</v>
      </c>
      <c r="I389" s="19">
        <f>SUMIFS('Stock Outflow'!$E$2:$E$601,'Stock Outflow'!$A$2:$A$601,$A389,'Stock Outflow'!$D$2:$D$601,$D389)</f>
        <v>0</v>
      </c>
      <c r="J389" s="19">
        <f t="shared" si="36"/>
        <v>401</v>
      </c>
      <c r="K389" s="20">
        <f>INDEX('Item Master'!$F$2:$F$51,MATCH($A389,'Item Master'!$A$2:$A$51,0))</f>
        <v>400</v>
      </c>
      <c r="L389" s="20">
        <f t="shared" si="37"/>
        <v>12400</v>
      </c>
      <c r="M389" s="21">
        <f t="shared" si="38"/>
        <v>1.0333333333333334</v>
      </c>
      <c r="N389" s="19">
        <f>INDEX('Item Master'!$E$2:$E$51,MATCH($A389,'Item Master'!$A$2:$A$51,0))</f>
        <v>7</v>
      </c>
      <c r="O389" s="22">
        <f>INDEX('Product Summary'!$L$2:$L$51,MATCH($A389,'Product Summary'!$A$2:$A$51,0))</f>
        <v>3.2666666666666666</v>
      </c>
      <c r="P389" s="22">
        <f>INDEX('Product Summary'!$M$2:$M$51,MATCH($A389,'Product Summary'!$A$2:$A$51,0))</f>
        <v>10.861187214611871</v>
      </c>
      <c r="Q389" s="22">
        <f t="shared" si="39"/>
        <v>388.0645161290322</v>
      </c>
      <c r="R389" s="22">
        <f t="shared" si="40"/>
        <v>377.5536897923111</v>
      </c>
      <c r="S389" s="19" t="str">
        <f t="shared" si="41"/>
        <v>OVERSTOCK</v>
      </c>
    </row>
    <row r="390" spans="1:19" x14ac:dyDescent="0.3">
      <c r="A390" s="19" t="s">
        <v>136</v>
      </c>
      <c r="B390" s="19" t="s">
        <v>137</v>
      </c>
      <c r="C390" s="19" t="s">
        <v>40</v>
      </c>
      <c r="D390" s="19" t="s">
        <v>35</v>
      </c>
      <c r="E390" s="19">
        <f>SUMIFS('Stock Inflow'!$G$2:$G$601,'Stock Inflow'!$A$2:$A$601,$A390,'Stock Inflow'!$D$2:$D$601,$D390)</f>
        <v>401</v>
      </c>
      <c r="F390" s="19">
        <f>SUMIFS('Stock Inflow'!$F$2:$F$601,'Stock Inflow'!$A$2:$A$601,$A390,'Stock Inflow'!$D$2:$D$601,$D390)</f>
        <v>39</v>
      </c>
      <c r="G390" s="19">
        <f>SUMIFS('Stock Inflow'!$E$2:$E$601,'Stock Inflow'!$A$2:$A$601,$A390,'Stock Inflow'!$D$2:$D$601,$D390)</f>
        <v>1</v>
      </c>
      <c r="H390" s="19">
        <f>SUMIFS('Stock Outflow'!$F$2:$F$601,'Stock Outflow'!$A$2:$A$601,$A390,'Stock Outflow'!$D$2:$D$601,$D390)</f>
        <v>33</v>
      </c>
      <c r="I390" s="19">
        <f>SUMIFS('Stock Outflow'!$E$2:$E$601,'Stock Outflow'!$A$2:$A$601,$A390,'Stock Outflow'!$D$2:$D$601,$D390)</f>
        <v>1</v>
      </c>
      <c r="J390" s="19">
        <f t="shared" si="36"/>
        <v>407</v>
      </c>
      <c r="K390" s="20">
        <f>INDEX('Item Master'!$F$2:$F$51,MATCH($A390,'Item Master'!$A$2:$A$51,0))</f>
        <v>400</v>
      </c>
      <c r="L390" s="20">
        <f t="shared" si="37"/>
        <v>13200</v>
      </c>
      <c r="M390" s="21">
        <f t="shared" si="38"/>
        <v>1.1000000000000001</v>
      </c>
      <c r="N390" s="19">
        <f>INDEX('Item Master'!$E$2:$E$51,MATCH($A390,'Item Master'!$A$2:$A$51,0))</f>
        <v>7</v>
      </c>
      <c r="O390" s="22">
        <f>INDEX('Product Summary'!$L$2:$L$51,MATCH($A390,'Product Summary'!$A$2:$A$51,0))</f>
        <v>3.2666666666666666</v>
      </c>
      <c r="P390" s="22">
        <f>INDEX('Product Summary'!$M$2:$M$51,MATCH($A390,'Product Summary'!$A$2:$A$51,0))</f>
        <v>10.861187214611871</v>
      </c>
      <c r="Q390" s="22">
        <f t="shared" si="39"/>
        <v>369.99999999999994</v>
      </c>
      <c r="R390" s="22">
        <f t="shared" si="40"/>
        <v>360.12619344126193</v>
      </c>
      <c r="S390" s="19" t="str">
        <f t="shared" si="41"/>
        <v>OVERSTOCK</v>
      </c>
    </row>
    <row r="391" spans="1:19" x14ac:dyDescent="0.3">
      <c r="A391" s="19" t="s">
        <v>136</v>
      </c>
      <c r="B391" s="19" t="s">
        <v>137</v>
      </c>
      <c r="C391" s="19" t="s">
        <v>40</v>
      </c>
      <c r="D391" s="19" t="s">
        <v>37</v>
      </c>
      <c r="E391" s="19">
        <f>SUMIFS('Stock Inflow'!$G$2:$G$601,'Stock Inflow'!$A$2:$A$601,$A391,'Stock Inflow'!$D$2:$D$601,$D391)</f>
        <v>407</v>
      </c>
      <c r="F391" s="19">
        <f>SUMIFS('Stock Inflow'!$F$2:$F$601,'Stock Inflow'!$A$2:$A$601,$A391,'Stock Inflow'!$D$2:$D$601,$D391)</f>
        <v>29</v>
      </c>
      <c r="G391" s="19">
        <f>SUMIFS('Stock Inflow'!$E$2:$E$601,'Stock Inflow'!$A$2:$A$601,$A391,'Stock Inflow'!$D$2:$D$601,$D391)</f>
        <v>1</v>
      </c>
      <c r="H391" s="19">
        <f>SUMIFS('Stock Outflow'!$F$2:$F$601,'Stock Outflow'!$A$2:$A$601,$A391,'Stock Outflow'!$D$2:$D$601,$D391)</f>
        <v>28</v>
      </c>
      <c r="I391" s="19">
        <f>SUMIFS('Stock Outflow'!$E$2:$E$601,'Stock Outflow'!$A$2:$A$601,$A391,'Stock Outflow'!$D$2:$D$601,$D391)</f>
        <v>0</v>
      </c>
      <c r="J391" s="19">
        <f t="shared" si="36"/>
        <v>409</v>
      </c>
      <c r="K391" s="20">
        <f>INDEX('Item Master'!$F$2:$F$51,MATCH($A391,'Item Master'!$A$2:$A$51,0))</f>
        <v>400</v>
      </c>
      <c r="L391" s="20">
        <f t="shared" si="37"/>
        <v>11200</v>
      </c>
      <c r="M391" s="21">
        <f t="shared" si="38"/>
        <v>0.93333333333333335</v>
      </c>
      <c r="N391" s="19">
        <f>INDEX('Item Master'!$E$2:$E$51,MATCH($A391,'Item Master'!$A$2:$A$51,0))</f>
        <v>7</v>
      </c>
      <c r="O391" s="22">
        <f>INDEX('Product Summary'!$L$2:$L$51,MATCH($A391,'Product Summary'!$A$2:$A$51,0))</f>
        <v>3.2666666666666666</v>
      </c>
      <c r="P391" s="22">
        <f>INDEX('Product Summary'!$M$2:$M$51,MATCH($A391,'Product Summary'!$A$2:$A$51,0))</f>
        <v>10.861187214611871</v>
      </c>
      <c r="Q391" s="22">
        <f t="shared" si="39"/>
        <v>438.21428571428572</v>
      </c>
      <c r="R391" s="22">
        <f t="shared" si="40"/>
        <v>426.57729941291586</v>
      </c>
      <c r="S391" s="19" t="str">
        <f t="shared" si="41"/>
        <v>OVERSTOCK</v>
      </c>
    </row>
    <row r="392" spans="1:19" x14ac:dyDescent="0.3">
      <c r="A392" s="19" t="s">
        <v>136</v>
      </c>
      <c r="B392" s="19" t="s">
        <v>137</v>
      </c>
      <c r="C392" s="19" t="s">
        <v>40</v>
      </c>
      <c r="D392" s="19" t="s">
        <v>39</v>
      </c>
      <c r="E392" s="19">
        <f>SUMIFS('Stock Inflow'!$G$2:$G$601,'Stock Inflow'!$A$2:$A$601,$A392,'Stock Inflow'!$D$2:$D$601,$D392)</f>
        <v>409</v>
      </c>
      <c r="F392" s="19">
        <f>SUMIFS('Stock Inflow'!$F$2:$F$601,'Stock Inflow'!$A$2:$A$601,$A392,'Stock Inflow'!$D$2:$D$601,$D392)</f>
        <v>31</v>
      </c>
      <c r="G392" s="19">
        <f>SUMIFS('Stock Inflow'!$E$2:$E$601,'Stock Inflow'!$A$2:$A$601,$A392,'Stock Inflow'!$D$2:$D$601,$D392)</f>
        <v>1</v>
      </c>
      <c r="H392" s="19">
        <f>SUMIFS('Stock Outflow'!$F$2:$F$601,'Stock Outflow'!$A$2:$A$601,$A392,'Stock Outflow'!$D$2:$D$601,$D392)</f>
        <v>31</v>
      </c>
      <c r="I392" s="19">
        <f>SUMIFS('Stock Outflow'!$E$2:$E$601,'Stock Outflow'!$A$2:$A$601,$A392,'Stock Outflow'!$D$2:$D$601,$D392)</f>
        <v>0</v>
      </c>
      <c r="J392" s="19">
        <f t="shared" si="36"/>
        <v>410</v>
      </c>
      <c r="K392" s="20">
        <f>INDEX('Item Master'!$F$2:$F$51,MATCH($A392,'Item Master'!$A$2:$A$51,0))</f>
        <v>400</v>
      </c>
      <c r="L392" s="20">
        <f t="shared" si="37"/>
        <v>12400</v>
      </c>
      <c r="M392" s="21">
        <f t="shared" si="38"/>
        <v>1.0333333333333334</v>
      </c>
      <c r="N392" s="19">
        <f>INDEX('Item Master'!$E$2:$E$51,MATCH($A392,'Item Master'!$A$2:$A$51,0))</f>
        <v>7</v>
      </c>
      <c r="O392" s="22">
        <f>INDEX('Product Summary'!$L$2:$L$51,MATCH($A392,'Product Summary'!$A$2:$A$51,0))</f>
        <v>3.2666666666666666</v>
      </c>
      <c r="P392" s="22">
        <f>INDEX('Product Summary'!$M$2:$M$51,MATCH($A392,'Product Summary'!$A$2:$A$51,0))</f>
        <v>10.861187214611871</v>
      </c>
      <c r="Q392" s="22">
        <f t="shared" si="39"/>
        <v>396.77419354838707</v>
      </c>
      <c r="R392" s="22">
        <f t="shared" si="40"/>
        <v>386.26336721166592</v>
      </c>
      <c r="S392" s="19" t="str">
        <f t="shared" si="41"/>
        <v>OVERSTOCK</v>
      </c>
    </row>
    <row r="393" spans="1:19" x14ac:dyDescent="0.3">
      <c r="A393" s="19" t="s">
        <v>136</v>
      </c>
      <c r="B393" s="19" t="s">
        <v>137</v>
      </c>
      <c r="C393" s="19" t="s">
        <v>40</v>
      </c>
      <c r="D393" s="19" t="s">
        <v>41</v>
      </c>
      <c r="E393" s="19">
        <f>SUMIFS('Stock Inflow'!$G$2:$G$601,'Stock Inflow'!$A$2:$A$601,$A393,'Stock Inflow'!$D$2:$D$601,$D393)</f>
        <v>410</v>
      </c>
      <c r="F393" s="19">
        <f>SUMIFS('Stock Inflow'!$F$2:$F$601,'Stock Inflow'!$A$2:$A$601,$A393,'Stock Inflow'!$D$2:$D$601,$D393)</f>
        <v>31</v>
      </c>
      <c r="G393" s="19">
        <f>SUMIFS('Stock Inflow'!$E$2:$E$601,'Stock Inflow'!$A$2:$A$601,$A393,'Stock Inflow'!$D$2:$D$601,$D393)</f>
        <v>1</v>
      </c>
      <c r="H393" s="19">
        <f>SUMIFS('Stock Outflow'!$F$2:$F$601,'Stock Outflow'!$A$2:$A$601,$A393,'Stock Outflow'!$D$2:$D$601,$D393)</f>
        <v>29</v>
      </c>
      <c r="I393" s="19">
        <f>SUMIFS('Stock Outflow'!$E$2:$E$601,'Stock Outflow'!$A$2:$A$601,$A393,'Stock Outflow'!$D$2:$D$601,$D393)</f>
        <v>0</v>
      </c>
      <c r="J393" s="19">
        <f t="shared" si="36"/>
        <v>413</v>
      </c>
      <c r="K393" s="20">
        <f>INDEX('Item Master'!$F$2:$F$51,MATCH($A393,'Item Master'!$A$2:$A$51,0))</f>
        <v>400</v>
      </c>
      <c r="L393" s="20">
        <f t="shared" si="37"/>
        <v>11600</v>
      </c>
      <c r="M393" s="21">
        <f t="shared" si="38"/>
        <v>0.96666666666666667</v>
      </c>
      <c r="N393" s="19">
        <f>INDEX('Item Master'!$E$2:$E$51,MATCH($A393,'Item Master'!$A$2:$A$51,0))</f>
        <v>7</v>
      </c>
      <c r="O393" s="22">
        <f>INDEX('Product Summary'!$L$2:$L$51,MATCH($A393,'Product Summary'!$A$2:$A$51,0))</f>
        <v>3.2666666666666666</v>
      </c>
      <c r="P393" s="22">
        <f>INDEX('Product Summary'!$M$2:$M$51,MATCH($A393,'Product Summary'!$A$2:$A$51,0))</f>
        <v>10.861187214611871</v>
      </c>
      <c r="Q393" s="22">
        <f t="shared" si="39"/>
        <v>427.24137931034483</v>
      </c>
      <c r="R393" s="22">
        <f t="shared" si="40"/>
        <v>416.00566839867741</v>
      </c>
      <c r="S393" s="19" t="str">
        <f t="shared" si="41"/>
        <v>OVERSTOCK</v>
      </c>
    </row>
    <row r="394" spans="1:19" x14ac:dyDescent="0.3">
      <c r="A394" s="19" t="s">
        <v>136</v>
      </c>
      <c r="B394" s="19" t="s">
        <v>137</v>
      </c>
      <c r="C394" s="19" t="s">
        <v>40</v>
      </c>
      <c r="D394" s="19" t="s">
        <v>43</v>
      </c>
      <c r="E394" s="19">
        <f>SUMIFS('Stock Inflow'!$G$2:$G$601,'Stock Inflow'!$A$2:$A$601,$A394,'Stock Inflow'!$D$2:$D$601,$D394)</f>
        <v>413</v>
      </c>
      <c r="F394" s="19">
        <f>SUMIFS('Stock Inflow'!$F$2:$F$601,'Stock Inflow'!$A$2:$A$601,$A394,'Stock Inflow'!$D$2:$D$601,$D394)</f>
        <v>33</v>
      </c>
      <c r="G394" s="19">
        <f>SUMIFS('Stock Inflow'!$E$2:$E$601,'Stock Inflow'!$A$2:$A$601,$A394,'Stock Inflow'!$D$2:$D$601,$D394)</f>
        <v>1</v>
      </c>
      <c r="H394" s="19">
        <f>SUMIFS('Stock Outflow'!$F$2:$F$601,'Stock Outflow'!$A$2:$A$601,$A394,'Stock Outflow'!$D$2:$D$601,$D394)</f>
        <v>34</v>
      </c>
      <c r="I394" s="19">
        <f>SUMIFS('Stock Outflow'!$E$2:$E$601,'Stock Outflow'!$A$2:$A$601,$A394,'Stock Outflow'!$D$2:$D$601,$D394)</f>
        <v>1</v>
      </c>
      <c r="J394" s="19">
        <f t="shared" si="36"/>
        <v>412</v>
      </c>
      <c r="K394" s="20">
        <f>INDEX('Item Master'!$F$2:$F$51,MATCH($A394,'Item Master'!$A$2:$A$51,0))</f>
        <v>400</v>
      </c>
      <c r="L394" s="20">
        <f t="shared" si="37"/>
        <v>13600</v>
      </c>
      <c r="M394" s="21">
        <f t="shared" si="38"/>
        <v>1.1333333333333333</v>
      </c>
      <c r="N394" s="19">
        <f>INDEX('Item Master'!$E$2:$E$51,MATCH($A394,'Item Master'!$A$2:$A$51,0))</f>
        <v>7</v>
      </c>
      <c r="O394" s="22">
        <f>INDEX('Product Summary'!$L$2:$L$51,MATCH($A394,'Product Summary'!$A$2:$A$51,0))</f>
        <v>3.2666666666666666</v>
      </c>
      <c r="P394" s="22">
        <f>INDEX('Product Summary'!$M$2:$M$51,MATCH($A394,'Product Summary'!$A$2:$A$51,0))</f>
        <v>10.861187214611871</v>
      </c>
      <c r="Q394" s="22">
        <f t="shared" si="39"/>
        <v>363.52941176470591</v>
      </c>
      <c r="R394" s="22">
        <f t="shared" si="40"/>
        <v>353.94601128122486</v>
      </c>
      <c r="S394" s="19" t="str">
        <f t="shared" si="41"/>
        <v>OVERSTOCK</v>
      </c>
    </row>
    <row r="395" spans="1:19" x14ac:dyDescent="0.3">
      <c r="A395" s="19" t="s">
        <v>136</v>
      </c>
      <c r="B395" s="19" t="s">
        <v>137</v>
      </c>
      <c r="C395" s="19" t="s">
        <v>40</v>
      </c>
      <c r="D395" s="19" t="s">
        <v>45</v>
      </c>
      <c r="E395" s="19">
        <f>SUMIFS('Stock Inflow'!$G$2:$G$601,'Stock Inflow'!$A$2:$A$601,$A395,'Stock Inflow'!$D$2:$D$601,$D395)</f>
        <v>412</v>
      </c>
      <c r="F395" s="19">
        <f>SUMIFS('Stock Inflow'!$F$2:$F$601,'Stock Inflow'!$A$2:$A$601,$A395,'Stock Inflow'!$D$2:$D$601,$D395)</f>
        <v>57</v>
      </c>
      <c r="G395" s="19">
        <f>SUMIFS('Stock Inflow'!$E$2:$E$601,'Stock Inflow'!$A$2:$A$601,$A395,'Stock Inflow'!$D$2:$D$601,$D395)</f>
        <v>1</v>
      </c>
      <c r="H395" s="19">
        <f>SUMIFS('Stock Outflow'!$F$2:$F$601,'Stock Outflow'!$A$2:$A$601,$A395,'Stock Outflow'!$D$2:$D$601,$D395)</f>
        <v>47</v>
      </c>
      <c r="I395" s="19">
        <f>SUMIFS('Stock Outflow'!$E$2:$E$601,'Stock Outflow'!$A$2:$A$601,$A395,'Stock Outflow'!$D$2:$D$601,$D395)</f>
        <v>1</v>
      </c>
      <c r="J395" s="19">
        <f t="shared" si="36"/>
        <v>422</v>
      </c>
      <c r="K395" s="20">
        <f>INDEX('Item Master'!$F$2:$F$51,MATCH($A395,'Item Master'!$A$2:$A$51,0))</f>
        <v>400</v>
      </c>
      <c r="L395" s="20">
        <f t="shared" si="37"/>
        <v>18800</v>
      </c>
      <c r="M395" s="21">
        <f t="shared" si="38"/>
        <v>1.5666666666666667</v>
      </c>
      <c r="N395" s="19">
        <f>INDEX('Item Master'!$E$2:$E$51,MATCH($A395,'Item Master'!$A$2:$A$51,0))</f>
        <v>7</v>
      </c>
      <c r="O395" s="22">
        <f>INDEX('Product Summary'!$L$2:$L$51,MATCH($A395,'Product Summary'!$A$2:$A$51,0))</f>
        <v>3.2666666666666666</v>
      </c>
      <c r="P395" s="22">
        <f>INDEX('Product Summary'!$M$2:$M$51,MATCH($A395,'Product Summary'!$A$2:$A$51,0))</f>
        <v>10.861187214611871</v>
      </c>
      <c r="Q395" s="22">
        <f t="shared" si="39"/>
        <v>269.36170212765956</v>
      </c>
      <c r="R395" s="22">
        <f t="shared" si="40"/>
        <v>262.4290294374818</v>
      </c>
      <c r="S395" s="19" t="str">
        <f t="shared" si="41"/>
        <v>OVERSTOCK</v>
      </c>
    </row>
    <row r="396" spans="1:19" x14ac:dyDescent="0.3">
      <c r="A396" s="19" t="s">
        <v>136</v>
      </c>
      <c r="B396" s="19" t="s">
        <v>137</v>
      </c>
      <c r="C396" s="19" t="s">
        <v>40</v>
      </c>
      <c r="D396" s="19" t="s">
        <v>47</v>
      </c>
      <c r="E396" s="19">
        <f>SUMIFS('Stock Inflow'!$G$2:$G$601,'Stock Inflow'!$A$2:$A$601,$A396,'Stock Inflow'!$D$2:$D$601,$D396)</f>
        <v>422</v>
      </c>
      <c r="F396" s="19">
        <f>SUMIFS('Stock Inflow'!$F$2:$F$601,'Stock Inflow'!$A$2:$A$601,$A396,'Stock Inflow'!$D$2:$D$601,$D396)</f>
        <v>37</v>
      </c>
      <c r="G396" s="19">
        <f>SUMIFS('Stock Inflow'!$E$2:$E$601,'Stock Inflow'!$A$2:$A$601,$A396,'Stock Inflow'!$D$2:$D$601,$D396)</f>
        <v>0</v>
      </c>
      <c r="H396" s="19">
        <f>SUMIFS('Stock Outflow'!$F$2:$F$601,'Stock Outflow'!$A$2:$A$601,$A396,'Stock Outflow'!$D$2:$D$601,$D396)</f>
        <v>36</v>
      </c>
      <c r="I396" s="19">
        <f>SUMIFS('Stock Outflow'!$E$2:$E$601,'Stock Outflow'!$A$2:$A$601,$A396,'Stock Outflow'!$D$2:$D$601,$D396)</f>
        <v>1</v>
      </c>
      <c r="J396" s="19">
        <f t="shared" si="36"/>
        <v>422</v>
      </c>
      <c r="K396" s="20">
        <f>INDEX('Item Master'!$F$2:$F$51,MATCH($A396,'Item Master'!$A$2:$A$51,0))</f>
        <v>400</v>
      </c>
      <c r="L396" s="20">
        <f t="shared" si="37"/>
        <v>14400</v>
      </c>
      <c r="M396" s="21">
        <f t="shared" si="38"/>
        <v>1.2</v>
      </c>
      <c r="N396" s="19">
        <f>INDEX('Item Master'!$E$2:$E$51,MATCH($A396,'Item Master'!$A$2:$A$51,0))</f>
        <v>7</v>
      </c>
      <c r="O396" s="22">
        <f>INDEX('Product Summary'!$L$2:$L$51,MATCH($A396,'Product Summary'!$A$2:$A$51,0))</f>
        <v>3.2666666666666666</v>
      </c>
      <c r="P396" s="22">
        <f>INDEX('Product Summary'!$M$2:$M$51,MATCH($A396,'Product Summary'!$A$2:$A$51,0))</f>
        <v>10.861187214611871</v>
      </c>
      <c r="Q396" s="22">
        <f t="shared" si="39"/>
        <v>351.66666666666669</v>
      </c>
      <c r="R396" s="22">
        <f t="shared" si="40"/>
        <v>342.6156773211568</v>
      </c>
      <c r="S396" s="19" t="str">
        <f t="shared" si="41"/>
        <v>OVERSTOCK</v>
      </c>
    </row>
    <row r="397" spans="1:19" x14ac:dyDescent="0.3">
      <c r="A397" s="19" t="s">
        <v>136</v>
      </c>
      <c r="B397" s="19" t="s">
        <v>137</v>
      </c>
      <c r="C397" s="19" t="s">
        <v>40</v>
      </c>
      <c r="D397" s="19" t="s">
        <v>49</v>
      </c>
      <c r="E397" s="19">
        <f>SUMIFS('Stock Inflow'!$G$2:$G$601,'Stock Inflow'!$A$2:$A$601,$A397,'Stock Inflow'!$D$2:$D$601,$D397)</f>
        <v>422</v>
      </c>
      <c r="F397" s="19">
        <f>SUMIFS('Stock Inflow'!$F$2:$F$601,'Stock Inflow'!$A$2:$A$601,$A397,'Stock Inflow'!$D$2:$D$601,$D397)</f>
        <v>40</v>
      </c>
      <c r="G397" s="19">
        <f>SUMIFS('Stock Inflow'!$E$2:$E$601,'Stock Inflow'!$A$2:$A$601,$A397,'Stock Inflow'!$D$2:$D$601,$D397)</f>
        <v>1</v>
      </c>
      <c r="H397" s="19">
        <f>SUMIFS('Stock Outflow'!$F$2:$F$601,'Stock Outflow'!$A$2:$A$601,$A397,'Stock Outflow'!$D$2:$D$601,$D397)</f>
        <v>31</v>
      </c>
      <c r="I397" s="19">
        <f>SUMIFS('Stock Outflow'!$E$2:$E$601,'Stock Outflow'!$A$2:$A$601,$A397,'Stock Outflow'!$D$2:$D$601,$D397)</f>
        <v>0</v>
      </c>
      <c r="J397" s="19">
        <f t="shared" si="36"/>
        <v>432</v>
      </c>
      <c r="K397" s="20">
        <f>INDEX('Item Master'!$F$2:$F$51,MATCH($A397,'Item Master'!$A$2:$A$51,0))</f>
        <v>400</v>
      </c>
      <c r="L397" s="20">
        <f t="shared" si="37"/>
        <v>12400</v>
      </c>
      <c r="M397" s="21">
        <f t="shared" si="38"/>
        <v>1.0333333333333334</v>
      </c>
      <c r="N397" s="19">
        <f>INDEX('Item Master'!$E$2:$E$51,MATCH($A397,'Item Master'!$A$2:$A$51,0))</f>
        <v>7</v>
      </c>
      <c r="O397" s="22">
        <f>INDEX('Product Summary'!$L$2:$L$51,MATCH($A397,'Product Summary'!$A$2:$A$51,0))</f>
        <v>3.2666666666666666</v>
      </c>
      <c r="P397" s="22">
        <f>INDEX('Product Summary'!$M$2:$M$51,MATCH($A397,'Product Summary'!$A$2:$A$51,0))</f>
        <v>10.861187214611871</v>
      </c>
      <c r="Q397" s="22">
        <f t="shared" si="39"/>
        <v>418.0645161290322</v>
      </c>
      <c r="R397" s="22">
        <f t="shared" si="40"/>
        <v>407.5536897923111</v>
      </c>
      <c r="S397" s="19" t="str">
        <f t="shared" si="41"/>
        <v>OVERSTOCK</v>
      </c>
    </row>
    <row r="398" spans="1:19" x14ac:dyDescent="0.3">
      <c r="A398" s="19" t="s">
        <v>138</v>
      </c>
      <c r="B398" s="19" t="s">
        <v>139</v>
      </c>
      <c r="C398" s="19" t="s">
        <v>40</v>
      </c>
      <c r="D398" s="19" t="s">
        <v>27</v>
      </c>
      <c r="E398" s="19">
        <f>SUMIFS('Stock Inflow'!$G$2:$G$601,'Stock Inflow'!$A$2:$A$601,$A398,'Stock Inflow'!$D$2:$D$601,$D398)</f>
        <v>333</v>
      </c>
      <c r="F398" s="19">
        <f>SUMIFS('Stock Inflow'!$F$2:$F$601,'Stock Inflow'!$A$2:$A$601,$A398,'Stock Inflow'!$D$2:$D$601,$D398)</f>
        <v>30</v>
      </c>
      <c r="G398" s="19">
        <f>SUMIFS('Stock Inflow'!$E$2:$E$601,'Stock Inflow'!$A$2:$A$601,$A398,'Stock Inflow'!$D$2:$D$601,$D398)</f>
        <v>1</v>
      </c>
      <c r="H398" s="19">
        <f>SUMIFS('Stock Outflow'!$F$2:$F$601,'Stock Outflow'!$A$2:$A$601,$A398,'Stock Outflow'!$D$2:$D$601,$D398)</f>
        <v>24</v>
      </c>
      <c r="I398" s="19">
        <f>SUMIFS('Stock Outflow'!$E$2:$E$601,'Stock Outflow'!$A$2:$A$601,$A398,'Stock Outflow'!$D$2:$D$601,$D398)</f>
        <v>0</v>
      </c>
      <c r="J398" s="19">
        <f t="shared" si="36"/>
        <v>340</v>
      </c>
      <c r="K398" s="20">
        <f>INDEX('Item Master'!$F$2:$F$51,MATCH($A398,'Item Master'!$A$2:$A$51,0))</f>
        <v>800</v>
      </c>
      <c r="L398" s="20">
        <f t="shared" si="37"/>
        <v>19200</v>
      </c>
      <c r="M398" s="21">
        <f t="shared" si="38"/>
        <v>0.8</v>
      </c>
      <c r="N398" s="19">
        <f>INDEX('Item Master'!$E$2:$E$51,MATCH($A398,'Item Master'!$A$2:$A$51,0))</f>
        <v>5</v>
      </c>
      <c r="O398" s="22">
        <f>INDEX('Product Summary'!$L$2:$L$51,MATCH($A398,'Product Summary'!$A$2:$A$51,0))</f>
        <v>2.6666666666666665</v>
      </c>
      <c r="P398" s="22">
        <f>INDEX('Product Summary'!$M$2:$M$51,MATCH($A398,'Product Summary'!$A$2:$A$51,0))</f>
        <v>6.7762557077625569</v>
      </c>
      <c r="Q398" s="22">
        <f t="shared" si="39"/>
        <v>425</v>
      </c>
      <c r="R398" s="22">
        <f t="shared" si="40"/>
        <v>416.52968036529677</v>
      </c>
      <c r="S398" s="19" t="str">
        <f t="shared" si="41"/>
        <v>OVERSTOCK</v>
      </c>
    </row>
    <row r="399" spans="1:19" x14ac:dyDescent="0.3">
      <c r="A399" s="19" t="s">
        <v>138</v>
      </c>
      <c r="B399" s="19" t="s">
        <v>139</v>
      </c>
      <c r="C399" s="19" t="s">
        <v>40</v>
      </c>
      <c r="D399" s="19" t="s">
        <v>29</v>
      </c>
      <c r="E399" s="19">
        <f>SUMIFS('Stock Inflow'!$G$2:$G$601,'Stock Inflow'!$A$2:$A$601,$A399,'Stock Inflow'!$D$2:$D$601,$D399)</f>
        <v>340</v>
      </c>
      <c r="F399" s="19">
        <f>SUMIFS('Stock Inflow'!$F$2:$F$601,'Stock Inflow'!$A$2:$A$601,$A399,'Stock Inflow'!$D$2:$D$601,$D399)</f>
        <v>19</v>
      </c>
      <c r="G399" s="19">
        <f>SUMIFS('Stock Inflow'!$E$2:$E$601,'Stock Inflow'!$A$2:$A$601,$A399,'Stock Inflow'!$D$2:$D$601,$D399)</f>
        <v>0</v>
      </c>
      <c r="H399" s="19">
        <f>SUMIFS('Stock Outflow'!$F$2:$F$601,'Stock Outflow'!$A$2:$A$601,$A399,'Stock Outflow'!$D$2:$D$601,$D399)</f>
        <v>20</v>
      </c>
      <c r="I399" s="19">
        <f>SUMIFS('Stock Outflow'!$E$2:$E$601,'Stock Outflow'!$A$2:$A$601,$A399,'Stock Outflow'!$D$2:$D$601,$D399)</f>
        <v>0</v>
      </c>
      <c r="J399" s="19">
        <f t="shared" si="36"/>
        <v>339</v>
      </c>
      <c r="K399" s="20">
        <f>INDEX('Item Master'!$F$2:$F$51,MATCH($A399,'Item Master'!$A$2:$A$51,0))</f>
        <v>800</v>
      </c>
      <c r="L399" s="20">
        <f t="shared" si="37"/>
        <v>16000</v>
      </c>
      <c r="M399" s="21">
        <f t="shared" si="38"/>
        <v>0.66666666666666663</v>
      </c>
      <c r="N399" s="19">
        <f>INDEX('Item Master'!$E$2:$E$51,MATCH($A399,'Item Master'!$A$2:$A$51,0))</f>
        <v>5</v>
      </c>
      <c r="O399" s="22">
        <f>INDEX('Product Summary'!$L$2:$L$51,MATCH($A399,'Product Summary'!$A$2:$A$51,0))</f>
        <v>2.6666666666666665</v>
      </c>
      <c r="P399" s="22">
        <f>INDEX('Product Summary'!$M$2:$M$51,MATCH($A399,'Product Summary'!$A$2:$A$51,0))</f>
        <v>6.7762557077625569</v>
      </c>
      <c r="Q399" s="22">
        <f t="shared" si="39"/>
        <v>508.5</v>
      </c>
      <c r="R399" s="22">
        <f t="shared" si="40"/>
        <v>498.33561643835617</v>
      </c>
      <c r="S399" s="19" t="str">
        <f t="shared" si="41"/>
        <v>OVERSTOCK</v>
      </c>
    </row>
    <row r="400" spans="1:19" x14ac:dyDescent="0.3">
      <c r="A400" s="19" t="s">
        <v>138</v>
      </c>
      <c r="B400" s="19" t="s">
        <v>139</v>
      </c>
      <c r="C400" s="19" t="s">
        <v>40</v>
      </c>
      <c r="D400" s="19" t="s">
        <v>31</v>
      </c>
      <c r="E400" s="19">
        <f>SUMIFS('Stock Inflow'!$G$2:$G$601,'Stock Inflow'!$A$2:$A$601,$A400,'Stock Inflow'!$D$2:$D$601,$D400)</f>
        <v>339</v>
      </c>
      <c r="F400" s="19">
        <f>SUMIFS('Stock Inflow'!$F$2:$F$601,'Stock Inflow'!$A$2:$A$601,$A400,'Stock Inflow'!$D$2:$D$601,$D400)</f>
        <v>23</v>
      </c>
      <c r="G400" s="19">
        <f>SUMIFS('Stock Inflow'!$E$2:$E$601,'Stock Inflow'!$A$2:$A$601,$A400,'Stock Inflow'!$D$2:$D$601,$D400)</f>
        <v>0</v>
      </c>
      <c r="H400" s="19">
        <f>SUMIFS('Stock Outflow'!$F$2:$F$601,'Stock Outflow'!$A$2:$A$601,$A400,'Stock Outflow'!$D$2:$D$601,$D400)</f>
        <v>22</v>
      </c>
      <c r="I400" s="19">
        <f>SUMIFS('Stock Outflow'!$E$2:$E$601,'Stock Outflow'!$A$2:$A$601,$A400,'Stock Outflow'!$D$2:$D$601,$D400)</f>
        <v>0</v>
      </c>
      <c r="J400" s="19">
        <f t="shared" si="36"/>
        <v>340</v>
      </c>
      <c r="K400" s="20">
        <f>INDEX('Item Master'!$F$2:$F$51,MATCH($A400,'Item Master'!$A$2:$A$51,0))</f>
        <v>800</v>
      </c>
      <c r="L400" s="20">
        <f t="shared" si="37"/>
        <v>17600</v>
      </c>
      <c r="M400" s="21">
        <f t="shared" si="38"/>
        <v>0.73333333333333328</v>
      </c>
      <c r="N400" s="19">
        <f>INDEX('Item Master'!$E$2:$E$51,MATCH($A400,'Item Master'!$A$2:$A$51,0))</f>
        <v>5</v>
      </c>
      <c r="O400" s="22">
        <f>INDEX('Product Summary'!$L$2:$L$51,MATCH($A400,'Product Summary'!$A$2:$A$51,0))</f>
        <v>2.6666666666666665</v>
      </c>
      <c r="P400" s="22">
        <f>INDEX('Product Summary'!$M$2:$M$51,MATCH($A400,'Product Summary'!$A$2:$A$51,0))</f>
        <v>6.7762557077625569</v>
      </c>
      <c r="Q400" s="22">
        <f t="shared" si="39"/>
        <v>463.63636363636368</v>
      </c>
      <c r="R400" s="22">
        <f t="shared" si="40"/>
        <v>454.39601494396015</v>
      </c>
      <c r="S400" s="19" t="str">
        <f t="shared" si="41"/>
        <v>OVERSTOCK</v>
      </c>
    </row>
    <row r="401" spans="1:19" x14ac:dyDescent="0.3">
      <c r="A401" s="19" t="s">
        <v>138</v>
      </c>
      <c r="B401" s="19" t="s">
        <v>139</v>
      </c>
      <c r="C401" s="19" t="s">
        <v>40</v>
      </c>
      <c r="D401" s="19" t="s">
        <v>33</v>
      </c>
      <c r="E401" s="19">
        <f>SUMIFS('Stock Inflow'!$G$2:$G$601,'Stock Inflow'!$A$2:$A$601,$A401,'Stock Inflow'!$D$2:$D$601,$D401)</f>
        <v>340</v>
      </c>
      <c r="F401" s="19">
        <f>SUMIFS('Stock Inflow'!$F$2:$F$601,'Stock Inflow'!$A$2:$A$601,$A401,'Stock Inflow'!$D$2:$D$601,$D401)</f>
        <v>24</v>
      </c>
      <c r="G401" s="19">
        <f>SUMIFS('Stock Inflow'!$E$2:$E$601,'Stock Inflow'!$A$2:$A$601,$A401,'Stock Inflow'!$D$2:$D$601,$D401)</f>
        <v>0</v>
      </c>
      <c r="H401" s="19">
        <f>SUMIFS('Stock Outflow'!$F$2:$F$601,'Stock Outflow'!$A$2:$A$601,$A401,'Stock Outflow'!$D$2:$D$601,$D401)</f>
        <v>23</v>
      </c>
      <c r="I401" s="19">
        <f>SUMIFS('Stock Outflow'!$E$2:$E$601,'Stock Outflow'!$A$2:$A$601,$A401,'Stock Outflow'!$D$2:$D$601,$D401)</f>
        <v>0</v>
      </c>
      <c r="J401" s="19">
        <f t="shared" si="36"/>
        <v>341</v>
      </c>
      <c r="K401" s="20">
        <f>INDEX('Item Master'!$F$2:$F$51,MATCH($A401,'Item Master'!$A$2:$A$51,0))</f>
        <v>800</v>
      </c>
      <c r="L401" s="20">
        <f t="shared" si="37"/>
        <v>18400</v>
      </c>
      <c r="M401" s="21">
        <f t="shared" si="38"/>
        <v>0.76666666666666672</v>
      </c>
      <c r="N401" s="19">
        <f>INDEX('Item Master'!$E$2:$E$51,MATCH($A401,'Item Master'!$A$2:$A$51,0))</f>
        <v>5</v>
      </c>
      <c r="O401" s="22">
        <f>INDEX('Product Summary'!$L$2:$L$51,MATCH($A401,'Product Summary'!$A$2:$A$51,0))</f>
        <v>2.6666666666666665</v>
      </c>
      <c r="P401" s="22">
        <f>INDEX('Product Summary'!$M$2:$M$51,MATCH($A401,'Product Summary'!$A$2:$A$51,0))</f>
        <v>6.7762557077625569</v>
      </c>
      <c r="Q401" s="22">
        <f t="shared" si="39"/>
        <v>444.78260869565213</v>
      </c>
      <c r="R401" s="22">
        <f t="shared" si="40"/>
        <v>435.94401429422271</v>
      </c>
      <c r="S401" s="19" t="str">
        <f t="shared" si="41"/>
        <v>OVERSTOCK</v>
      </c>
    </row>
    <row r="402" spans="1:19" x14ac:dyDescent="0.3">
      <c r="A402" s="19" t="s">
        <v>138</v>
      </c>
      <c r="B402" s="19" t="s">
        <v>139</v>
      </c>
      <c r="C402" s="19" t="s">
        <v>40</v>
      </c>
      <c r="D402" s="19" t="s">
        <v>35</v>
      </c>
      <c r="E402" s="19">
        <f>SUMIFS('Stock Inflow'!$G$2:$G$601,'Stock Inflow'!$A$2:$A$601,$A402,'Stock Inflow'!$D$2:$D$601,$D402)</f>
        <v>341</v>
      </c>
      <c r="F402" s="19">
        <f>SUMIFS('Stock Inflow'!$F$2:$F$601,'Stock Inflow'!$A$2:$A$601,$A402,'Stock Inflow'!$D$2:$D$601,$D402)</f>
        <v>26</v>
      </c>
      <c r="G402" s="19">
        <f>SUMIFS('Stock Inflow'!$E$2:$E$601,'Stock Inflow'!$A$2:$A$601,$A402,'Stock Inflow'!$D$2:$D$601,$D402)</f>
        <v>1</v>
      </c>
      <c r="H402" s="19">
        <f>SUMIFS('Stock Outflow'!$F$2:$F$601,'Stock Outflow'!$A$2:$A$601,$A402,'Stock Outflow'!$D$2:$D$601,$D402)</f>
        <v>23</v>
      </c>
      <c r="I402" s="19">
        <f>SUMIFS('Stock Outflow'!$E$2:$E$601,'Stock Outflow'!$A$2:$A$601,$A402,'Stock Outflow'!$D$2:$D$601,$D402)</f>
        <v>0</v>
      </c>
      <c r="J402" s="19">
        <f t="shared" si="36"/>
        <v>345</v>
      </c>
      <c r="K402" s="20">
        <f>INDEX('Item Master'!$F$2:$F$51,MATCH($A402,'Item Master'!$A$2:$A$51,0))</f>
        <v>800</v>
      </c>
      <c r="L402" s="20">
        <f t="shared" si="37"/>
        <v>18400</v>
      </c>
      <c r="M402" s="21">
        <f t="shared" si="38"/>
        <v>0.76666666666666672</v>
      </c>
      <c r="N402" s="19">
        <f>INDEX('Item Master'!$E$2:$E$51,MATCH($A402,'Item Master'!$A$2:$A$51,0))</f>
        <v>5</v>
      </c>
      <c r="O402" s="22">
        <f>INDEX('Product Summary'!$L$2:$L$51,MATCH($A402,'Product Summary'!$A$2:$A$51,0))</f>
        <v>2.6666666666666665</v>
      </c>
      <c r="P402" s="22">
        <f>INDEX('Product Summary'!$M$2:$M$51,MATCH($A402,'Product Summary'!$A$2:$A$51,0))</f>
        <v>6.7762557077625569</v>
      </c>
      <c r="Q402" s="22">
        <f t="shared" si="39"/>
        <v>449.99999999999994</v>
      </c>
      <c r="R402" s="22">
        <f t="shared" si="40"/>
        <v>441.16140559857052</v>
      </c>
      <c r="S402" s="19" t="str">
        <f t="shared" si="41"/>
        <v>OVERSTOCK</v>
      </c>
    </row>
    <row r="403" spans="1:19" x14ac:dyDescent="0.3">
      <c r="A403" s="19" t="s">
        <v>138</v>
      </c>
      <c r="B403" s="19" t="s">
        <v>139</v>
      </c>
      <c r="C403" s="19" t="s">
        <v>40</v>
      </c>
      <c r="D403" s="19" t="s">
        <v>37</v>
      </c>
      <c r="E403" s="19">
        <f>SUMIFS('Stock Inflow'!$G$2:$G$601,'Stock Inflow'!$A$2:$A$601,$A403,'Stock Inflow'!$D$2:$D$601,$D403)</f>
        <v>345</v>
      </c>
      <c r="F403" s="19">
        <f>SUMIFS('Stock Inflow'!$F$2:$F$601,'Stock Inflow'!$A$2:$A$601,$A403,'Stock Inflow'!$D$2:$D$601,$D403)</f>
        <v>23</v>
      </c>
      <c r="G403" s="19">
        <f>SUMIFS('Stock Inflow'!$E$2:$E$601,'Stock Inflow'!$A$2:$A$601,$A403,'Stock Inflow'!$D$2:$D$601,$D403)</f>
        <v>0</v>
      </c>
      <c r="H403" s="19">
        <f>SUMIFS('Stock Outflow'!$F$2:$F$601,'Stock Outflow'!$A$2:$A$601,$A403,'Stock Outflow'!$D$2:$D$601,$D403)</f>
        <v>24</v>
      </c>
      <c r="I403" s="19">
        <f>SUMIFS('Stock Outflow'!$E$2:$E$601,'Stock Outflow'!$A$2:$A$601,$A403,'Stock Outflow'!$D$2:$D$601,$D403)</f>
        <v>0</v>
      </c>
      <c r="J403" s="19">
        <f t="shared" si="36"/>
        <v>344</v>
      </c>
      <c r="K403" s="20">
        <f>INDEX('Item Master'!$F$2:$F$51,MATCH($A403,'Item Master'!$A$2:$A$51,0))</f>
        <v>800</v>
      </c>
      <c r="L403" s="20">
        <f t="shared" si="37"/>
        <v>19200</v>
      </c>
      <c r="M403" s="21">
        <f t="shared" si="38"/>
        <v>0.8</v>
      </c>
      <c r="N403" s="19">
        <f>INDEX('Item Master'!$E$2:$E$51,MATCH($A403,'Item Master'!$A$2:$A$51,0))</f>
        <v>5</v>
      </c>
      <c r="O403" s="22">
        <f>INDEX('Product Summary'!$L$2:$L$51,MATCH($A403,'Product Summary'!$A$2:$A$51,0))</f>
        <v>2.6666666666666665</v>
      </c>
      <c r="P403" s="22">
        <f>INDEX('Product Summary'!$M$2:$M$51,MATCH($A403,'Product Summary'!$A$2:$A$51,0))</f>
        <v>6.7762557077625569</v>
      </c>
      <c r="Q403" s="22">
        <f t="shared" si="39"/>
        <v>430</v>
      </c>
      <c r="R403" s="22">
        <f t="shared" si="40"/>
        <v>421.52968036529677</v>
      </c>
      <c r="S403" s="19" t="str">
        <f t="shared" si="41"/>
        <v>OVERSTOCK</v>
      </c>
    </row>
    <row r="404" spans="1:19" x14ac:dyDescent="0.3">
      <c r="A404" s="19" t="s">
        <v>138</v>
      </c>
      <c r="B404" s="19" t="s">
        <v>139</v>
      </c>
      <c r="C404" s="19" t="s">
        <v>40</v>
      </c>
      <c r="D404" s="19" t="s">
        <v>39</v>
      </c>
      <c r="E404" s="19">
        <f>SUMIFS('Stock Inflow'!$G$2:$G$601,'Stock Inflow'!$A$2:$A$601,$A404,'Stock Inflow'!$D$2:$D$601,$D404)</f>
        <v>344</v>
      </c>
      <c r="F404" s="19">
        <f>SUMIFS('Stock Inflow'!$F$2:$F$601,'Stock Inflow'!$A$2:$A$601,$A404,'Stock Inflow'!$D$2:$D$601,$D404)</f>
        <v>29</v>
      </c>
      <c r="G404" s="19">
        <f>SUMIFS('Stock Inflow'!$E$2:$E$601,'Stock Inflow'!$A$2:$A$601,$A404,'Stock Inflow'!$D$2:$D$601,$D404)</f>
        <v>1</v>
      </c>
      <c r="H404" s="19">
        <f>SUMIFS('Stock Outflow'!$F$2:$F$601,'Stock Outflow'!$A$2:$A$601,$A404,'Stock Outflow'!$D$2:$D$601,$D404)</f>
        <v>26</v>
      </c>
      <c r="I404" s="19">
        <f>SUMIFS('Stock Outflow'!$E$2:$E$601,'Stock Outflow'!$A$2:$A$601,$A404,'Stock Outflow'!$D$2:$D$601,$D404)</f>
        <v>0</v>
      </c>
      <c r="J404" s="19">
        <f t="shared" si="36"/>
        <v>348</v>
      </c>
      <c r="K404" s="20">
        <f>INDEX('Item Master'!$F$2:$F$51,MATCH($A404,'Item Master'!$A$2:$A$51,0))</f>
        <v>800</v>
      </c>
      <c r="L404" s="20">
        <f t="shared" si="37"/>
        <v>20800</v>
      </c>
      <c r="M404" s="21">
        <f t="shared" si="38"/>
        <v>0.8666666666666667</v>
      </c>
      <c r="N404" s="19">
        <f>INDEX('Item Master'!$E$2:$E$51,MATCH($A404,'Item Master'!$A$2:$A$51,0))</f>
        <v>5</v>
      </c>
      <c r="O404" s="22">
        <f>INDEX('Product Summary'!$L$2:$L$51,MATCH($A404,'Product Summary'!$A$2:$A$51,0))</f>
        <v>2.6666666666666665</v>
      </c>
      <c r="P404" s="22">
        <f>INDEX('Product Summary'!$M$2:$M$51,MATCH($A404,'Product Summary'!$A$2:$A$51,0))</f>
        <v>6.7762557077625569</v>
      </c>
      <c r="Q404" s="22">
        <f t="shared" si="39"/>
        <v>401.53846153846155</v>
      </c>
      <c r="R404" s="22">
        <f t="shared" si="40"/>
        <v>393.71970495258165</v>
      </c>
      <c r="S404" s="19" t="str">
        <f t="shared" si="41"/>
        <v>OVERSTOCK</v>
      </c>
    </row>
    <row r="405" spans="1:19" x14ac:dyDescent="0.3">
      <c r="A405" s="19" t="s">
        <v>138</v>
      </c>
      <c r="B405" s="19" t="s">
        <v>139</v>
      </c>
      <c r="C405" s="19" t="s">
        <v>40</v>
      </c>
      <c r="D405" s="19" t="s">
        <v>41</v>
      </c>
      <c r="E405" s="19">
        <f>SUMIFS('Stock Inflow'!$G$2:$G$601,'Stock Inflow'!$A$2:$A$601,$A405,'Stock Inflow'!$D$2:$D$601,$D405)</f>
        <v>348</v>
      </c>
      <c r="F405" s="19">
        <f>SUMIFS('Stock Inflow'!$F$2:$F$601,'Stock Inflow'!$A$2:$A$601,$A405,'Stock Inflow'!$D$2:$D$601,$D405)</f>
        <v>25</v>
      </c>
      <c r="G405" s="19">
        <f>SUMIFS('Stock Inflow'!$E$2:$E$601,'Stock Inflow'!$A$2:$A$601,$A405,'Stock Inflow'!$D$2:$D$601,$D405)</f>
        <v>0</v>
      </c>
      <c r="H405" s="19">
        <f>SUMIFS('Stock Outflow'!$F$2:$F$601,'Stock Outflow'!$A$2:$A$601,$A405,'Stock Outflow'!$D$2:$D$601,$D405)</f>
        <v>24</v>
      </c>
      <c r="I405" s="19">
        <f>SUMIFS('Stock Outflow'!$E$2:$E$601,'Stock Outflow'!$A$2:$A$601,$A405,'Stock Outflow'!$D$2:$D$601,$D405)</f>
        <v>0</v>
      </c>
      <c r="J405" s="19">
        <f t="shared" si="36"/>
        <v>349</v>
      </c>
      <c r="K405" s="20">
        <f>INDEX('Item Master'!$F$2:$F$51,MATCH($A405,'Item Master'!$A$2:$A$51,0))</f>
        <v>800</v>
      </c>
      <c r="L405" s="20">
        <f t="shared" si="37"/>
        <v>19200</v>
      </c>
      <c r="M405" s="21">
        <f t="shared" si="38"/>
        <v>0.8</v>
      </c>
      <c r="N405" s="19">
        <f>INDEX('Item Master'!$E$2:$E$51,MATCH($A405,'Item Master'!$A$2:$A$51,0))</f>
        <v>5</v>
      </c>
      <c r="O405" s="22">
        <f>INDEX('Product Summary'!$L$2:$L$51,MATCH($A405,'Product Summary'!$A$2:$A$51,0))</f>
        <v>2.6666666666666665</v>
      </c>
      <c r="P405" s="22">
        <f>INDEX('Product Summary'!$M$2:$M$51,MATCH($A405,'Product Summary'!$A$2:$A$51,0))</f>
        <v>6.7762557077625569</v>
      </c>
      <c r="Q405" s="22">
        <f t="shared" si="39"/>
        <v>436.25</v>
      </c>
      <c r="R405" s="22">
        <f t="shared" si="40"/>
        <v>427.77968036529677</v>
      </c>
      <c r="S405" s="19" t="str">
        <f t="shared" si="41"/>
        <v>OVERSTOCK</v>
      </c>
    </row>
    <row r="406" spans="1:19" x14ac:dyDescent="0.3">
      <c r="A406" s="19" t="s">
        <v>138</v>
      </c>
      <c r="B406" s="19" t="s">
        <v>139</v>
      </c>
      <c r="C406" s="19" t="s">
        <v>40</v>
      </c>
      <c r="D406" s="19" t="s">
        <v>43</v>
      </c>
      <c r="E406" s="19">
        <f>SUMIFS('Stock Inflow'!$G$2:$G$601,'Stock Inflow'!$A$2:$A$601,$A406,'Stock Inflow'!$D$2:$D$601,$D406)</f>
        <v>349</v>
      </c>
      <c r="F406" s="19">
        <f>SUMIFS('Stock Inflow'!$F$2:$F$601,'Stock Inflow'!$A$2:$A$601,$A406,'Stock Inflow'!$D$2:$D$601,$D406)</f>
        <v>29</v>
      </c>
      <c r="G406" s="19">
        <f>SUMIFS('Stock Inflow'!$E$2:$E$601,'Stock Inflow'!$A$2:$A$601,$A406,'Stock Inflow'!$D$2:$D$601,$D406)</f>
        <v>1</v>
      </c>
      <c r="H406" s="19">
        <f>SUMIFS('Stock Outflow'!$F$2:$F$601,'Stock Outflow'!$A$2:$A$601,$A406,'Stock Outflow'!$D$2:$D$601,$D406)</f>
        <v>24</v>
      </c>
      <c r="I406" s="19">
        <f>SUMIFS('Stock Outflow'!$E$2:$E$601,'Stock Outflow'!$A$2:$A$601,$A406,'Stock Outflow'!$D$2:$D$601,$D406)</f>
        <v>0</v>
      </c>
      <c r="J406" s="19">
        <f t="shared" si="36"/>
        <v>355</v>
      </c>
      <c r="K406" s="20">
        <f>INDEX('Item Master'!$F$2:$F$51,MATCH($A406,'Item Master'!$A$2:$A$51,0))</f>
        <v>800</v>
      </c>
      <c r="L406" s="20">
        <f t="shared" si="37"/>
        <v>19200</v>
      </c>
      <c r="M406" s="21">
        <f t="shared" si="38"/>
        <v>0.8</v>
      </c>
      <c r="N406" s="19">
        <f>INDEX('Item Master'!$E$2:$E$51,MATCH($A406,'Item Master'!$A$2:$A$51,0))</f>
        <v>5</v>
      </c>
      <c r="O406" s="22">
        <f>INDEX('Product Summary'!$L$2:$L$51,MATCH($A406,'Product Summary'!$A$2:$A$51,0))</f>
        <v>2.6666666666666665</v>
      </c>
      <c r="P406" s="22">
        <f>INDEX('Product Summary'!$M$2:$M$51,MATCH($A406,'Product Summary'!$A$2:$A$51,0))</f>
        <v>6.7762557077625569</v>
      </c>
      <c r="Q406" s="22">
        <f t="shared" si="39"/>
        <v>443.75</v>
      </c>
      <c r="R406" s="22">
        <f t="shared" si="40"/>
        <v>435.27968036529677</v>
      </c>
      <c r="S406" s="19" t="str">
        <f t="shared" si="41"/>
        <v>OVERSTOCK</v>
      </c>
    </row>
    <row r="407" spans="1:19" x14ac:dyDescent="0.3">
      <c r="A407" s="19" t="s">
        <v>138</v>
      </c>
      <c r="B407" s="19" t="s">
        <v>139</v>
      </c>
      <c r="C407" s="19" t="s">
        <v>40</v>
      </c>
      <c r="D407" s="19" t="s">
        <v>45</v>
      </c>
      <c r="E407" s="19">
        <f>SUMIFS('Stock Inflow'!$G$2:$G$601,'Stock Inflow'!$A$2:$A$601,$A407,'Stock Inflow'!$D$2:$D$601,$D407)</f>
        <v>355</v>
      </c>
      <c r="F407" s="19">
        <f>SUMIFS('Stock Inflow'!$F$2:$F$601,'Stock Inflow'!$A$2:$A$601,$A407,'Stock Inflow'!$D$2:$D$601,$D407)</f>
        <v>39</v>
      </c>
      <c r="G407" s="19">
        <f>SUMIFS('Stock Inflow'!$E$2:$E$601,'Stock Inflow'!$A$2:$A$601,$A407,'Stock Inflow'!$D$2:$D$601,$D407)</f>
        <v>2</v>
      </c>
      <c r="H407" s="19">
        <f>SUMIFS('Stock Outflow'!$F$2:$F$601,'Stock Outflow'!$A$2:$A$601,$A407,'Stock Outflow'!$D$2:$D$601,$D407)</f>
        <v>41</v>
      </c>
      <c r="I407" s="19">
        <f>SUMIFS('Stock Outflow'!$E$2:$E$601,'Stock Outflow'!$A$2:$A$601,$A407,'Stock Outflow'!$D$2:$D$601,$D407)</f>
        <v>0</v>
      </c>
      <c r="J407" s="19">
        <f t="shared" si="36"/>
        <v>355</v>
      </c>
      <c r="K407" s="20">
        <f>INDEX('Item Master'!$F$2:$F$51,MATCH($A407,'Item Master'!$A$2:$A$51,0))</f>
        <v>800</v>
      </c>
      <c r="L407" s="20">
        <f t="shared" si="37"/>
        <v>32800</v>
      </c>
      <c r="M407" s="21">
        <f t="shared" si="38"/>
        <v>1.3666666666666667</v>
      </c>
      <c r="N407" s="19">
        <f>INDEX('Item Master'!$E$2:$E$51,MATCH($A407,'Item Master'!$A$2:$A$51,0))</f>
        <v>5</v>
      </c>
      <c r="O407" s="22">
        <f>INDEX('Product Summary'!$L$2:$L$51,MATCH($A407,'Product Summary'!$A$2:$A$51,0))</f>
        <v>2.6666666666666665</v>
      </c>
      <c r="P407" s="22">
        <f>INDEX('Product Summary'!$M$2:$M$51,MATCH($A407,'Product Summary'!$A$2:$A$51,0))</f>
        <v>6.7762557077625569</v>
      </c>
      <c r="Q407" s="22">
        <f t="shared" si="39"/>
        <v>259.7560975609756</v>
      </c>
      <c r="R407" s="22">
        <f t="shared" si="40"/>
        <v>254.79786167724689</v>
      </c>
      <c r="S407" s="19" t="str">
        <f t="shared" si="41"/>
        <v>OVERSTOCK</v>
      </c>
    </row>
    <row r="408" spans="1:19" x14ac:dyDescent="0.3">
      <c r="A408" s="19" t="s">
        <v>138</v>
      </c>
      <c r="B408" s="19" t="s">
        <v>139</v>
      </c>
      <c r="C408" s="19" t="s">
        <v>40</v>
      </c>
      <c r="D408" s="19" t="s">
        <v>47</v>
      </c>
      <c r="E408" s="19">
        <f>SUMIFS('Stock Inflow'!$G$2:$G$601,'Stock Inflow'!$A$2:$A$601,$A408,'Stock Inflow'!$D$2:$D$601,$D408)</f>
        <v>355</v>
      </c>
      <c r="F408" s="19">
        <f>SUMIFS('Stock Inflow'!$F$2:$F$601,'Stock Inflow'!$A$2:$A$601,$A408,'Stock Inflow'!$D$2:$D$601,$D408)</f>
        <v>30</v>
      </c>
      <c r="G408" s="19">
        <f>SUMIFS('Stock Inflow'!$E$2:$E$601,'Stock Inflow'!$A$2:$A$601,$A408,'Stock Inflow'!$D$2:$D$601,$D408)</f>
        <v>1</v>
      </c>
      <c r="H408" s="19">
        <f>SUMIFS('Stock Outflow'!$F$2:$F$601,'Stock Outflow'!$A$2:$A$601,$A408,'Stock Outflow'!$D$2:$D$601,$D408)</f>
        <v>26</v>
      </c>
      <c r="I408" s="19">
        <f>SUMIFS('Stock Outflow'!$E$2:$E$601,'Stock Outflow'!$A$2:$A$601,$A408,'Stock Outflow'!$D$2:$D$601,$D408)</f>
        <v>1</v>
      </c>
      <c r="J408" s="19">
        <f t="shared" si="36"/>
        <v>359</v>
      </c>
      <c r="K408" s="20">
        <f>INDEX('Item Master'!$F$2:$F$51,MATCH($A408,'Item Master'!$A$2:$A$51,0))</f>
        <v>800</v>
      </c>
      <c r="L408" s="20">
        <f t="shared" si="37"/>
        <v>20800</v>
      </c>
      <c r="M408" s="21">
        <f t="shared" si="38"/>
        <v>0.8666666666666667</v>
      </c>
      <c r="N408" s="19">
        <f>INDEX('Item Master'!$E$2:$E$51,MATCH($A408,'Item Master'!$A$2:$A$51,0))</f>
        <v>5</v>
      </c>
      <c r="O408" s="22">
        <f>INDEX('Product Summary'!$L$2:$L$51,MATCH($A408,'Product Summary'!$A$2:$A$51,0))</f>
        <v>2.6666666666666665</v>
      </c>
      <c r="P408" s="22">
        <f>INDEX('Product Summary'!$M$2:$M$51,MATCH($A408,'Product Summary'!$A$2:$A$51,0))</f>
        <v>6.7762557077625569</v>
      </c>
      <c r="Q408" s="22">
        <f t="shared" si="39"/>
        <v>414.23076923076923</v>
      </c>
      <c r="R408" s="22">
        <f t="shared" si="40"/>
        <v>406.41201264488933</v>
      </c>
      <c r="S408" s="19" t="str">
        <f t="shared" si="41"/>
        <v>OVERSTOCK</v>
      </c>
    </row>
    <row r="409" spans="1:19" x14ac:dyDescent="0.3">
      <c r="A409" s="19" t="s">
        <v>138</v>
      </c>
      <c r="B409" s="19" t="s">
        <v>139</v>
      </c>
      <c r="C409" s="19" t="s">
        <v>40</v>
      </c>
      <c r="D409" s="19" t="s">
        <v>49</v>
      </c>
      <c r="E409" s="19">
        <f>SUMIFS('Stock Inflow'!$G$2:$G$601,'Stock Inflow'!$A$2:$A$601,$A409,'Stock Inflow'!$D$2:$D$601,$D409)</f>
        <v>359</v>
      </c>
      <c r="F409" s="19">
        <f>SUMIFS('Stock Inflow'!$F$2:$F$601,'Stock Inflow'!$A$2:$A$601,$A409,'Stock Inflow'!$D$2:$D$601,$D409)</f>
        <v>25</v>
      </c>
      <c r="G409" s="19">
        <f>SUMIFS('Stock Inflow'!$E$2:$E$601,'Stock Inflow'!$A$2:$A$601,$A409,'Stock Inflow'!$D$2:$D$601,$D409)</f>
        <v>1</v>
      </c>
      <c r="H409" s="19">
        <f>SUMIFS('Stock Outflow'!$F$2:$F$601,'Stock Outflow'!$A$2:$A$601,$A409,'Stock Outflow'!$D$2:$D$601,$D409)</f>
        <v>23</v>
      </c>
      <c r="I409" s="19">
        <f>SUMIFS('Stock Outflow'!$E$2:$E$601,'Stock Outflow'!$A$2:$A$601,$A409,'Stock Outflow'!$D$2:$D$601,$D409)</f>
        <v>0</v>
      </c>
      <c r="J409" s="19">
        <f t="shared" si="36"/>
        <v>362</v>
      </c>
      <c r="K409" s="20">
        <f>INDEX('Item Master'!$F$2:$F$51,MATCH($A409,'Item Master'!$A$2:$A$51,0))</f>
        <v>800</v>
      </c>
      <c r="L409" s="20">
        <f t="shared" si="37"/>
        <v>18400</v>
      </c>
      <c r="M409" s="21">
        <f t="shared" si="38"/>
        <v>0.76666666666666672</v>
      </c>
      <c r="N409" s="19">
        <f>INDEX('Item Master'!$E$2:$E$51,MATCH($A409,'Item Master'!$A$2:$A$51,0))</f>
        <v>5</v>
      </c>
      <c r="O409" s="22">
        <f>INDEX('Product Summary'!$L$2:$L$51,MATCH($A409,'Product Summary'!$A$2:$A$51,0))</f>
        <v>2.6666666666666665</v>
      </c>
      <c r="P409" s="22">
        <f>INDEX('Product Summary'!$M$2:$M$51,MATCH($A409,'Product Summary'!$A$2:$A$51,0))</f>
        <v>6.7762557077625569</v>
      </c>
      <c r="Q409" s="22">
        <f t="shared" si="39"/>
        <v>472.17391304347825</v>
      </c>
      <c r="R409" s="22">
        <f t="shared" si="40"/>
        <v>463.33531864204878</v>
      </c>
      <c r="S409" s="19" t="str">
        <f t="shared" si="41"/>
        <v>OVERSTOCK</v>
      </c>
    </row>
    <row r="410" spans="1:19" x14ac:dyDescent="0.3">
      <c r="A410" s="19" t="s">
        <v>140</v>
      </c>
      <c r="B410" s="19" t="s">
        <v>141</v>
      </c>
      <c r="C410" s="19" t="s">
        <v>40</v>
      </c>
      <c r="D410" s="19" t="s">
        <v>27</v>
      </c>
      <c r="E410" s="19">
        <f>SUMIFS('Stock Inflow'!$G$2:$G$601,'Stock Inflow'!$A$2:$A$601,$A410,'Stock Inflow'!$D$2:$D$601,$D410)</f>
        <v>268</v>
      </c>
      <c r="F410" s="19">
        <f>SUMIFS('Stock Inflow'!$F$2:$F$601,'Stock Inflow'!$A$2:$A$601,$A410,'Stock Inflow'!$D$2:$D$601,$D410)</f>
        <v>6</v>
      </c>
      <c r="G410" s="19">
        <f>SUMIFS('Stock Inflow'!$E$2:$E$601,'Stock Inflow'!$A$2:$A$601,$A410,'Stock Inflow'!$D$2:$D$601,$D410)</f>
        <v>0</v>
      </c>
      <c r="H410" s="19">
        <f>SUMIFS('Stock Outflow'!$F$2:$F$601,'Stock Outflow'!$A$2:$A$601,$A410,'Stock Outflow'!$D$2:$D$601,$D410)</f>
        <v>6</v>
      </c>
      <c r="I410" s="19">
        <f>SUMIFS('Stock Outflow'!$E$2:$E$601,'Stock Outflow'!$A$2:$A$601,$A410,'Stock Outflow'!$D$2:$D$601,$D410)</f>
        <v>0</v>
      </c>
      <c r="J410" s="19">
        <f t="shared" si="36"/>
        <v>268</v>
      </c>
      <c r="K410" s="20">
        <f>INDEX('Item Master'!$F$2:$F$51,MATCH($A410,'Item Master'!$A$2:$A$51,0))</f>
        <v>1400</v>
      </c>
      <c r="L410" s="20">
        <f t="shared" si="37"/>
        <v>8400</v>
      </c>
      <c r="M410" s="21">
        <f t="shared" si="38"/>
        <v>0.2</v>
      </c>
      <c r="N410" s="19">
        <f>INDEX('Item Master'!$E$2:$E$51,MATCH($A410,'Item Master'!$A$2:$A$51,0))</f>
        <v>10</v>
      </c>
      <c r="O410" s="22">
        <f>INDEX('Product Summary'!$L$2:$L$51,MATCH($A410,'Product Summary'!$A$2:$A$51,0))</f>
        <v>1.4444444444444442</v>
      </c>
      <c r="P410" s="22">
        <f>INDEX('Product Summary'!$M$2:$M$51,MATCH($A410,'Product Summary'!$A$2:$A$51,0))</f>
        <v>3.6362252663622523</v>
      </c>
      <c r="Q410" s="22">
        <f t="shared" si="39"/>
        <v>1340</v>
      </c>
      <c r="R410" s="22">
        <f t="shared" si="40"/>
        <v>1321.8188736681886</v>
      </c>
      <c r="S410" s="19" t="str">
        <f t="shared" si="41"/>
        <v>OVERSTOCK</v>
      </c>
    </row>
    <row r="411" spans="1:19" x14ac:dyDescent="0.3">
      <c r="A411" s="19" t="s">
        <v>140</v>
      </c>
      <c r="B411" s="19" t="s">
        <v>141</v>
      </c>
      <c r="C411" s="19" t="s">
        <v>40</v>
      </c>
      <c r="D411" s="19" t="s">
        <v>29</v>
      </c>
      <c r="E411" s="19">
        <f>SUMIFS('Stock Inflow'!$G$2:$G$601,'Stock Inflow'!$A$2:$A$601,$A411,'Stock Inflow'!$D$2:$D$601,$D411)</f>
        <v>268</v>
      </c>
      <c r="F411" s="19">
        <f>SUMIFS('Stock Inflow'!$F$2:$F$601,'Stock Inflow'!$A$2:$A$601,$A411,'Stock Inflow'!$D$2:$D$601,$D411)</f>
        <v>9</v>
      </c>
      <c r="G411" s="19">
        <f>SUMIFS('Stock Inflow'!$E$2:$E$601,'Stock Inflow'!$A$2:$A$601,$A411,'Stock Inflow'!$D$2:$D$601,$D411)</f>
        <v>0</v>
      </c>
      <c r="H411" s="19">
        <f>SUMIFS('Stock Outflow'!$F$2:$F$601,'Stock Outflow'!$A$2:$A$601,$A411,'Stock Outflow'!$D$2:$D$601,$D411)</f>
        <v>7</v>
      </c>
      <c r="I411" s="19">
        <f>SUMIFS('Stock Outflow'!$E$2:$E$601,'Stock Outflow'!$A$2:$A$601,$A411,'Stock Outflow'!$D$2:$D$601,$D411)</f>
        <v>0</v>
      </c>
      <c r="J411" s="19">
        <f t="shared" si="36"/>
        <v>270</v>
      </c>
      <c r="K411" s="20">
        <f>INDEX('Item Master'!$F$2:$F$51,MATCH($A411,'Item Master'!$A$2:$A$51,0))</f>
        <v>1400</v>
      </c>
      <c r="L411" s="20">
        <f t="shared" si="37"/>
        <v>9800</v>
      </c>
      <c r="M411" s="21">
        <f t="shared" si="38"/>
        <v>0.23333333333333334</v>
      </c>
      <c r="N411" s="19">
        <f>INDEX('Item Master'!$E$2:$E$51,MATCH($A411,'Item Master'!$A$2:$A$51,0))</f>
        <v>10</v>
      </c>
      <c r="O411" s="22">
        <f>INDEX('Product Summary'!$L$2:$L$51,MATCH($A411,'Product Summary'!$A$2:$A$51,0))</f>
        <v>1.4444444444444442</v>
      </c>
      <c r="P411" s="22">
        <f>INDEX('Product Summary'!$M$2:$M$51,MATCH($A411,'Product Summary'!$A$2:$A$51,0))</f>
        <v>3.6362252663622523</v>
      </c>
      <c r="Q411" s="22">
        <f t="shared" si="39"/>
        <v>1157.1428571428571</v>
      </c>
      <c r="R411" s="22">
        <f t="shared" si="40"/>
        <v>1141.5590345727333</v>
      </c>
      <c r="S411" s="19" t="str">
        <f t="shared" si="41"/>
        <v>OVERSTOCK</v>
      </c>
    </row>
    <row r="412" spans="1:19" x14ac:dyDescent="0.3">
      <c r="A412" s="19" t="s">
        <v>140</v>
      </c>
      <c r="B412" s="19" t="s">
        <v>141</v>
      </c>
      <c r="C412" s="19" t="s">
        <v>40</v>
      </c>
      <c r="D412" s="19" t="s">
        <v>31</v>
      </c>
      <c r="E412" s="19">
        <f>SUMIFS('Stock Inflow'!$G$2:$G$601,'Stock Inflow'!$A$2:$A$601,$A412,'Stock Inflow'!$D$2:$D$601,$D412)</f>
        <v>270</v>
      </c>
      <c r="F412" s="19">
        <f>SUMIFS('Stock Inflow'!$F$2:$F$601,'Stock Inflow'!$A$2:$A$601,$A412,'Stock Inflow'!$D$2:$D$601,$D412)</f>
        <v>7</v>
      </c>
      <c r="G412" s="19">
        <f>SUMIFS('Stock Inflow'!$E$2:$E$601,'Stock Inflow'!$A$2:$A$601,$A412,'Stock Inflow'!$D$2:$D$601,$D412)</f>
        <v>0</v>
      </c>
      <c r="H412" s="19">
        <f>SUMIFS('Stock Outflow'!$F$2:$F$601,'Stock Outflow'!$A$2:$A$601,$A412,'Stock Outflow'!$D$2:$D$601,$D412)</f>
        <v>6</v>
      </c>
      <c r="I412" s="19">
        <f>SUMIFS('Stock Outflow'!$E$2:$E$601,'Stock Outflow'!$A$2:$A$601,$A412,'Stock Outflow'!$D$2:$D$601,$D412)</f>
        <v>0</v>
      </c>
      <c r="J412" s="19">
        <f t="shared" si="36"/>
        <v>271</v>
      </c>
      <c r="K412" s="20">
        <f>INDEX('Item Master'!$F$2:$F$51,MATCH($A412,'Item Master'!$A$2:$A$51,0))</f>
        <v>1400</v>
      </c>
      <c r="L412" s="20">
        <f t="shared" si="37"/>
        <v>8400</v>
      </c>
      <c r="M412" s="21">
        <f t="shared" si="38"/>
        <v>0.2</v>
      </c>
      <c r="N412" s="19">
        <f>INDEX('Item Master'!$E$2:$E$51,MATCH($A412,'Item Master'!$A$2:$A$51,0))</f>
        <v>10</v>
      </c>
      <c r="O412" s="22">
        <f>INDEX('Product Summary'!$L$2:$L$51,MATCH($A412,'Product Summary'!$A$2:$A$51,0))</f>
        <v>1.4444444444444442</v>
      </c>
      <c r="P412" s="22">
        <f>INDEX('Product Summary'!$M$2:$M$51,MATCH($A412,'Product Summary'!$A$2:$A$51,0))</f>
        <v>3.6362252663622523</v>
      </c>
      <c r="Q412" s="22">
        <f t="shared" si="39"/>
        <v>1355</v>
      </c>
      <c r="R412" s="22">
        <f t="shared" si="40"/>
        <v>1336.8188736681886</v>
      </c>
      <c r="S412" s="19" t="str">
        <f t="shared" si="41"/>
        <v>OVERSTOCK</v>
      </c>
    </row>
    <row r="413" spans="1:19" x14ac:dyDescent="0.3">
      <c r="A413" s="19" t="s">
        <v>140</v>
      </c>
      <c r="B413" s="19" t="s">
        <v>141</v>
      </c>
      <c r="C413" s="19" t="s">
        <v>40</v>
      </c>
      <c r="D413" s="19" t="s">
        <v>33</v>
      </c>
      <c r="E413" s="19">
        <f>SUMIFS('Stock Inflow'!$G$2:$G$601,'Stock Inflow'!$A$2:$A$601,$A413,'Stock Inflow'!$D$2:$D$601,$D413)</f>
        <v>271</v>
      </c>
      <c r="F413" s="19">
        <f>SUMIFS('Stock Inflow'!$F$2:$F$601,'Stock Inflow'!$A$2:$A$601,$A413,'Stock Inflow'!$D$2:$D$601,$D413)</f>
        <v>6</v>
      </c>
      <c r="G413" s="19">
        <f>SUMIFS('Stock Inflow'!$E$2:$E$601,'Stock Inflow'!$A$2:$A$601,$A413,'Stock Inflow'!$D$2:$D$601,$D413)</f>
        <v>0</v>
      </c>
      <c r="H413" s="19">
        <f>SUMIFS('Stock Outflow'!$F$2:$F$601,'Stock Outflow'!$A$2:$A$601,$A413,'Stock Outflow'!$D$2:$D$601,$D413)</f>
        <v>6</v>
      </c>
      <c r="I413" s="19">
        <f>SUMIFS('Stock Outflow'!$E$2:$E$601,'Stock Outflow'!$A$2:$A$601,$A413,'Stock Outflow'!$D$2:$D$601,$D413)</f>
        <v>0</v>
      </c>
      <c r="J413" s="19">
        <f t="shared" si="36"/>
        <v>271</v>
      </c>
      <c r="K413" s="20">
        <f>INDEX('Item Master'!$F$2:$F$51,MATCH($A413,'Item Master'!$A$2:$A$51,0))</f>
        <v>1400</v>
      </c>
      <c r="L413" s="20">
        <f t="shared" si="37"/>
        <v>8400</v>
      </c>
      <c r="M413" s="21">
        <f t="shared" si="38"/>
        <v>0.2</v>
      </c>
      <c r="N413" s="19">
        <f>INDEX('Item Master'!$E$2:$E$51,MATCH($A413,'Item Master'!$A$2:$A$51,0))</f>
        <v>10</v>
      </c>
      <c r="O413" s="22">
        <f>INDEX('Product Summary'!$L$2:$L$51,MATCH($A413,'Product Summary'!$A$2:$A$51,0))</f>
        <v>1.4444444444444442</v>
      </c>
      <c r="P413" s="22">
        <f>INDEX('Product Summary'!$M$2:$M$51,MATCH($A413,'Product Summary'!$A$2:$A$51,0))</f>
        <v>3.6362252663622523</v>
      </c>
      <c r="Q413" s="22">
        <f t="shared" si="39"/>
        <v>1355</v>
      </c>
      <c r="R413" s="22">
        <f t="shared" si="40"/>
        <v>1336.8188736681886</v>
      </c>
      <c r="S413" s="19" t="str">
        <f t="shared" si="41"/>
        <v>OVERSTOCK</v>
      </c>
    </row>
    <row r="414" spans="1:19" x14ac:dyDescent="0.3">
      <c r="A414" s="19" t="s">
        <v>140</v>
      </c>
      <c r="B414" s="19" t="s">
        <v>141</v>
      </c>
      <c r="C414" s="19" t="s">
        <v>40</v>
      </c>
      <c r="D414" s="19" t="s">
        <v>35</v>
      </c>
      <c r="E414" s="19">
        <f>SUMIFS('Stock Inflow'!$G$2:$G$601,'Stock Inflow'!$A$2:$A$601,$A414,'Stock Inflow'!$D$2:$D$601,$D414)</f>
        <v>271</v>
      </c>
      <c r="F414" s="19">
        <f>SUMIFS('Stock Inflow'!$F$2:$F$601,'Stock Inflow'!$A$2:$A$601,$A414,'Stock Inflow'!$D$2:$D$601,$D414)</f>
        <v>7</v>
      </c>
      <c r="G414" s="19">
        <f>SUMIFS('Stock Inflow'!$E$2:$E$601,'Stock Inflow'!$A$2:$A$601,$A414,'Stock Inflow'!$D$2:$D$601,$D414)</f>
        <v>0</v>
      </c>
      <c r="H414" s="19">
        <f>SUMIFS('Stock Outflow'!$F$2:$F$601,'Stock Outflow'!$A$2:$A$601,$A414,'Stock Outflow'!$D$2:$D$601,$D414)</f>
        <v>6</v>
      </c>
      <c r="I414" s="19">
        <f>SUMIFS('Stock Outflow'!$E$2:$E$601,'Stock Outflow'!$A$2:$A$601,$A414,'Stock Outflow'!$D$2:$D$601,$D414)</f>
        <v>0</v>
      </c>
      <c r="J414" s="19">
        <f t="shared" si="36"/>
        <v>272</v>
      </c>
      <c r="K414" s="20">
        <f>INDEX('Item Master'!$F$2:$F$51,MATCH($A414,'Item Master'!$A$2:$A$51,0))</f>
        <v>1400</v>
      </c>
      <c r="L414" s="20">
        <f t="shared" si="37"/>
        <v>8400</v>
      </c>
      <c r="M414" s="21">
        <f t="shared" si="38"/>
        <v>0.2</v>
      </c>
      <c r="N414" s="19">
        <f>INDEX('Item Master'!$E$2:$E$51,MATCH($A414,'Item Master'!$A$2:$A$51,0))</f>
        <v>10</v>
      </c>
      <c r="O414" s="22">
        <f>INDEX('Product Summary'!$L$2:$L$51,MATCH($A414,'Product Summary'!$A$2:$A$51,0))</f>
        <v>1.4444444444444442</v>
      </c>
      <c r="P414" s="22">
        <f>INDEX('Product Summary'!$M$2:$M$51,MATCH($A414,'Product Summary'!$A$2:$A$51,0))</f>
        <v>3.6362252663622523</v>
      </c>
      <c r="Q414" s="22">
        <f t="shared" si="39"/>
        <v>1360</v>
      </c>
      <c r="R414" s="22">
        <f t="shared" si="40"/>
        <v>1341.8188736681886</v>
      </c>
      <c r="S414" s="19" t="str">
        <f t="shared" si="41"/>
        <v>OVERSTOCK</v>
      </c>
    </row>
    <row r="415" spans="1:19" x14ac:dyDescent="0.3">
      <c r="A415" s="19" t="s">
        <v>140</v>
      </c>
      <c r="B415" s="19" t="s">
        <v>141</v>
      </c>
      <c r="C415" s="19" t="s">
        <v>40</v>
      </c>
      <c r="D415" s="19" t="s">
        <v>37</v>
      </c>
      <c r="E415" s="19">
        <f>SUMIFS('Stock Inflow'!$G$2:$G$601,'Stock Inflow'!$A$2:$A$601,$A415,'Stock Inflow'!$D$2:$D$601,$D415)</f>
        <v>272</v>
      </c>
      <c r="F415" s="19">
        <f>SUMIFS('Stock Inflow'!$F$2:$F$601,'Stock Inflow'!$A$2:$A$601,$A415,'Stock Inflow'!$D$2:$D$601,$D415)</f>
        <v>7</v>
      </c>
      <c r="G415" s="19">
        <f>SUMIFS('Stock Inflow'!$E$2:$E$601,'Stock Inflow'!$A$2:$A$601,$A415,'Stock Inflow'!$D$2:$D$601,$D415)</f>
        <v>0</v>
      </c>
      <c r="H415" s="19">
        <f>SUMIFS('Stock Outflow'!$F$2:$F$601,'Stock Outflow'!$A$2:$A$601,$A415,'Stock Outflow'!$D$2:$D$601,$D415)</f>
        <v>6</v>
      </c>
      <c r="I415" s="19">
        <f>SUMIFS('Stock Outflow'!$E$2:$E$601,'Stock Outflow'!$A$2:$A$601,$A415,'Stock Outflow'!$D$2:$D$601,$D415)</f>
        <v>0</v>
      </c>
      <c r="J415" s="19">
        <f t="shared" si="36"/>
        <v>273</v>
      </c>
      <c r="K415" s="20">
        <f>INDEX('Item Master'!$F$2:$F$51,MATCH($A415,'Item Master'!$A$2:$A$51,0))</f>
        <v>1400</v>
      </c>
      <c r="L415" s="20">
        <f t="shared" si="37"/>
        <v>8400</v>
      </c>
      <c r="M415" s="21">
        <f t="shared" si="38"/>
        <v>0.2</v>
      </c>
      <c r="N415" s="19">
        <f>INDEX('Item Master'!$E$2:$E$51,MATCH($A415,'Item Master'!$A$2:$A$51,0))</f>
        <v>10</v>
      </c>
      <c r="O415" s="22">
        <f>INDEX('Product Summary'!$L$2:$L$51,MATCH($A415,'Product Summary'!$A$2:$A$51,0))</f>
        <v>1.4444444444444442</v>
      </c>
      <c r="P415" s="22">
        <f>INDEX('Product Summary'!$M$2:$M$51,MATCH($A415,'Product Summary'!$A$2:$A$51,0))</f>
        <v>3.6362252663622523</v>
      </c>
      <c r="Q415" s="22">
        <f t="shared" si="39"/>
        <v>1365</v>
      </c>
      <c r="R415" s="22">
        <f t="shared" si="40"/>
        <v>1346.8188736681886</v>
      </c>
      <c r="S415" s="19" t="str">
        <f t="shared" si="41"/>
        <v>OVERSTOCK</v>
      </c>
    </row>
    <row r="416" spans="1:19" x14ac:dyDescent="0.3">
      <c r="A416" s="19" t="s">
        <v>140</v>
      </c>
      <c r="B416" s="19" t="s">
        <v>141</v>
      </c>
      <c r="C416" s="19" t="s">
        <v>40</v>
      </c>
      <c r="D416" s="19" t="s">
        <v>39</v>
      </c>
      <c r="E416" s="19">
        <f>SUMIFS('Stock Inflow'!$G$2:$G$601,'Stock Inflow'!$A$2:$A$601,$A416,'Stock Inflow'!$D$2:$D$601,$D416)</f>
        <v>273</v>
      </c>
      <c r="F416" s="19">
        <f>SUMIFS('Stock Inflow'!$F$2:$F$601,'Stock Inflow'!$A$2:$A$601,$A416,'Stock Inflow'!$D$2:$D$601,$D416)</f>
        <v>6</v>
      </c>
      <c r="G416" s="19">
        <f>SUMIFS('Stock Inflow'!$E$2:$E$601,'Stock Inflow'!$A$2:$A$601,$A416,'Stock Inflow'!$D$2:$D$601,$D416)</f>
        <v>0</v>
      </c>
      <c r="H416" s="19">
        <f>SUMIFS('Stock Outflow'!$F$2:$F$601,'Stock Outflow'!$A$2:$A$601,$A416,'Stock Outflow'!$D$2:$D$601,$D416)</f>
        <v>6</v>
      </c>
      <c r="I416" s="19">
        <f>SUMIFS('Stock Outflow'!$E$2:$E$601,'Stock Outflow'!$A$2:$A$601,$A416,'Stock Outflow'!$D$2:$D$601,$D416)</f>
        <v>0</v>
      </c>
      <c r="J416" s="19">
        <f t="shared" si="36"/>
        <v>273</v>
      </c>
      <c r="K416" s="20">
        <f>INDEX('Item Master'!$F$2:$F$51,MATCH($A416,'Item Master'!$A$2:$A$51,0))</f>
        <v>1400</v>
      </c>
      <c r="L416" s="20">
        <f t="shared" si="37"/>
        <v>8400</v>
      </c>
      <c r="M416" s="21">
        <f t="shared" si="38"/>
        <v>0.2</v>
      </c>
      <c r="N416" s="19">
        <f>INDEX('Item Master'!$E$2:$E$51,MATCH($A416,'Item Master'!$A$2:$A$51,0))</f>
        <v>10</v>
      </c>
      <c r="O416" s="22">
        <f>INDEX('Product Summary'!$L$2:$L$51,MATCH($A416,'Product Summary'!$A$2:$A$51,0))</f>
        <v>1.4444444444444442</v>
      </c>
      <c r="P416" s="22">
        <f>INDEX('Product Summary'!$M$2:$M$51,MATCH($A416,'Product Summary'!$A$2:$A$51,0))</f>
        <v>3.6362252663622523</v>
      </c>
      <c r="Q416" s="22">
        <f t="shared" si="39"/>
        <v>1365</v>
      </c>
      <c r="R416" s="22">
        <f t="shared" si="40"/>
        <v>1346.8188736681886</v>
      </c>
      <c r="S416" s="19" t="str">
        <f t="shared" si="41"/>
        <v>OVERSTOCK</v>
      </c>
    </row>
    <row r="417" spans="1:19" x14ac:dyDescent="0.3">
      <c r="A417" s="19" t="s">
        <v>140</v>
      </c>
      <c r="B417" s="19" t="s">
        <v>141</v>
      </c>
      <c r="C417" s="19" t="s">
        <v>40</v>
      </c>
      <c r="D417" s="19" t="s">
        <v>41</v>
      </c>
      <c r="E417" s="19">
        <f>SUMIFS('Stock Inflow'!$G$2:$G$601,'Stock Inflow'!$A$2:$A$601,$A417,'Stock Inflow'!$D$2:$D$601,$D417)</f>
        <v>273</v>
      </c>
      <c r="F417" s="19">
        <f>SUMIFS('Stock Inflow'!$F$2:$F$601,'Stock Inflow'!$A$2:$A$601,$A417,'Stock Inflow'!$D$2:$D$601,$D417)</f>
        <v>7</v>
      </c>
      <c r="G417" s="19">
        <f>SUMIFS('Stock Inflow'!$E$2:$E$601,'Stock Inflow'!$A$2:$A$601,$A417,'Stock Inflow'!$D$2:$D$601,$D417)</f>
        <v>0</v>
      </c>
      <c r="H417" s="19">
        <f>SUMIFS('Stock Outflow'!$F$2:$F$601,'Stock Outflow'!$A$2:$A$601,$A417,'Stock Outflow'!$D$2:$D$601,$D417)</f>
        <v>6</v>
      </c>
      <c r="I417" s="19">
        <f>SUMIFS('Stock Outflow'!$E$2:$E$601,'Stock Outflow'!$A$2:$A$601,$A417,'Stock Outflow'!$D$2:$D$601,$D417)</f>
        <v>0</v>
      </c>
      <c r="J417" s="19">
        <f t="shared" si="36"/>
        <v>274</v>
      </c>
      <c r="K417" s="20">
        <f>INDEX('Item Master'!$F$2:$F$51,MATCH($A417,'Item Master'!$A$2:$A$51,0))</f>
        <v>1400</v>
      </c>
      <c r="L417" s="20">
        <f t="shared" si="37"/>
        <v>8400</v>
      </c>
      <c r="M417" s="21">
        <f t="shared" si="38"/>
        <v>0.2</v>
      </c>
      <c r="N417" s="19">
        <f>INDEX('Item Master'!$E$2:$E$51,MATCH($A417,'Item Master'!$A$2:$A$51,0))</f>
        <v>10</v>
      </c>
      <c r="O417" s="22">
        <f>INDEX('Product Summary'!$L$2:$L$51,MATCH($A417,'Product Summary'!$A$2:$A$51,0))</f>
        <v>1.4444444444444442</v>
      </c>
      <c r="P417" s="22">
        <f>INDEX('Product Summary'!$M$2:$M$51,MATCH($A417,'Product Summary'!$A$2:$A$51,0))</f>
        <v>3.6362252663622523</v>
      </c>
      <c r="Q417" s="22">
        <f t="shared" si="39"/>
        <v>1370</v>
      </c>
      <c r="R417" s="22">
        <f t="shared" si="40"/>
        <v>1351.8188736681886</v>
      </c>
      <c r="S417" s="19" t="str">
        <f t="shared" si="41"/>
        <v>OVERSTOCK</v>
      </c>
    </row>
    <row r="418" spans="1:19" x14ac:dyDescent="0.3">
      <c r="A418" s="19" t="s">
        <v>140</v>
      </c>
      <c r="B418" s="19" t="s">
        <v>141</v>
      </c>
      <c r="C418" s="19" t="s">
        <v>40</v>
      </c>
      <c r="D418" s="19" t="s">
        <v>43</v>
      </c>
      <c r="E418" s="19">
        <f>SUMIFS('Stock Inflow'!$G$2:$G$601,'Stock Inflow'!$A$2:$A$601,$A418,'Stock Inflow'!$D$2:$D$601,$D418)</f>
        <v>274</v>
      </c>
      <c r="F418" s="19">
        <f>SUMIFS('Stock Inflow'!$F$2:$F$601,'Stock Inflow'!$A$2:$A$601,$A418,'Stock Inflow'!$D$2:$D$601,$D418)</f>
        <v>7</v>
      </c>
      <c r="G418" s="19">
        <f>SUMIFS('Stock Inflow'!$E$2:$E$601,'Stock Inflow'!$A$2:$A$601,$A418,'Stock Inflow'!$D$2:$D$601,$D418)</f>
        <v>0</v>
      </c>
      <c r="H418" s="19">
        <f>SUMIFS('Stock Outflow'!$F$2:$F$601,'Stock Outflow'!$A$2:$A$601,$A418,'Stock Outflow'!$D$2:$D$601,$D418)</f>
        <v>6</v>
      </c>
      <c r="I418" s="19">
        <f>SUMIFS('Stock Outflow'!$E$2:$E$601,'Stock Outflow'!$A$2:$A$601,$A418,'Stock Outflow'!$D$2:$D$601,$D418)</f>
        <v>0</v>
      </c>
      <c r="J418" s="19">
        <f t="shared" si="36"/>
        <v>275</v>
      </c>
      <c r="K418" s="20">
        <f>INDEX('Item Master'!$F$2:$F$51,MATCH($A418,'Item Master'!$A$2:$A$51,0))</f>
        <v>1400</v>
      </c>
      <c r="L418" s="20">
        <f t="shared" si="37"/>
        <v>8400</v>
      </c>
      <c r="M418" s="21">
        <f t="shared" si="38"/>
        <v>0.2</v>
      </c>
      <c r="N418" s="19">
        <f>INDEX('Item Master'!$E$2:$E$51,MATCH($A418,'Item Master'!$A$2:$A$51,0))</f>
        <v>10</v>
      </c>
      <c r="O418" s="22">
        <f>INDEX('Product Summary'!$L$2:$L$51,MATCH($A418,'Product Summary'!$A$2:$A$51,0))</f>
        <v>1.4444444444444442</v>
      </c>
      <c r="P418" s="22">
        <f>INDEX('Product Summary'!$M$2:$M$51,MATCH($A418,'Product Summary'!$A$2:$A$51,0))</f>
        <v>3.6362252663622523</v>
      </c>
      <c r="Q418" s="22">
        <f t="shared" si="39"/>
        <v>1375</v>
      </c>
      <c r="R418" s="22">
        <f t="shared" si="40"/>
        <v>1356.8188736681886</v>
      </c>
      <c r="S418" s="19" t="str">
        <f t="shared" si="41"/>
        <v>OVERSTOCK</v>
      </c>
    </row>
    <row r="419" spans="1:19" x14ac:dyDescent="0.3">
      <c r="A419" s="19" t="s">
        <v>140</v>
      </c>
      <c r="B419" s="19" t="s">
        <v>141</v>
      </c>
      <c r="C419" s="19" t="s">
        <v>40</v>
      </c>
      <c r="D419" s="19" t="s">
        <v>45</v>
      </c>
      <c r="E419" s="19">
        <f>SUMIFS('Stock Inflow'!$G$2:$G$601,'Stock Inflow'!$A$2:$A$601,$A419,'Stock Inflow'!$D$2:$D$601,$D419)</f>
        <v>275</v>
      </c>
      <c r="F419" s="19">
        <f>SUMIFS('Stock Inflow'!$F$2:$F$601,'Stock Inflow'!$A$2:$A$601,$A419,'Stock Inflow'!$D$2:$D$601,$D419)</f>
        <v>12</v>
      </c>
      <c r="G419" s="19">
        <f>SUMIFS('Stock Inflow'!$E$2:$E$601,'Stock Inflow'!$A$2:$A$601,$A419,'Stock Inflow'!$D$2:$D$601,$D419)</f>
        <v>0</v>
      </c>
      <c r="H419" s="19">
        <f>SUMIFS('Stock Outflow'!$F$2:$F$601,'Stock Outflow'!$A$2:$A$601,$A419,'Stock Outflow'!$D$2:$D$601,$D419)</f>
        <v>11</v>
      </c>
      <c r="I419" s="19">
        <f>SUMIFS('Stock Outflow'!$E$2:$E$601,'Stock Outflow'!$A$2:$A$601,$A419,'Stock Outflow'!$D$2:$D$601,$D419)</f>
        <v>0</v>
      </c>
      <c r="J419" s="19">
        <f t="shared" si="36"/>
        <v>276</v>
      </c>
      <c r="K419" s="20">
        <f>INDEX('Item Master'!$F$2:$F$51,MATCH($A419,'Item Master'!$A$2:$A$51,0))</f>
        <v>1400</v>
      </c>
      <c r="L419" s="20">
        <f t="shared" si="37"/>
        <v>15400</v>
      </c>
      <c r="M419" s="21">
        <f t="shared" si="38"/>
        <v>0.36666666666666664</v>
      </c>
      <c r="N419" s="19">
        <f>INDEX('Item Master'!$E$2:$E$51,MATCH($A419,'Item Master'!$A$2:$A$51,0))</f>
        <v>10</v>
      </c>
      <c r="O419" s="22">
        <f>INDEX('Product Summary'!$L$2:$L$51,MATCH($A419,'Product Summary'!$A$2:$A$51,0))</f>
        <v>1.4444444444444442</v>
      </c>
      <c r="P419" s="22">
        <f>INDEX('Product Summary'!$M$2:$M$51,MATCH($A419,'Product Summary'!$A$2:$A$51,0))</f>
        <v>3.6362252663622523</v>
      </c>
      <c r="Q419" s="22">
        <f t="shared" si="39"/>
        <v>752.72727272727275</v>
      </c>
      <c r="R419" s="22">
        <f t="shared" si="40"/>
        <v>742.81029472810303</v>
      </c>
      <c r="S419" s="19" t="str">
        <f t="shared" si="41"/>
        <v>OVERSTOCK</v>
      </c>
    </row>
    <row r="420" spans="1:19" x14ac:dyDescent="0.3">
      <c r="A420" s="19" t="s">
        <v>140</v>
      </c>
      <c r="B420" s="19" t="s">
        <v>141</v>
      </c>
      <c r="C420" s="19" t="s">
        <v>40</v>
      </c>
      <c r="D420" s="19" t="s">
        <v>47</v>
      </c>
      <c r="E420" s="19">
        <f>SUMIFS('Stock Inflow'!$G$2:$G$601,'Stock Inflow'!$A$2:$A$601,$A420,'Stock Inflow'!$D$2:$D$601,$D420)</f>
        <v>276</v>
      </c>
      <c r="F420" s="19">
        <f>SUMIFS('Stock Inflow'!$F$2:$F$601,'Stock Inflow'!$A$2:$A$601,$A420,'Stock Inflow'!$D$2:$D$601,$D420)</f>
        <v>8</v>
      </c>
      <c r="G420" s="19">
        <f>SUMIFS('Stock Inflow'!$E$2:$E$601,'Stock Inflow'!$A$2:$A$601,$A420,'Stock Inflow'!$D$2:$D$601,$D420)</f>
        <v>0</v>
      </c>
      <c r="H420" s="19">
        <f>SUMIFS('Stock Outflow'!$F$2:$F$601,'Stock Outflow'!$A$2:$A$601,$A420,'Stock Outflow'!$D$2:$D$601,$D420)</f>
        <v>7</v>
      </c>
      <c r="I420" s="19">
        <f>SUMIFS('Stock Outflow'!$E$2:$E$601,'Stock Outflow'!$A$2:$A$601,$A420,'Stock Outflow'!$D$2:$D$601,$D420)</f>
        <v>0</v>
      </c>
      <c r="J420" s="19">
        <f t="shared" si="36"/>
        <v>277</v>
      </c>
      <c r="K420" s="20">
        <f>INDEX('Item Master'!$F$2:$F$51,MATCH($A420,'Item Master'!$A$2:$A$51,0))</f>
        <v>1400</v>
      </c>
      <c r="L420" s="20">
        <f t="shared" si="37"/>
        <v>9800</v>
      </c>
      <c r="M420" s="21">
        <f t="shared" si="38"/>
        <v>0.23333333333333334</v>
      </c>
      <c r="N420" s="19">
        <f>INDEX('Item Master'!$E$2:$E$51,MATCH($A420,'Item Master'!$A$2:$A$51,0))</f>
        <v>10</v>
      </c>
      <c r="O420" s="22">
        <f>INDEX('Product Summary'!$L$2:$L$51,MATCH($A420,'Product Summary'!$A$2:$A$51,0))</f>
        <v>1.4444444444444442</v>
      </c>
      <c r="P420" s="22">
        <f>INDEX('Product Summary'!$M$2:$M$51,MATCH($A420,'Product Summary'!$A$2:$A$51,0))</f>
        <v>3.6362252663622523</v>
      </c>
      <c r="Q420" s="22">
        <f t="shared" si="39"/>
        <v>1187.1428571428571</v>
      </c>
      <c r="R420" s="22">
        <f t="shared" si="40"/>
        <v>1171.5590345727333</v>
      </c>
      <c r="S420" s="19" t="str">
        <f t="shared" si="41"/>
        <v>OVERSTOCK</v>
      </c>
    </row>
    <row r="421" spans="1:19" x14ac:dyDescent="0.3">
      <c r="A421" s="19" t="s">
        <v>140</v>
      </c>
      <c r="B421" s="19" t="s">
        <v>141</v>
      </c>
      <c r="C421" s="19" t="s">
        <v>40</v>
      </c>
      <c r="D421" s="19" t="s">
        <v>49</v>
      </c>
      <c r="E421" s="19">
        <f>SUMIFS('Stock Inflow'!$G$2:$G$601,'Stock Inflow'!$A$2:$A$601,$A421,'Stock Inflow'!$D$2:$D$601,$D421)</f>
        <v>277</v>
      </c>
      <c r="F421" s="19">
        <f>SUMIFS('Stock Inflow'!$F$2:$F$601,'Stock Inflow'!$A$2:$A$601,$A421,'Stock Inflow'!$D$2:$D$601,$D421)</f>
        <v>8</v>
      </c>
      <c r="G421" s="19">
        <f>SUMIFS('Stock Inflow'!$E$2:$E$601,'Stock Inflow'!$A$2:$A$601,$A421,'Stock Inflow'!$D$2:$D$601,$D421)</f>
        <v>0</v>
      </c>
      <c r="H421" s="19">
        <f>SUMIFS('Stock Outflow'!$F$2:$F$601,'Stock Outflow'!$A$2:$A$601,$A421,'Stock Outflow'!$D$2:$D$601,$D421)</f>
        <v>7</v>
      </c>
      <c r="I421" s="19">
        <f>SUMIFS('Stock Outflow'!$E$2:$E$601,'Stock Outflow'!$A$2:$A$601,$A421,'Stock Outflow'!$D$2:$D$601,$D421)</f>
        <v>0</v>
      </c>
      <c r="J421" s="19">
        <f t="shared" si="36"/>
        <v>278</v>
      </c>
      <c r="K421" s="20">
        <f>INDEX('Item Master'!$F$2:$F$51,MATCH($A421,'Item Master'!$A$2:$A$51,0))</f>
        <v>1400</v>
      </c>
      <c r="L421" s="20">
        <f t="shared" si="37"/>
        <v>9800</v>
      </c>
      <c r="M421" s="21">
        <f t="shared" si="38"/>
        <v>0.23333333333333334</v>
      </c>
      <c r="N421" s="19">
        <f>INDEX('Item Master'!$E$2:$E$51,MATCH($A421,'Item Master'!$A$2:$A$51,0))</f>
        <v>10</v>
      </c>
      <c r="O421" s="22">
        <f>INDEX('Product Summary'!$L$2:$L$51,MATCH($A421,'Product Summary'!$A$2:$A$51,0))</f>
        <v>1.4444444444444442</v>
      </c>
      <c r="P421" s="22">
        <f>INDEX('Product Summary'!$M$2:$M$51,MATCH($A421,'Product Summary'!$A$2:$A$51,0))</f>
        <v>3.6362252663622523</v>
      </c>
      <c r="Q421" s="22">
        <f t="shared" si="39"/>
        <v>1191.4285714285713</v>
      </c>
      <c r="R421" s="22">
        <f t="shared" si="40"/>
        <v>1175.8447488584475</v>
      </c>
      <c r="S421" s="19" t="str">
        <f t="shared" si="41"/>
        <v>OVERSTOCK</v>
      </c>
    </row>
    <row r="422" spans="1:19" x14ac:dyDescent="0.3">
      <c r="A422" s="19" t="s">
        <v>142</v>
      </c>
      <c r="B422" s="19" t="s">
        <v>143</v>
      </c>
      <c r="C422" s="19" t="s">
        <v>48</v>
      </c>
      <c r="D422" s="19" t="s">
        <v>27</v>
      </c>
      <c r="E422" s="19">
        <f>SUMIFS('Stock Inflow'!$G$2:$G$601,'Stock Inflow'!$A$2:$A$601,$A422,'Stock Inflow'!$D$2:$D$601,$D422)</f>
        <v>206</v>
      </c>
      <c r="F422" s="19">
        <f>SUMIFS('Stock Inflow'!$F$2:$F$601,'Stock Inflow'!$A$2:$A$601,$A422,'Stock Inflow'!$D$2:$D$601,$D422)</f>
        <v>16</v>
      </c>
      <c r="G422" s="19">
        <f>SUMIFS('Stock Inflow'!$E$2:$E$601,'Stock Inflow'!$A$2:$A$601,$A422,'Stock Inflow'!$D$2:$D$601,$D422)</f>
        <v>1</v>
      </c>
      <c r="H422" s="19">
        <f>SUMIFS('Stock Outflow'!$F$2:$F$601,'Stock Outflow'!$A$2:$A$601,$A422,'Stock Outflow'!$D$2:$D$601,$D422)</f>
        <v>16</v>
      </c>
      <c r="I422" s="19">
        <f>SUMIFS('Stock Outflow'!$E$2:$E$601,'Stock Outflow'!$A$2:$A$601,$A422,'Stock Outflow'!$D$2:$D$601,$D422)</f>
        <v>0</v>
      </c>
      <c r="J422" s="19">
        <f t="shared" si="36"/>
        <v>207</v>
      </c>
      <c r="K422" s="20">
        <f>INDEX('Item Master'!$F$2:$F$51,MATCH($A422,'Item Master'!$A$2:$A$51,0))</f>
        <v>200</v>
      </c>
      <c r="L422" s="20">
        <f t="shared" si="37"/>
        <v>3200</v>
      </c>
      <c r="M422" s="21">
        <f t="shared" si="38"/>
        <v>0.53333333333333333</v>
      </c>
      <c r="N422" s="19">
        <f>INDEX('Item Master'!$E$2:$E$51,MATCH($A422,'Item Master'!$A$2:$A$51,0))</f>
        <v>10</v>
      </c>
      <c r="O422" s="22">
        <f>INDEX('Product Summary'!$L$2:$L$51,MATCH($A422,'Product Summary'!$A$2:$A$51,0))</f>
        <v>2.4166666666666665</v>
      </c>
      <c r="P422" s="22">
        <f>INDEX('Product Summary'!$M$2:$M$51,MATCH($A422,'Product Summary'!$A$2:$A$51,0))</f>
        <v>8.2522831050228316</v>
      </c>
      <c r="Q422" s="22">
        <f t="shared" si="39"/>
        <v>388.125</v>
      </c>
      <c r="R422" s="22">
        <f t="shared" si="40"/>
        <v>372.6519691780822</v>
      </c>
      <c r="S422" s="19" t="str">
        <f t="shared" si="41"/>
        <v>OVERSTOCK</v>
      </c>
    </row>
    <row r="423" spans="1:19" x14ac:dyDescent="0.3">
      <c r="A423" s="19" t="s">
        <v>142</v>
      </c>
      <c r="B423" s="19" t="s">
        <v>143</v>
      </c>
      <c r="C423" s="19" t="s">
        <v>48</v>
      </c>
      <c r="D423" s="19" t="s">
        <v>29</v>
      </c>
      <c r="E423" s="19">
        <f>SUMIFS('Stock Inflow'!$G$2:$G$601,'Stock Inflow'!$A$2:$A$601,$A423,'Stock Inflow'!$D$2:$D$601,$D423)</f>
        <v>207</v>
      </c>
      <c r="F423" s="19">
        <f>SUMIFS('Stock Inflow'!$F$2:$F$601,'Stock Inflow'!$A$2:$A$601,$A423,'Stock Inflow'!$D$2:$D$601,$D423)</f>
        <v>21</v>
      </c>
      <c r="G423" s="19">
        <f>SUMIFS('Stock Inflow'!$E$2:$E$601,'Stock Inflow'!$A$2:$A$601,$A423,'Stock Inflow'!$D$2:$D$601,$D423)</f>
        <v>1</v>
      </c>
      <c r="H423" s="19">
        <f>SUMIFS('Stock Outflow'!$F$2:$F$601,'Stock Outflow'!$A$2:$A$601,$A423,'Stock Outflow'!$D$2:$D$601,$D423)</f>
        <v>18</v>
      </c>
      <c r="I423" s="19">
        <f>SUMIFS('Stock Outflow'!$E$2:$E$601,'Stock Outflow'!$A$2:$A$601,$A423,'Stock Outflow'!$D$2:$D$601,$D423)</f>
        <v>0</v>
      </c>
      <c r="J423" s="19">
        <f t="shared" si="36"/>
        <v>211</v>
      </c>
      <c r="K423" s="20">
        <f>INDEX('Item Master'!$F$2:$F$51,MATCH($A423,'Item Master'!$A$2:$A$51,0))</f>
        <v>200</v>
      </c>
      <c r="L423" s="20">
        <f t="shared" si="37"/>
        <v>3600</v>
      </c>
      <c r="M423" s="21">
        <f t="shared" si="38"/>
        <v>0.6</v>
      </c>
      <c r="N423" s="19">
        <f>INDEX('Item Master'!$E$2:$E$51,MATCH($A423,'Item Master'!$A$2:$A$51,0))</f>
        <v>10</v>
      </c>
      <c r="O423" s="22">
        <f>INDEX('Product Summary'!$L$2:$L$51,MATCH($A423,'Product Summary'!$A$2:$A$51,0))</f>
        <v>2.4166666666666665</v>
      </c>
      <c r="P423" s="22">
        <f>INDEX('Product Summary'!$M$2:$M$51,MATCH($A423,'Product Summary'!$A$2:$A$51,0))</f>
        <v>8.2522831050228316</v>
      </c>
      <c r="Q423" s="22">
        <f t="shared" si="39"/>
        <v>351.66666666666669</v>
      </c>
      <c r="R423" s="22">
        <f t="shared" si="40"/>
        <v>337.91286149162863</v>
      </c>
      <c r="S423" s="19" t="str">
        <f t="shared" si="41"/>
        <v>OVERSTOCK</v>
      </c>
    </row>
    <row r="424" spans="1:19" x14ac:dyDescent="0.3">
      <c r="A424" s="19" t="s">
        <v>142</v>
      </c>
      <c r="B424" s="19" t="s">
        <v>143</v>
      </c>
      <c r="C424" s="19" t="s">
        <v>48</v>
      </c>
      <c r="D424" s="19" t="s">
        <v>31</v>
      </c>
      <c r="E424" s="19">
        <f>SUMIFS('Stock Inflow'!$G$2:$G$601,'Stock Inflow'!$A$2:$A$601,$A424,'Stock Inflow'!$D$2:$D$601,$D424)</f>
        <v>211</v>
      </c>
      <c r="F424" s="19">
        <f>SUMIFS('Stock Inflow'!$F$2:$F$601,'Stock Inflow'!$A$2:$A$601,$A424,'Stock Inflow'!$D$2:$D$601,$D424)</f>
        <v>19</v>
      </c>
      <c r="G424" s="19">
        <f>SUMIFS('Stock Inflow'!$E$2:$E$601,'Stock Inflow'!$A$2:$A$601,$A424,'Stock Inflow'!$D$2:$D$601,$D424)</f>
        <v>1</v>
      </c>
      <c r="H424" s="19">
        <f>SUMIFS('Stock Outflow'!$F$2:$F$601,'Stock Outflow'!$A$2:$A$601,$A424,'Stock Outflow'!$D$2:$D$601,$D424)</f>
        <v>17</v>
      </c>
      <c r="I424" s="19">
        <f>SUMIFS('Stock Outflow'!$E$2:$E$601,'Stock Outflow'!$A$2:$A$601,$A424,'Stock Outflow'!$D$2:$D$601,$D424)</f>
        <v>0</v>
      </c>
      <c r="J424" s="19">
        <f t="shared" si="36"/>
        <v>214</v>
      </c>
      <c r="K424" s="20">
        <f>INDEX('Item Master'!$F$2:$F$51,MATCH($A424,'Item Master'!$A$2:$A$51,0))</f>
        <v>200</v>
      </c>
      <c r="L424" s="20">
        <f t="shared" si="37"/>
        <v>3400</v>
      </c>
      <c r="M424" s="21">
        <f t="shared" si="38"/>
        <v>0.56666666666666665</v>
      </c>
      <c r="N424" s="19">
        <f>INDEX('Item Master'!$E$2:$E$51,MATCH($A424,'Item Master'!$A$2:$A$51,0))</f>
        <v>10</v>
      </c>
      <c r="O424" s="22">
        <f>INDEX('Product Summary'!$L$2:$L$51,MATCH($A424,'Product Summary'!$A$2:$A$51,0))</f>
        <v>2.4166666666666665</v>
      </c>
      <c r="P424" s="22">
        <f>INDEX('Product Summary'!$M$2:$M$51,MATCH($A424,'Product Summary'!$A$2:$A$51,0))</f>
        <v>8.2522831050228316</v>
      </c>
      <c r="Q424" s="22">
        <f t="shared" si="39"/>
        <v>377.64705882352945</v>
      </c>
      <c r="R424" s="22">
        <f t="shared" si="40"/>
        <v>363.08420628525386</v>
      </c>
      <c r="S424" s="19" t="str">
        <f t="shared" si="41"/>
        <v>OVERSTOCK</v>
      </c>
    </row>
    <row r="425" spans="1:19" x14ac:dyDescent="0.3">
      <c r="A425" s="19" t="s">
        <v>142</v>
      </c>
      <c r="B425" s="19" t="s">
        <v>143</v>
      </c>
      <c r="C425" s="19" t="s">
        <v>48</v>
      </c>
      <c r="D425" s="19" t="s">
        <v>33</v>
      </c>
      <c r="E425" s="19">
        <f>SUMIFS('Stock Inflow'!$G$2:$G$601,'Stock Inflow'!$A$2:$A$601,$A425,'Stock Inflow'!$D$2:$D$601,$D425)</f>
        <v>214</v>
      </c>
      <c r="F425" s="19">
        <f>SUMIFS('Stock Inflow'!$F$2:$F$601,'Stock Inflow'!$A$2:$A$601,$A425,'Stock Inflow'!$D$2:$D$601,$D425)</f>
        <v>18</v>
      </c>
      <c r="G425" s="19">
        <f>SUMIFS('Stock Inflow'!$E$2:$E$601,'Stock Inflow'!$A$2:$A$601,$A425,'Stock Inflow'!$D$2:$D$601,$D425)</f>
        <v>0</v>
      </c>
      <c r="H425" s="19">
        <f>SUMIFS('Stock Outflow'!$F$2:$F$601,'Stock Outflow'!$A$2:$A$601,$A425,'Stock Outflow'!$D$2:$D$601,$D425)</f>
        <v>16</v>
      </c>
      <c r="I425" s="19">
        <f>SUMIFS('Stock Outflow'!$E$2:$E$601,'Stock Outflow'!$A$2:$A$601,$A425,'Stock Outflow'!$D$2:$D$601,$D425)</f>
        <v>0</v>
      </c>
      <c r="J425" s="19">
        <f t="shared" si="36"/>
        <v>216</v>
      </c>
      <c r="K425" s="20">
        <f>INDEX('Item Master'!$F$2:$F$51,MATCH($A425,'Item Master'!$A$2:$A$51,0))</f>
        <v>200</v>
      </c>
      <c r="L425" s="20">
        <f t="shared" si="37"/>
        <v>3200</v>
      </c>
      <c r="M425" s="21">
        <f t="shared" si="38"/>
        <v>0.53333333333333333</v>
      </c>
      <c r="N425" s="19">
        <f>INDEX('Item Master'!$E$2:$E$51,MATCH($A425,'Item Master'!$A$2:$A$51,0))</f>
        <v>10</v>
      </c>
      <c r="O425" s="22">
        <f>INDEX('Product Summary'!$L$2:$L$51,MATCH($A425,'Product Summary'!$A$2:$A$51,0))</f>
        <v>2.4166666666666665</v>
      </c>
      <c r="P425" s="22">
        <f>INDEX('Product Summary'!$M$2:$M$51,MATCH($A425,'Product Summary'!$A$2:$A$51,0))</f>
        <v>8.2522831050228316</v>
      </c>
      <c r="Q425" s="22">
        <f t="shared" si="39"/>
        <v>405</v>
      </c>
      <c r="R425" s="22">
        <f t="shared" si="40"/>
        <v>389.5269691780822</v>
      </c>
      <c r="S425" s="19" t="str">
        <f t="shared" si="41"/>
        <v>OVERSTOCK</v>
      </c>
    </row>
    <row r="426" spans="1:19" x14ac:dyDescent="0.3">
      <c r="A426" s="19" t="s">
        <v>142</v>
      </c>
      <c r="B426" s="19" t="s">
        <v>143</v>
      </c>
      <c r="C426" s="19" t="s">
        <v>48</v>
      </c>
      <c r="D426" s="19" t="s">
        <v>35</v>
      </c>
      <c r="E426" s="19">
        <f>SUMIFS('Stock Inflow'!$G$2:$G$601,'Stock Inflow'!$A$2:$A$601,$A426,'Stock Inflow'!$D$2:$D$601,$D426)</f>
        <v>216</v>
      </c>
      <c r="F426" s="19">
        <f>SUMIFS('Stock Inflow'!$F$2:$F$601,'Stock Inflow'!$A$2:$A$601,$A426,'Stock Inflow'!$D$2:$D$601,$D426)</f>
        <v>17</v>
      </c>
      <c r="G426" s="19">
        <f>SUMIFS('Stock Inflow'!$E$2:$E$601,'Stock Inflow'!$A$2:$A$601,$A426,'Stock Inflow'!$D$2:$D$601,$D426)</f>
        <v>1</v>
      </c>
      <c r="H426" s="19">
        <f>SUMIFS('Stock Outflow'!$F$2:$F$601,'Stock Outflow'!$A$2:$A$601,$A426,'Stock Outflow'!$D$2:$D$601,$D426)</f>
        <v>16</v>
      </c>
      <c r="I426" s="19">
        <f>SUMIFS('Stock Outflow'!$E$2:$E$601,'Stock Outflow'!$A$2:$A$601,$A426,'Stock Outflow'!$D$2:$D$601,$D426)</f>
        <v>0</v>
      </c>
      <c r="J426" s="19">
        <f t="shared" si="36"/>
        <v>218</v>
      </c>
      <c r="K426" s="20">
        <f>INDEX('Item Master'!$F$2:$F$51,MATCH($A426,'Item Master'!$A$2:$A$51,0))</f>
        <v>200</v>
      </c>
      <c r="L426" s="20">
        <f t="shared" si="37"/>
        <v>3200</v>
      </c>
      <c r="M426" s="21">
        <f t="shared" si="38"/>
        <v>0.53333333333333333</v>
      </c>
      <c r="N426" s="19">
        <f>INDEX('Item Master'!$E$2:$E$51,MATCH($A426,'Item Master'!$A$2:$A$51,0))</f>
        <v>10</v>
      </c>
      <c r="O426" s="22">
        <f>INDEX('Product Summary'!$L$2:$L$51,MATCH($A426,'Product Summary'!$A$2:$A$51,0))</f>
        <v>2.4166666666666665</v>
      </c>
      <c r="P426" s="22">
        <f>INDEX('Product Summary'!$M$2:$M$51,MATCH($A426,'Product Summary'!$A$2:$A$51,0))</f>
        <v>8.2522831050228316</v>
      </c>
      <c r="Q426" s="22">
        <f t="shared" si="39"/>
        <v>408.75</v>
      </c>
      <c r="R426" s="22">
        <f t="shared" si="40"/>
        <v>393.2769691780822</v>
      </c>
      <c r="S426" s="19" t="str">
        <f t="shared" si="41"/>
        <v>OVERSTOCK</v>
      </c>
    </row>
    <row r="427" spans="1:19" x14ac:dyDescent="0.3">
      <c r="A427" s="19" t="s">
        <v>142</v>
      </c>
      <c r="B427" s="19" t="s">
        <v>143</v>
      </c>
      <c r="C427" s="19" t="s">
        <v>48</v>
      </c>
      <c r="D427" s="19" t="s">
        <v>37</v>
      </c>
      <c r="E427" s="19">
        <f>SUMIFS('Stock Inflow'!$G$2:$G$601,'Stock Inflow'!$A$2:$A$601,$A427,'Stock Inflow'!$D$2:$D$601,$D427)</f>
        <v>218</v>
      </c>
      <c r="F427" s="19">
        <f>SUMIFS('Stock Inflow'!$F$2:$F$601,'Stock Inflow'!$A$2:$A$601,$A427,'Stock Inflow'!$D$2:$D$601,$D427)</f>
        <v>19</v>
      </c>
      <c r="G427" s="19">
        <f>SUMIFS('Stock Inflow'!$E$2:$E$601,'Stock Inflow'!$A$2:$A$601,$A427,'Stock Inflow'!$D$2:$D$601,$D427)</f>
        <v>0</v>
      </c>
      <c r="H427" s="19">
        <f>SUMIFS('Stock Outflow'!$F$2:$F$601,'Stock Outflow'!$A$2:$A$601,$A427,'Stock Outflow'!$D$2:$D$601,$D427)</f>
        <v>15</v>
      </c>
      <c r="I427" s="19">
        <f>SUMIFS('Stock Outflow'!$E$2:$E$601,'Stock Outflow'!$A$2:$A$601,$A427,'Stock Outflow'!$D$2:$D$601,$D427)</f>
        <v>1</v>
      </c>
      <c r="J427" s="19">
        <f t="shared" si="36"/>
        <v>221</v>
      </c>
      <c r="K427" s="20">
        <f>INDEX('Item Master'!$F$2:$F$51,MATCH($A427,'Item Master'!$A$2:$A$51,0))</f>
        <v>200</v>
      </c>
      <c r="L427" s="20">
        <f t="shared" si="37"/>
        <v>3000</v>
      </c>
      <c r="M427" s="21">
        <f t="shared" si="38"/>
        <v>0.5</v>
      </c>
      <c r="N427" s="19">
        <f>INDEX('Item Master'!$E$2:$E$51,MATCH($A427,'Item Master'!$A$2:$A$51,0))</f>
        <v>10</v>
      </c>
      <c r="O427" s="22">
        <f>INDEX('Product Summary'!$L$2:$L$51,MATCH($A427,'Product Summary'!$A$2:$A$51,0))</f>
        <v>2.4166666666666665</v>
      </c>
      <c r="P427" s="22">
        <f>INDEX('Product Summary'!$M$2:$M$51,MATCH($A427,'Product Summary'!$A$2:$A$51,0))</f>
        <v>8.2522831050228316</v>
      </c>
      <c r="Q427" s="22">
        <f t="shared" si="39"/>
        <v>442</v>
      </c>
      <c r="R427" s="22">
        <f t="shared" si="40"/>
        <v>425.49543378995435</v>
      </c>
      <c r="S427" s="19" t="str">
        <f t="shared" si="41"/>
        <v>OVERSTOCK</v>
      </c>
    </row>
    <row r="428" spans="1:19" x14ac:dyDescent="0.3">
      <c r="A428" s="19" t="s">
        <v>142</v>
      </c>
      <c r="B428" s="19" t="s">
        <v>143</v>
      </c>
      <c r="C428" s="19" t="s">
        <v>48</v>
      </c>
      <c r="D428" s="19" t="s">
        <v>39</v>
      </c>
      <c r="E428" s="19">
        <f>SUMIFS('Stock Inflow'!$G$2:$G$601,'Stock Inflow'!$A$2:$A$601,$A428,'Stock Inflow'!$D$2:$D$601,$D428)</f>
        <v>221</v>
      </c>
      <c r="F428" s="19">
        <f>SUMIFS('Stock Inflow'!$F$2:$F$601,'Stock Inflow'!$A$2:$A$601,$A428,'Stock Inflow'!$D$2:$D$601,$D428)</f>
        <v>22</v>
      </c>
      <c r="G428" s="19">
        <f>SUMIFS('Stock Inflow'!$E$2:$E$601,'Stock Inflow'!$A$2:$A$601,$A428,'Stock Inflow'!$D$2:$D$601,$D428)</f>
        <v>0</v>
      </c>
      <c r="H428" s="19">
        <f>SUMIFS('Stock Outflow'!$F$2:$F$601,'Stock Outflow'!$A$2:$A$601,$A428,'Stock Outflow'!$D$2:$D$601,$D428)</f>
        <v>18</v>
      </c>
      <c r="I428" s="19">
        <f>SUMIFS('Stock Outflow'!$E$2:$E$601,'Stock Outflow'!$A$2:$A$601,$A428,'Stock Outflow'!$D$2:$D$601,$D428)</f>
        <v>1</v>
      </c>
      <c r="J428" s="19">
        <f t="shared" si="36"/>
        <v>224</v>
      </c>
      <c r="K428" s="20">
        <f>INDEX('Item Master'!$F$2:$F$51,MATCH($A428,'Item Master'!$A$2:$A$51,0))</f>
        <v>200</v>
      </c>
      <c r="L428" s="20">
        <f t="shared" si="37"/>
        <v>3600</v>
      </c>
      <c r="M428" s="21">
        <f t="shared" si="38"/>
        <v>0.6</v>
      </c>
      <c r="N428" s="19">
        <f>INDEX('Item Master'!$E$2:$E$51,MATCH($A428,'Item Master'!$A$2:$A$51,0))</f>
        <v>10</v>
      </c>
      <c r="O428" s="22">
        <f>INDEX('Product Summary'!$L$2:$L$51,MATCH($A428,'Product Summary'!$A$2:$A$51,0))</f>
        <v>2.4166666666666665</v>
      </c>
      <c r="P428" s="22">
        <f>INDEX('Product Summary'!$M$2:$M$51,MATCH($A428,'Product Summary'!$A$2:$A$51,0))</f>
        <v>8.2522831050228316</v>
      </c>
      <c r="Q428" s="22">
        <f t="shared" si="39"/>
        <v>373.33333333333337</v>
      </c>
      <c r="R428" s="22">
        <f t="shared" si="40"/>
        <v>359.57952815829532</v>
      </c>
      <c r="S428" s="19" t="str">
        <f t="shared" si="41"/>
        <v>OVERSTOCK</v>
      </c>
    </row>
    <row r="429" spans="1:19" x14ac:dyDescent="0.3">
      <c r="A429" s="19" t="s">
        <v>142</v>
      </c>
      <c r="B429" s="19" t="s">
        <v>143</v>
      </c>
      <c r="C429" s="19" t="s">
        <v>48</v>
      </c>
      <c r="D429" s="19" t="s">
        <v>41</v>
      </c>
      <c r="E429" s="19">
        <f>SUMIFS('Stock Inflow'!$G$2:$G$601,'Stock Inflow'!$A$2:$A$601,$A429,'Stock Inflow'!$D$2:$D$601,$D429)</f>
        <v>224</v>
      </c>
      <c r="F429" s="19">
        <f>SUMIFS('Stock Inflow'!$F$2:$F$601,'Stock Inflow'!$A$2:$A$601,$A429,'Stock Inflow'!$D$2:$D$601,$D429)</f>
        <v>18</v>
      </c>
      <c r="G429" s="19">
        <f>SUMIFS('Stock Inflow'!$E$2:$E$601,'Stock Inflow'!$A$2:$A$601,$A429,'Stock Inflow'!$D$2:$D$601,$D429)</f>
        <v>0</v>
      </c>
      <c r="H429" s="19">
        <f>SUMIFS('Stock Outflow'!$F$2:$F$601,'Stock Outflow'!$A$2:$A$601,$A429,'Stock Outflow'!$D$2:$D$601,$D429)</f>
        <v>16</v>
      </c>
      <c r="I429" s="19">
        <f>SUMIFS('Stock Outflow'!$E$2:$E$601,'Stock Outflow'!$A$2:$A$601,$A429,'Stock Outflow'!$D$2:$D$601,$D429)</f>
        <v>0</v>
      </c>
      <c r="J429" s="19">
        <f t="shared" si="36"/>
        <v>226</v>
      </c>
      <c r="K429" s="20">
        <f>INDEX('Item Master'!$F$2:$F$51,MATCH($A429,'Item Master'!$A$2:$A$51,0))</f>
        <v>200</v>
      </c>
      <c r="L429" s="20">
        <f t="shared" si="37"/>
        <v>3200</v>
      </c>
      <c r="M429" s="21">
        <f t="shared" si="38"/>
        <v>0.53333333333333333</v>
      </c>
      <c r="N429" s="19">
        <f>INDEX('Item Master'!$E$2:$E$51,MATCH($A429,'Item Master'!$A$2:$A$51,0))</f>
        <v>10</v>
      </c>
      <c r="O429" s="22">
        <f>INDEX('Product Summary'!$L$2:$L$51,MATCH($A429,'Product Summary'!$A$2:$A$51,0))</f>
        <v>2.4166666666666665</v>
      </c>
      <c r="P429" s="22">
        <f>INDEX('Product Summary'!$M$2:$M$51,MATCH($A429,'Product Summary'!$A$2:$A$51,0))</f>
        <v>8.2522831050228316</v>
      </c>
      <c r="Q429" s="22">
        <f t="shared" si="39"/>
        <v>423.75</v>
      </c>
      <c r="R429" s="22">
        <f t="shared" si="40"/>
        <v>408.2769691780822</v>
      </c>
      <c r="S429" s="19" t="str">
        <f t="shared" si="41"/>
        <v>OVERSTOCK</v>
      </c>
    </row>
    <row r="430" spans="1:19" x14ac:dyDescent="0.3">
      <c r="A430" s="19" t="s">
        <v>142</v>
      </c>
      <c r="B430" s="19" t="s">
        <v>143</v>
      </c>
      <c r="C430" s="19" t="s">
        <v>48</v>
      </c>
      <c r="D430" s="19" t="s">
        <v>43</v>
      </c>
      <c r="E430" s="19">
        <f>SUMIFS('Stock Inflow'!$G$2:$G$601,'Stock Inflow'!$A$2:$A$601,$A430,'Stock Inflow'!$D$2:$D$601,$D430)</f>
        <v>226</v>
      </c>
      <c r="F430" s="19">
        <f>SUMIFS('Stock Inflow'!$F$2:$F$601,'Stock Inflow'!$A$2:$A$601,$A430,'Stock Inflow'!$D$2:$D$601,$D430)</f>
        <v>18</v>
      </c>
      <c r="G430" s="19">
        <f>SUMIFS('Stock Inflow'!$E$2:$E$601,'Stock Inflow'!$A$2:$A$601,$A430,'Stock Inflow'!$D$2:$D$601,$D430)</f>
        <v>0</v>
      </c>
      <c r="H430" s="19">
        <f>SUMIFS('Stock Outflow'!$F$2:$F$601,'Stock Outflow'!$A$2:$A$601,$A430,'Stock Outflow'!$D$2:$D$601,$D430)</f>
        <v>18</v>
      </c>
      <c r="I430" s="19">
        <f>SUMIFS('Stock Outflow'!$E$2:$E$601,'Stock Outflow'!$A$2:$A$601,$A430,'Stock Outflow'!$D$2:$D$601,$D430)</f>
        <v>0</v>
      </c>
      <c r="J430" s="19">
        <f t="shared" si="36"/>
        <v>226</v>
      </c>
      <c r="K430" s="20">
        <f>INDEX('Item Master'!$F$2:$F$51,MATCH($A430,'Item Master'!$A$2:$A$51,0))</f>
        <v>200</v>
      </c>
      <c r="L430" s="20">
        <f t="shared" si="37"/>
        <v>3600</v>
      </c>
      <c r="M430" s="21">
        <f t="shared" si="38"/>
        <v>0.6</v>
      </c>
      <c r="N430" s="19">
        <f>INDEX('Item Master'!$E$2:$E$51,MATCH($A430,'Item Master'!$A$2:$A$51,0))</f>
        <v>10</v>
      </c>
      <c r="O430" s="22">
        <f>INDEX('Product Summary'!$L$2:$L$51,MATCH($A430,'Product Summary'!$A$2:$A$51,0))</f>
        <v>2.4166666666666665</v>
      </c>
      <c r="P430" s="22">
        <f>INDEX('Product Summary'!$M$2:$M$51,MATCH($A430,'Product Summary'!$A$2:$A$51,0))</f>
        <v>8.2522831050228316</v>
      </c>
      <c r="Q430" s="22">
        <f t="shared" si="39"/>
        <v>376.66666666666669</v>
      </c>
      <c r="R430" s="22">
        <f t="shared" si="40"/>
        <v>362.91286149162863</v>
      </c>
      <c r="S430" s="19" t="str">
        <f t="shared" si="41"/>
        <v>OVERSTOCK</v>
      </c>
    </row>
    <row r="431" spans="1:19" x14ac:dyDescent="0.3">
      <c r="A431" s="19" t="s">
        <v>142</v>
      </c>
      <c r="B431" s="19" t="s">
        <v>143</v>
      </c>
      <c r="C431" s="19" t="s">
        <v>48</v>
      </c>
      <c r="D431" s="19" t="s">
        <v>45</v>
      </c>
      <c r="E431" s="19">
        <f>SUMIFS('Stock Inflow'!$G$2:$G$601,'Stock Inflow'!$A$2:$A$601,$A431,'Stock Inflow'!$D$2:$D$601,$D431)</f>
        <v>226</v>
      </c>
      <c r="F431" s="19">
        <f>SUMIFS('Stock Inflow'!$F$2:$F$601,'Stock Inflow'!$A$2:$A$601,$A431,'Stock Inflow'!$D$2:$D$601,$D431)</f>
        <v>25</v>
      </c>
      <c r="G431" s="19">
        <f>SUMIFS('Stock Inflow'!$E$2:$E$601,'Stock Inflow'!$A$2:$A$601,$A431,'Stock Inflow'!$D$2:$D$601,$D431)</f>
        <v>0</v>
      </c>
      <c r="H431" s="19">
        <f>SUMIFS('Stock Outflow'!$F$2:$F$601,'Stock Outflow'!$A$2:$A$601,$A431,'Stock Outflow'!$D$2:$D$601,$D431)</f>
        <v>25</v>
      </c>
      <c r="I431" s="19">
        <f>SUMIFS('Stock Outflow'!$E$2:$E$601,'Stock Outflow'!$A$2:$A$601,$A431,'Stock Outflow'!$D$2:$D$601,$D431)</f>
        <v>0</v>
      </c>
      <c r="J431" s="19">
        <f t="shared" si="36"/>
        <v>226</v>
      </c>
      <c r="K431" s="20">
        <f>INDEX('Item Master'!$F$2:$F$51,MATCH($A431,'Item Master'!$A$2:$A$51,0))</f>
        <v>200</v>
      </c>
      <c r="L431" s="20">
        <f t="shared" si="37"/>
        <v>5000</v>
      </c>
      <c r="M431" s="21">
        <f t="shared" si="38"/>
        <v>0.83333333333333337</v>
      </c>
      <c r="N431" s="19">
        <f>INDEX('Item Master'!$E$2:$E$51,MATCH($A431,'Item Master'!$A$2:$A$51,0))</f>
        <v>10</v>
      </c>
      <c r="O431" s="22">
        <f>INDEX('Product Summary'!$L$2:$L$51,MATCH($A431,'Product Summary'!$A$2:$A$51,0))</f>
        <v>2.4166666666666665</v>
      </c>
      <c r="P431" s="22">
        <f>INDEX('Product Summary'!$M$2:$M$51,MATCH($A431,'Product Summary'!$A$2:$A$51,0))</f>
        <v>8.2522831050228316</v>
      </c>
      <c r="Q431" s="22">
        <f t="shared" si="39"/>
        <v>271.2</v>
      </c>
      <c r="R431" s="22">
        <f t="shared" si="40"/>
        <v>261.2972602739726</v>
      </c>
      <c r="S431" s="19" t="str">
        <f t="shared" si="41"/>
        <v>OVERSTOCK</v>
      </c>
    </row>
    <row r="432" spans="1:19" x14ac:dyDescent="0.3">
      <c r="A432" s="19" t="s">
        <v>142</v>
      </c>
      <c r="B432" s="19" t="s">
        <v>143</v>
      </c>
      <c r="C432" s="19" t="s">
        <v>48</v>
      </c>
      <c r="D432" s="19" t="s">
        <v>47</v>
      </c>
      <c r="E432" s="19">
        <f>SUMIFS('Stock Inflow'!$G$2:$G$601,'Stock Inflow'!$A$2:$A$601,$A432,'Stock Inflow'!$D$2:$D$601,$D432)</f>
        <v>226</v>
      </c>
      <c r="F432" s="19">
        <f>SUMIFS('Stock Inflow'!$F$2:$F$601,'Stock Inflow'!$A$2:$A$601,$A432,'Stock Inflow'!$D$2:$D$601,$D432)</f>
        <v>22</v>
      </c>
      <c r="G432" s="19">
        <f>SUMIFS('Stock Inflow'!$E$2:$E$601,'Stock Inflow'!$A$2:$A$601,$A432,'Stock Inflow'!$D$2:$D$601,$D432)</f>
        <v>0</v>
      </c>
      <c r="H432" s="19">
        <f>SUMIFS('Stock Outflow'!$F$2:$F$601,'Stock Outflow'!$A$2:$A$601,$A432,'Stock Outflow'!$D$2:$D$601,$D432)</f>
        <v>19</v>
      </c>
      <c r="I432" s="19">
        <f>SUMIFS('Stock Outflow'!$E$2:$E$601,'Stock Outflow'!$A$2:$A$601,$A432,'Stock Outflow'!$D$2:$D$601,$D432)</f>
        <v>1</v>
      </c>
      <c r="J432" s="19">
        <f t="shared" si="36"/>
        <v>228</v>
      </c>
      <c r="K432" s="20">
        <f>INDEX('Item Master'!$F$2:$F$51,MATCH($A432,'Item Master'!$A$2:$A$51,0))</f>
        <v>200</v>
      </c>
      <c r="L432" s="20">
        <f t="shared" si="37"/>
        <v>3800</v>
      </c>
      <c r="M432" s="21">
        <f t="shared" si="38"/>
        <v>0.6333333333333333</v>
      </c>
      <c r="N432" s="19">
        <f>INDEX('Item Master'!$E$2:$E$51,MATCH($A432,'Item Master'!$A$2:$A$51,0))</f>
        <v>10</v>
      </c>
      <c r="O432" s="22">
        <f>INDEX('Product Summary'!$L$2:$L$51,MATCH($A432,'Product Summary'!$A$2:$A$51,0))</f>
        <v>2.4166666666666665</v>
      </c>
      <c r="P432" s="22">
        <f>INDEX('Product Summary'!$M$2:$M$51,MATCH($A432,'Product Summary'!$A$2:$A$51,0))</f>
        <v>8.2522831050228316</v>
      </c>
      <c r="Q432" s="22">
        <f t="shared" si="39"/>
        <v>360</v>
      </c>
      <c r="R432" s="22">
        <f t="shared" si="40"/>
        <v>346.97007930785873</v>
      </c>
      <c r="S432" s="19" t="str">
        <f t="shared" si="41"/>
        <v>OVERSTOCK</v>
      </c>
    </row>
    <row r="433" spans="1:19" x14ac:dyDescent="0.3">
      <c r="A433" s="19" t="s">
        <v>142</v>
      </c>
      <c r="B433" s="19" t="s">
        <v>143</v>
      </c>
      <c r="C433" s="19" t="s">
        <v>48</v>
      </c>
      <c r="D433" s="19" t="s">
        <v>49</v>
      </c>
      <c r="E433" s="19">
        <f>SUMIFS('Stock Inflow'!$G$2:$G$601,'Stock Inflow'!$A$2:$A$601,$A433,'Stock Inflow'!$D$2:$D$601,$D433)</f>
        <v>228</v>
      </c>
      <c r="F433" s="19">
        <f>SUMIFS('Stock Inflow'!$F$2:$F$601,'Stock Inflow'!$A$2:$A$601,$A433,'Stock Inflow'!$D$2:$D$601,$D433)</f>
        <v>18</v>
      </c>
      <c r="G433" s="19">
        <f>SUMIFS('Stock Inflow'!$E$2:$E$601,'Stock Inflow'!$A$2:$A$601,$A433,'Stock Inflow'!$D$2:$D$601,$D433)</f>
        <v>1</v>
      </c>
      <c r="H433" s="19">
        <f>SUMIFS('Stock Outflow'!$F$2:$F$601,'Stock Outflow'!$A$2:$A$601,$A433,'Stock Outflow'!$D$2:$D$601,$D433)</f>
        <v>19</v>
      </c>
      <c r="I433" s="19">
        <f>SUMIFS('Stock Outflow'!$E$2:$E$601,'Stock Outflow'!$A$2:$A$601,$A433,'Stock Outflow'!$D$2:$D$601,$D433)</f>
        <v>0</v>
      </c>
      <c r="J433" s="19">
        <f t="shared" si="36"/>
        <v>228</v>
      </c>
      <c r="K433" s="20">
        <f>INDEX('Item Master'!$F$2:$F$51,MATCH($A433,'Item Master'!$A$2:$A$51,0))</f>
        <v>200</v>
      </c>
      <c r="L433" s="20">
        <f t="shared" si="37"/>
        <v>3800</v>
      </c>
      <c r="M433" s="21">
        <f t="shared" si="38"/>
        <v>0.6333333333333333</v>
      </c>
      <c r="N433" s="19">
        <f>INDEX('Item Master'!$E$2:$E$51,MATCH($A433,'Item Master'!$A$2:$A$51,0))</f>
        <v>10</v>
      </c>
      <c r="O433" s="22">
        <f>INDEX('Product Summary'!$L$2:$L$51,MATCH($A433,'Product Summary'!$A$2:$A$51,0))</f>
        <v>2.4166666666666665</v>
      </c>
      <c r="P433" s="22">
        <f>INDEX('Product Summary'!$M$2:$M$51,MATCH($A433,'Product Summary'!$A$2:$A$51,0))</f>
        <v>8.2522831050228316</v>
      </c>
      <c r="Q433" s="22">
        <f t="shared" si="39"/>
        <v>360</v>
      </c>
      <c r="R433" s="22">
        <f t="shared" si="40"/>
        <v>346.97007930785873</v>
      </c>
      <c r="S433" s="19" t="str">
        <f t="shared" si="41"/>
        <v>OVERSTOCK</v>
      </c>
    </row>
    <row r="434" spans="1:19" x14ac:dyDescent="0.3">
      <c r="A434" s="19" t="s">
        <v>144</v>
      </c>
      <c r="B434" s="19" t="s">
        <v>145</v>
      </c>
      <c r="C434" s="19" t="s">
        <v>48</v>
      </c>
      <c r="D434" s="19" t="s">
        <v>27</v>
      </c>
      <c r="E434" s="19">
        <f>SUMIFS('Stock Inflow'!$G$2:$G$601,'Stock Inflow'!$A$2:$A$601,$A434,'Stock Inflow'!$D$2:$D$601,$D434)</f>
        <v>182</v>
      </c>
      <c r="F434" s="19">
        <f>SUMIFS('Stock Inflow'!$F$2:$F$601,'Stock Inflow'!$A$2:$A$601,$A434,'Stock Inflow'!$D$2:$D$601,$D434)</f>
        <v>39</v>
      </c>
      <c r="G434" s="19">
        <f>SUMIFS('Stock Inflow'!$E$2:$E$601,'Stock Inflow'!$A$2:$A$601,$A434,'Stock Inflow'!$D$2:$D$601,$D434)</f>
        <v>1</v>
      </c>
      <c r="H434" s="19">
        <f>SUMIFS('Stock Outflow'!$F$2:$F$601,'Stock Outflow'!$A$2:$A$601,$A434,'Stock Outflow'!$D$2:$D$601,$D434)</f>
        <v>38</v>
      </c>
      <c r="I434" s="19">
        <f>SUMIFS('Stock Outflow'!$E$2:$E$601,'Stock Outflow'!$A$2:$A$601,$A434,'Stock Outflow'!$D$2:$D$601,$D434)</f>
        <v>0</v>
      </c>
      <c r="J434" s="19">
        <f t="shared" si="36"/>
        <v>184</v>
      </c>
      <c r="K434" s="20">
        <f>INDEX('Item Master'!$F$2:$F$51,MATCH($A434,'Item Master'!$A$2:$A$51,0))</f>
        <v>500</v>
      </c>
      <c r="L434" s="20">
        <f t="shared" si="37"/>
        <v>19000</v>
      </c>
      <c r="M434" s="21">
        <f t="shared" si="38"/>
        <v>1.2666666666666666</v>
      </c>
      <c r="N434" s="19">
        <f>INDEX('Item Master'!$E$2:$E$51,MATCH($A434,'Item Master'!$A$2:$A$51,0))</f>
        <v>10</v>
      </c>
      <c r="O434" s="22">
        <f>INDEX('Product Summary'!$L$2:$L$51,MATCH($A434,'Product Summary'!$A$2:$A$51,0))</f>
        <v>6.4444444444444446</v>
      </c>
      <c r="P434" s="22">
        <f>INDEX('Product Summary'!$M$2:$M$51,MATCH($A434,'Product Summary'!$A$2:$A$51,0))</f>
        <v>19.156773211567732</v>
      </c>
      <c r="Q434" s="22">
        <f t="shared" si="39"/>
        <v>145.26315789473685</v>
      </c>
      <c r="R434" s="22">
        <f t="shared" si="40"/>
        <v>130.13938956981497</v>
      </c>
      <c r="S434" s="19" t="str">
        <f t="shared" si="41"/>
        <v>HEALTHY</v>
      </c>
    </row>
    <row r="435" spans="1:19" x14ac:dyDescent="0.3">
      <c r="A435" s="19" t="s">
        <v>144</v>
      </c>
      <c r="B435" s="19" t="s">
        <v>145</v>
      </c>
      <c r="C435" s="19" t="s">
        <v>48</v>
      </c>
      <c r="D435" s="19" t="s">
        <v>29</v>
      </c>
      <c r="E435" s="19">
        <f>SUMIFS('Stock Inflow'!$G$2:$G$601,'Stock Inflow'!$A$2:$A$601,$A435,'Stock Inflow'!$D$2:$D$601,$D435)</f>
        <v>184</v>
      </c>
      <c r="F435" s="19">
        <f>SUMIFS('Stock Inflow'!$F$2:$F$601,'Stock Inflow'!$A$2:$A$601,$A435,'Stock Inflow'!$D$2:$D$601,$D435)</f>
        <v>44</v>
      </c>
      <c r="G435" s="19">
        <f>SUMIFS('Stock Inflow'!$E$2:$E$601,'Stock Inflow'!$A$2:$A$601,$A435,'Stock Inflow'!$D$2:$D$601,$D435)</f>
        <v>1</v>
      </c>
      <c r="H435" s="19">
        <f>SUMIFS('Stock Outflow'!$F$2:$F$601,'Stock Outflow'!$A$2:$A$601,$A435,'Stock Outflow'!$D$2:$D$601,$D435)</f>
        <v>38</v>
      </c>
      <c r="I435" s="19">
        <f>SUMIFS('Stock Outflow'!$E$2:$E$601,'Stock Outflow'!$A$2:$A$601,$A435,'Stock Outflow'!$D$2:$D$601,$D435)</f>
        <v>1</v>
      </c>
      <c r="J435" s="19">
        <f t="shared" si="36"/>
        <v>190</v>
      </c>
      <c r="K435" s="20">
        <f>INDEX('Item Master'!$F$2:$F$51,MATCH($A435,'Item Master'!$A$2:$A$51,0))</f>
        <v>500</v>
      </c>
      <c r="L435" s="20">
        <f t="shared" si="37"/>
        <v>19000</v>
      </c>
      <c r="M435" s="21">
        <f t="shared" si="38"/>
        <v>1.2666666666666666</v>
      </c>
      <c r="N435" s="19">
        <f>INDEX('Item Master'!$E$2:$E$51,MATCH($A435,'Item Master'!$A$2:$A$51,0))</f>
        <v>10</v>
      </c>
      <c r="O435" s="22">
        <f>INDEX('Product Summary'!$L$2:$L$51,MATCH($A435,'Product Summary'!$A$2:$A$51,0))</f>
        <v>6.4444444444444446</v>
      </c>
      <c r="P435" s="22">
        <f>INDEX('Product Summary'!$M$2:$M$51,MATCH($A435,'Product Summary'!$A$2:$A$51,0))</f>
        <v>19.156773211567732</v>
      </c>
      <c r="Q435" s="22">
        <f t="shared" si="39"/>
        <v>150</v>
      </c>
      <c r="R435" s="22">
        <f t="shared" si="40"/>
        <v>134.87623167507812</v>
      </c>
      <c r="S435" s="19" t="str">
        <f t="shared" si="41"/>
        <v>HEALTHY</v>
      </c>
    </row>
    <row r="436" spans="1:19" x14ac:dyDescent="0.3">
      <c r="A436" s="19" t="s">
        <v>144</v>
      </c>
      <c r="B436" s="19" t="s">
        <v>145</v>
      </c>
      <c r="C436" s="19" t="s">
        <v>48</v>
      </c>
      <c r="D436" s="19" t="s">
        <v>31</v>
      </c>
      <c r="E436" s="19">
        <f>SUMIFS('Stock Inflow'!$G$2:$G$601,'Stock Inflow'!$A$2:$A$601,$A436,'Stock Inflow'!$D$2:$D$601,$D436)</f>
        <v>190</v>
      </c>
      <c r="F436" s="19">
        <f>SUMIFS('Stock Inflow'!$F$2:$F$601,'Stock Inflow'!$A$2:$A$601,$A436,'Stock Inflow'!$D$2:$D$601,$D436)</f>
        <v>36</v>
      </c>
      <c r="G436" s="19">
        <f>SUMIFS('Stock Inflow'!$E$2:$E$601,'Stock Inflow'!$A$2:$A$601,$A436,'Stock Inflow'!$D$2:$D$601,$D436)</f>
        <v>1</v>
      </c>
      <c r="H436" s="19">
        <f>SUMIFS('Stock Outflow'!$F$2:$F$601,'Stock Outflow'!$A$2:$A$601,$A436,'Stock Outflow'!$D$2:$D$601,$D436)</f>
        <v>39</v>
      </c>
      <c r="I436" s="19">
        <f>SUMIFS('Stock Outflow'!$E$2:$E$601,'Stock Outflow'!$A$2:$A$601,$A436,'Stock Outflow'!$D$2:$D$601,$D436)</f>
        <v>0</v>
      </c>
      <c r="J436" s="19">
        <f t="shared" si="36"/>
        <v>188</v>
      </c>
      <c r="K436" s="20">
        <f>INDEX('Item Master'!$F$2:$F$51,MATCH($A436,'Item Master'!$A$2:$A$51,0))</f>
        <v>500</v>
      </c>
      <c r="L436" s="20">
        <f t="shared" si="37"/>
        <v>19500</v>
      </c>
      <c r="M436" s="21">
        <f t="shared" si="38"/>
        <v>1.3</v>
      </c>
      <c r="N436" s="19">
        <f>INDEX('Item Master'!$E$2:$E$51,MATCH($A436,'Item Master'!$A$2:$A$51,0))</f>
        <v>10</v>
      </c>
      <c r="O436" s="22">
        <f>INDEX('Product Summary'!$L$2:$L$51,MATCH($A436,'Product Summary'!$A$2:$A$51,0))</f>
        <v>6.4444444444444446</v>
      </c>
      <c r="P436" s="22">
        <f>INDEX('Product Summary'!$M$2:$M$51,MATCH($A436,'Product Summary'!$A$2:$A$51,0))</f>
        <v>19.156773211567732</v>
      </c>
      <c r="Q436" s="22">
        <f t="shared" si="39"/>
        <v>144.61538461538461</v>
      </c>
      <c r="R436" s="22">
        <f t="shared" si="40"/>
        <v>129.87940522187097</v>
      </c>
      <c r="S436" s="19" t="str">
        <f t="shared" si="41"/>
        <v>HEALTHY</v>
      </c>
    </row>
    <row r="437" spans="1:19" x14ac:dyDescent="0.3">
      <c r="A437" s="19" t="s">
        <v>144</v>
      </c>
      <c r="B437" s="19" t="s">
        <v>145</v>
      </c>
      <c r="C437" s="19" t="s">
        <v>48</v>
      </c>
      <c r="D437" s="19" t="s">
        <v>33</v>
      </c>
      <c r="E437" s="19">
        <f>SUMIFS('Stock Inflow'!$G$2:$G$601,'Stock Inflow'!$A$2:$A$601,$A437,'Stock Inflow'!$D$2:$D$601,$D437)</f>
        <v>188</v>
      </c>
      <c r="F437" s="19">
        <f>SUMIFS('Stock Inflow'!$F$2:$F$601,'Stock Inflow'!$A$2:$A$601,$A437,'Stock Inflow'!$D$2:$D$601,$D437)</f>
        <v>50</v>
      </c>
      <c r="G437" s="19">
        <f>SUMIFS('Stock Inflow'!$E$2:$E$601,'Stock Inflow'!$A$2:$A$601,$A437,'Stock Inflow'!$D$2:$D$601,$D437)</f>
        <v>0</v>
      </c>
      <c r="H437" s="19">
        <f>SUMIFS('Stock Outflow'!$F$2:$F$601,'Stock Outflow'!$A$2:$A$601,$A437,'Stock Outflow'!$D$2:$D$601,$D437)</f>
        <v>39</v>
      </c>
      <c r="I437" s="19">
        <f>SUMIFS('Stock Outflow'!$E$2:$E$601,'Stock Outflow'!$A$2:$A$601,$A437,'Stock Outflow'!$D$2:$D$601,$D437)</f>
        <v>1</v>
      </c>
      <c r="J437" s="19">
        <f t="shared" si="36"/>
        <v>198</v>
      </c>
      <c r="K437" s="20">
        <f>INDEX('Item Master'!$F$2:$F$51,MATCH($A437,'Item Master'!$A$2:$A$51,0))</f>
        <v>500</v>
      </c>
      <c r="L437" s="20">
        <f t="shared" si="37"/>
        <v>19500</v>
      </c>
      <c r="M437" s="21">
        <f t="shared" si="38"/>
        <v>1.3</v>
      </c>
      <c r="N437" s="19">
        <f>INDEX('Item Master'!$E$2:$E$51,MATCH($A437,'Item Master'!$A$2:$A$51,0))</f>
        <v>10</v>
      </c>
      <c r="O437" s="22">
        <f>INDEX('Product Summary'!$L$2:$L$51,MATCH($A437,'Product Summary'!$A$2:$A$51,0))</f>
        <v>6.4444444444444446</v>
      </c>
      <c r="P437" s="22">
        <f>INDEX('Product Summary'!$M$2:$M$51,MATCH($A437,'Product Summary'!$A$2:$A$51,0))</f>
        <v>19.156773211567732</v>
      </c>
      <c r="Q437" s="22">
        <f t="shared" si="39"/>
        <v>152.30769230769229</v>
      </c>
      <c r="R437" s="22">
        <f t="shared" si="40"/>
        <v>137.57171291417868</v>
      </c>
      <c r="S437" s="19" t="str">
        <f t="shared" si="41"/>
        <v>OVERSTOCK</v>
      </c>
    </row>
    <row r="438" spans="1:19" x14ac:dyDescent="0.3">
      <c r="A438" s="19" t="s">
        <v>144</v>
      </c>
      <c r="B438" s="19" t="s">
        <v>145</v>
      </c>
      <c r="C438" s="19" t="s">
        <v>48</v>
      </c>
      <c r="D438" s="19" t="s">
        <v>35</v>
      </c>
      <c r="E438" s="19">
        <f>SUMIFS('Stock Inflow'!$G$2:$G$601,'Stock Inflow'!$A$2:$A$601,$A438,'Stock Inflow'!$D$2:$D$601,$D438)</f>
        <v>198</v>
      </c>
      <c r="F438" s="19">
        <f>SUMIFS('Stock Inflow'!$F$2:$F$601,'Stock Inflow'!$A$2:$A$601,$A438,'Stock Inflow'!$D$2:$D$601,$D438)</f>
        <v>37</v>
      </c>
      <c r="G438" s="19">
        <f>SUMIFS('Stock Inflow'!$E$2:$E$601,'Stock Inflow'!$A$2:$A$601,$A438,'Stock Inflow'!$D$2:$D$601,$D438)</f>
        <v>1</v>
      </c>
      <c r="H438" s="19">
        <f>SUMIFS('Stock Outflow'!$F$2:$F$601,'Stock Outflow'!$A$2:$A$601,$A438,'Stock Outflow'!$D$2:$D$601,$D438)</f>
        <v>38</v>
      </c>
      <c r="I438" s="19">
        <f>SUMIFS('Stock Outflow'!$E$2:$E$601,'Stock Outflow'!$A$2:$A$601,$A438,'Stock Outflow'!$D$2:$D$601,$D438)</f>
        <v>1</v>
      </c>
      <c r="J438" s="19">
        <f t="shared" si="36"/>
        <v>197</v>
      </c>
      <c r="K438" s="20">
        <f>INDEX('Item Master'!$F$2:$F$51,MATCH($A438,'Item Master'!$A$2:$A$51,0))</f>
        <v>500</v>
      </c>
      <c r="L438" s="20">
        <f t="shared" si="37"/>
        <v>19000</v>
      </c>
      <c r="M438" s="21">
        <f t="shared" si="38"/>
        <v>1.2666666666666666</v>
      </c>
      <c r="N438" s="19">
        <f>INDEX('Item Master'!$E$2:$E$51,MATCH($A438,'Item Master'!$A$2:$A$51,0))</f>
        <v>10</v>
      </c>
      <c r="O438" s="22">
        <f>INDEX('Product Summary'!$L$2:$L$51,MATCH($A438,'Product Summary'!$A$2:$A$51,0))</f>
        <v>6.4444444444444446</v>
      </c>
      <c r="P438" s="22">
        <f>INDEX('Product Summary'!$M$2:$M$51,MATCH($A438,'Product Summary'!$A$2:$A$51,0))</f>
        <v>19.156773211567732</v>
      </c>
      <c r="Q438" s="22">
        <f t="shared" si="39"/>
        <v>155.5263157894737</v>
      </c>
      <c r="R438" s="22">
        <f t="shared" si="40"/>
        <v>140.40254746455182</v>
      </c>
      <c r="S438" s="19" t="str">
        <f t="shared" si="41"/>
        <v>OVERSTOCK</v>
      </c>
    </row>
    <row r="439" spans="1:19" x14ac:dyDescent="0.3">
      <c r="A439" s="19" t="s">
        <v>144</v>
      </c>
      <c r="B439" s="19" t="s">
        <v>145</v>
      </c>
      <c r="C439" s="19" t="s">
        <v>48</v>
      </c>
      <c r="D439" s="19" t="s">
        <v>37</v>
      </c>
      <c r="E439" s="19">
        <f>SUMIFS('Stock Inflow'!$G$2:$G$601,'Stock Inflow'!$A$2:$A$601,$A439,'Stock Inflow'!$D$2:$D$601,$D439)</f>
        <v>197</v>
      </c>
      <c r="F439" s="19">
        <f>SUMIFS('Stock Inflow'!$F$2:$F$601,'Stock Inflow'!$A$2:$A$601,$A439,'Stock Inflow'!$D$2:$D$601,$D439)</f>
        <v>30</v>
      </c>
      <c r="G439" s="19">
        <f>SUMIFS('Stock Inflow'!$E$2:$E$601,'Stock Inflow'!$A$2:$A$601,$A439,'Stock Inflow'!$D$2:$D$601,$D439)</f>
        <v>1</v>
      </c>
      <c r="H439" s="19">
        <f>SUMIFS('Stock Outflow'!$F$2:$F$601,'Stock Outflow'!$A$2:$A$601,$A439,'Stock Outflow'!$D$2:$D$601,$D439)</f>
        <v>33</v>
      </c>
      <c r="I439" s="19">
        <f>SUMIFS('Stock Outflow'!$E$2:$E$601,'Stock Outflow'!$A$2:$A$601,$A439,'Stock Outflow'!$D$2:$D$601,$D439)</f>
        <v>1</v>
      </c>
      <c r="J439" s="19">
        <f t="shared" si="36"/>
        <v>194</v>
      </c>
      <c r="K439" s="20">
        <f>INDEX('Item Master'!$F$2:$F$51,MATCH($A439,'Item Master'!$A$2:$A$51,0))</f>
        <v>500</v>
      </c>
      <c r="L439" s="20">
        <f t="shared" si="37"/>
        <v>16500</v>
      </c>
      <c r="M439" s="21">
        <f t="shared" si="38"/>
        <v>1.1000000000000001</v>
      </c>
      <c r="N439" s="19">
        <f>INDEX('Item Master'!$E$2:$E$51,MATCH($A439,'Item Master'!$A$2:$A$51,0))</f>
        <v>10</v>
      </c>
      <c r="O439" s="22">
        <f>INDEX('Product Summary'!$L$2:$L$51,MATCH($A439,'Product Summary'!$A$2:$A$51,0))</f>
        <v>6.4444444444444446</v>
      </c>
      <c r="P439" s="22">
        <f>INDEX('Product Summary'!$M$2:$M$51,MATCH($A439,'Product Summary'!$A$2:$A$51,0))</f>
        <v>19.156773211567732</v>
      </c>
      <c r="Q439" s="22">
        <f t="shared" si="39"/>
        <v>176.36363636363635</v>
      </c>
      <c r="R439" s="22">
        <f t="shared" si="40"/>
        <v>158.94838798948388</v>
      </c>
      <c r="S439" s="19" t="str">
        <f t="shared" si="41"/>
        <v>OVERSTOCK</v>
      </c>
    </row>
    <row r="440" spans="1:19" x14ac:dyDescent="0.3">
      <c r="A440" s="19" t="s">
        <v>144</v>
      </c>
      <c r="B440" s="19" t="s">
        <v>145</v>
      </c>
      <c r="C440" s="19" t="s">
        <v>48</v>
      </c>
      <c r="D440" s="19" t="s">
        <v>39</v>
      </c>
      <c r="E440" s="19">
        <f>SUMIFS('Stock Inflow'!$G$2:$G$601,'Stock Inflow'!$A$2:$A$601,$A440,'Stock Inflow'!$D$2:$D$601,$D440)</f>
        <v>194</v>
      </c>
      <c r="F440" s="19">
        <f>SUMIFS('Stock Inflow'!$F$2:$F$601,'Stock Inflow'!$A$2:$A$601,$A440,'Stock Inflow'!$D$2:$D$601,$D440)</f>
        <v>40</v>
      </c>
      <c r="G440" s="19">
        <f>SUMIFS('Stock Inflow'!$E$2:$E$601,'Stock Inflow'!$A$2:$A$601,$A440,'Stock Inflow'!$D$2:$D$601,$D440)</f>
        <v>1</v>
      </c>
      <c r="H440" s="19">
        <f>SUMIFS('Stock Outflow'!$F$2:$F$601,'Stock Outflow'!$A$2:$A$601,$A440,'Stock Outflow'!$D$2:$D$601,$D440)</f>
        <v>39</v>
      </c>
      <c r="I440" s="19">
        <f>SUMIFS('Stock Outflow'!$E$2:$E$601,'Stock Outflow'!$A$2:$A$601,$A440,'Stock Outflow'!$D$2:$D$601,$D440)</f>
        <v>1</v>
      </c>
      <c r="J440" s="19">
        <f t="shared" si="36"/>
        <v>195</v>
      </c>
      <c r="K440" s="20">
        <f>INDEX('Item Master'!$F$2:$F$51,MATCH($A440,'Item Master'!$A$2:$A$51,0))</f>
        <v>500</v>
      </c>
      <c r="L440" s="20">
        <f t="shared" si="37"/>
        <v>19500</v>
      </c>
      <c r="M440" s="21">
        <f t="shared" si="38"/>
        <v>1.3</v>
      </c>
      <c r="N440" s="19">
        <f>INDEX('Item Master'!$E$2:$E$51,MATCH($A440,'Item Master'!$A$2:$A$51,0))</f>
        <v>10</v>
      </c>
      <c r="O440" s="22">
        <f>INDEX('Product Summary'!$L$2:$L$51,MATCH($A440,'Product Summary'!$A$2:$A$51,0))</f>
        <v>6.4444444444444446</v>
      </c>
      <c r="P440" s="22">
        <f>INDEX('Product Summary'!$M$2:$M$51,MATCH($A440,'Product Summary'!$A$2:$A$51,0))</f>
        <v>19.156773211567732</v>
      </c>
      <c r="Q440" s="22">
        <f t="shared" si="39"/>
        <v>150</v>
      </c>
      <c r="R440" s="22">
        <f t="shared" si="40"/>
        <v>135.26402060648635</v>
      </c>
      <c r="S440" s="19" t="str">
        <f t="shared" si="41"/>
        <v>HEALTHY</v>
      </c>
    </row>
    <row r="441" spans="1:19" x14ac:dyDescent="0.3">
      <c r="A441" s="19" t="s">
        <v>144</v>
      </c>
      <c r="B441" s="19" t="s">
        <v>145</v>
      </c>
      <c r="C441" s="19" t="s">
        <v>48</v>
      </c>
      <c r="D441" s="19" t="s">
        <v>41</v>
      </c>
      <c r="E441" s="19">
        <f>SUMIFS('Stock Inflow'!$G$2:$G$601,'Stock Inflow'!$A$2:$A$601,$A441,'Stock Inflow'!$D$2:$D$601,$D441)</f>
        <v>195</v>
      </c>
      <c r="F441" s="19">
        <f>SUMIFS('Stock Inflow'!$F$2:$F$601,'Stock Inflow'!$A$2:$A$601,$A441,'Stock Inflow'!$D$2:$D$601,$D441)</f>
        <v>44</v>
      </c>
      <c r="G441" s="19">
        <f>SUMIFS('Stock Inflow'!$E$2:$E$601,'Stock Inflow'!$A$2:$A$601,$A441,'Stock Inflow'!$D$2:$D$601,$D441)</f>
        <v>0</v>
      </c>
      <c r="H441" s="19">
        <f>SUMIFS('Stock Outflow'!$F$2:$F$601,'Stock Outflow'!$A$2:$A$601,$A441,'Stock Outflow'!$D$2:$D$601,$D441)</f>
        <v>35</v>
      </c>
      <c r="I441" s="19">
        <f>SUMIFS('Stock Outflow'!$E$2:$E$601,'Stock Outflow'!$A$2:$A$601,$A441,'Stock Outflow'!$D$2:$D$601,$D441)</f>
        <v>1</v>
      </c>
      <c r="J441" s="19">
        <f t="shared" si="36"/>
        <v>203</v>
      </c>
      <c r="K441" s="20">
        <f>INDEX('Item Master'!$F$2:$F$51,MATCH($A441,'Item Master'!$A$2:$A$51,0))</f>
        <v>500</v>
      </c>
      <c r="L441" s="20">
        <f t="shared" si="37"/>
        <v>17500</v>
      </c>
      <c r="M441" s="21">
        <f t="shared" si="38"/>
        <v>1.1666666666666667</v>
      </c>
      <c r="N441" s="19">
        <f>INDEX('Item Master'!$E$2:$E$51,MATCH($A441,'Item Master'!$A$2:$A$51,0))</f>
        <v>10</v>
      </c>
      <c r="O441" s="22">
        <f>INDEX('Product Summary'!$L$2:$L$51,MATCH($A441,'Product Summary'!$A$2:$A$51,0))</f>
        <v>6.4444444444444446</v>
      </c>
      <c r="P441" s="22">
        <f>INDEX('Product Summary'!$M$2:$M$51,MATCH($A441,'Product Summary'!$A$2:$A$51,0))</f>
        <v>19.156773211567732</v>
      </c>
      <c r="Q441" s="22">
        <f t="shared" si="39"/>
        <v>174</v>
      </c>
      <c r="R441" s="22">
        <f t="shared" si="40"/>
        <v>157.57990867579909</v>
      </c>
      <c r="S441" s="19" t="str">
        <f t="shared" si="41"/>
        <v>OVERSTOCK</v>
      </c>
    </row>
    <row r="442" spans="1:19" x14ac:dyDescent="0.3">
      <c r="A442" s="19" t="s">
        <v>144</v>
      </c>
      <c r="B442" s="19" t="s">
        <v>145</v>
      </c>
      <c r="C442" s="19" t="s">
        <v>48</v>
      </c>
      <c r="D442" s="19" t="s">
        <v>43</v>
      </c>
      <c r="E442" s="19">
        <f>SUMIFS('Stock Inflow'!$G$2:$G$601,'Stock Inflow'!$A$2:$A$601,$A442,'Stock Inflow'!$D$2:$D$601,$D442)</f>
        <v>203</v>
      </c>
      <c r="F442" s="19">
        <f>SUMIFS('Stock Inflow'!$F$2:$F$601,'Stock Inflow'!$A$2:$A$601,$A442,'Stock Inflow'!$D$2:$D$601,$D442)</f>
        <v>40</v>
      </c>
      <c r="G442" s="19">
        <f>SUMIFS('Stock Inflow'!$E$2:$E$601,'Stock Inflow'!$A$2:$A$601,$A442,'Stock Inflow'!$D$2:$D$601,$D442)</f>
        <v>1</v>
      </c>
      <c r="H442" s="19">
        <f>SUMIFS('Stock Outflow'!$F$2:$F$601,'Stock Outflow'!$A$2:$A$601,$A442,'Stock Outflow'!$D$2:$D$601,$D442)</f>
        <v>33</v>
      </c>
      <c r="I442" s="19">
        <f>SUMIFS('Stock Outflow'!$E$2:$E$601,'Stock Outflow'!$A$2:$A$601,$A442,'Stock Outflow'!$D$2:$D$601,$D442)</f>
        <v>1</v>
      </c>
      <c r="J442" s="19">
        <f t="shared" si="36"/>
        <v>210</v>
      </c>
      <c r="K442" s="20">
        <f>INDEX('Item Master'!$F$2:$F$51,MATCH($A442,'Item Master'!$A$2:$A$51,0))</f>
        <v>500</v>
      </c>
      <c r="L442" s="20">
        <f t="shared" si="37"/>
        <v>16500</v>
      </c>
      <c r="M442" s="21">
        <f t="shared" si="38"/>
        <v>1.1000000000000001</v>
      </c>
      <c r="N442" s="19">
        <f>INDEX('Item Master'!$E$2:$E$51,MATCH($A442,'Item Master'!$A$2:$A$51,0))</f>
        <v>10</v>
      </c>
      <c r="O442" s="22">
        <f>INDEX('Product Summary'!$L$2:$L$51,MATCH($A442,'Product Summary'!$A$2:$A$51,0))</f>
        <v>6.4444444444444446</v>
      </c>
      <c r="P442" s="22">
        <f>INDEX('Product Summary'!$M$2:$M$51,MATCH($A442,'Product Summary'!$A$2:$A$51,0))</f>
        <v>19.156773211567732</v>
      </c>
      <c r="Q442" s="22">
        <f t="shared" si="39"/>
        <v>190.90909090909091</v>
      </c>
      <c r="R442" s="22">
        <f t="shared" si="40"/>
        <v>173.49384253493841</v>
      </c>
      <c r="S442" s="19" t="str">
        <f t="shared" si="41"/>
        <v>OVERSTOCK</v>
      </c>
    </row>
    <row r="443" spans="1:19" x14ac:dyDescent="0.3">
      <c r="A443" s="19" t="s">
        <v>144</v>
      </c>
      <c r="B443" s="19" t="s">
        <v>145</v>
      </c>
      <c r="C443" s="19" t="s">
        <v>48</v>
      </c>
      <c r="D443" s="19" t="s">
        <v>45</v>
      </c>
      <c r="E443" s="19">
        <f>SUMIFS('Stock Inflow'!$G$2:$G$601,'Stock Inflow'!$A$2:$A$601,$A443,'Stock Inflow'!$D$2:$D$601,$D443)</f>
        <v>210</v>
      </c>
      <c r="F443" s="19">
        <f>SUMIFS('Stock Inflow'!$F$2:$F$601,'Stock Inflow'!$A$2:$A$601,$A443,'Stock Inflow'!$D$2:$D$601,$D443)</f>
        <v>69</v>
      </c>
      <c r="G443" s="19">
        <f>SUMIFS('Stock Inflow'!$E$2:$E$601,'Stock Inflow'!$A$2:$A$601,$A443,'Stock Inflow'!$D$2:$D$601,$D443)</f>
        <v>1</v>
      </c>
      <c r="H443" s="19">
        <f>SUMIFS('Stock Outflow'!$F$2:$F$601,'Stock Outflow'!$A$2:$A$601,$A443,'Stock Outflow'!$D$2:$D$601,$D443)</f>
        <v>58</v>
      </c>
      <c r="I443" s="19">
        <f>SUMIFS('Stock Outflow'!$E$2:$E$601,'Stock Outflow'!$A$2:$A$601,$A443,'Stock Outflow'!$D$2:$D$601,$D443)</f>
        <v>1</v>
      </c>
      <c r="J443" s="19">
        <f t="shared" si="36"/>
        <v>221</v>
      </c>
      <c r="K443" s="20">
        <f>INDEX('Item Master'!$F$2:$F$51,MATCH($A443,'Item Master'!$A$2:$A$51,0))</f>
        <v>500</v>
      </c>
      <c r="L443" s="20">
        <f t="shared" si="37"/>
        <v>29000</v>
      </c>
      <c r="M443" s="21">
        <f t="shared" si="38"/>
        <v>1.9333333333333333</v>
      </c>
      <c r="N443" s="19">
        <f>INDEX('Item Master'!$E$2:$E$51,MATCH($A443,'Item Master'!$A$2:$A$51,0))</f>
        <v>10</v>
      </c>
      <c r="O443" s="22">
        <f>INDEX('Product Summary'!$L$2:$L$51,MATCH($A443,'Product Summary'!$A$2:$A$51,0))</f>
        <v>6.4444444444444446</v>
      </c>
      <c r="P443" s="22">
        <f>INDEX('Product Summary'!$M$2:$M$51,MATCH($A443,'Product Summary'!$A$2:$A$51,0))</f>
        <v>19.156773211567732</v>
      </c>
      <c r="Q443" s="22">
        <f t="shared" si="39"/>
        <v>114.31034482758621</v>
      </c>
      <c r="R443" s="22">
        <f t="shared" si="40"/>
        <v>104.40166902849946</v>
      </c>
      <c r="S443" s="19" t="str">
        <f t="shared" si="41"/>
        <v>HEALTHY</v>
      </c>
    </row>
    <row r="444" spans="1:19" x14ac:dyDescent="0.3">
      <c r="A444" s="19" t="s">
        <v>144</v>
      </c>
      <c r="B444" s="19" t="s">
        <v>145</v>
      </c>
      <c r="C444" s="19" t="s">
        <v>48</v>
      </c>
      <c r="D444" s="19" t="s">
        <v>47</v>
      </c>
      <c r="E444" s="19">
        <f>SUMIFS('Stock Inflow'!$G$2:$G$601,'Stock Inflow'!$A$2:$A$601,$A444,'Stock Inflow'!$D$2:$D$601,$D444)</f>
        <v>221</v>
      </c>
      <c r="F444" s="19">
        <f>SUMIFS('Stock Inflow'!$F$2:$F$601,'Stock Inflow'!$A$2:$A$601,$A444,'Stock Inflow'!$D$2:$D$601,$D444)</f>
        <v>44</v>
      </c>
      <c r="G444" s="19">
        <f>SUMIFS('Stock Inflow'!$E$2:$E$601,'Stock Inflow'!$A$2:$A$601,$A444,'Stock Inflow'!$D$2:$D$601,$D444)</f>
        <v>1</v>
      </c>
      <c r="H444" s="19">
        <f>SUMIFS('Stock Outflow'!$F$2:$F$601,'Stock Outflow'!$A$2:$A$601,$A444,'Stock Outflow'!$D$2:$D$601,$D444)</f>
        <v>38</v>
      </c>
      <c r="I444" s="19">
        <f>SUMIFS('Stock Outflow'!$E$2:$E$601,'Stock Outflow'!$A$2:$A$601,$A444,'Stock Outflow'!$D$2:$D$601,$D444)</f>
        <v>1</v>
      </c>
      <c r="J444" s="19">
        <f t="shared" si="36"/>
        <v>227</v>
      </c>
      <c r="K444" s="20">
        <f>INDEX('Item Master'!$F$2:$F$51,MATCH($A444,'Item Master'!$A$2:$A$51,0))</f>
        <v>500</v>
      </c>
      <c r="L444" s="20">
        <f t="shared" si="37"/>
        <v>19000</v>
      </c>
      <c r="M444" s="21">
        <f t="shared" si="38"/>
        <v>1.2666666666666666</v>
      </c>
      <c r="N444" s="19">
        <f>INDEX('Item Master'!$E$2:$E$51,MATCH($A444,'Item Master'!$A$2:$A$51,0))</f>
        <v>10</v>
      </c>
      <c r="O444" s="22">
        <f>INDEX('Product Summary'!$L$2:$L$51,MATCH($A444,'Product Summary'!$A$2:$A$51,0))</f>
        <v>6.4444444444444446</v>
      </c>
      <c r="P444" s="22">
        <f>INDEX('Product Summary'!$M$2:$M$51,MATCH($A444,'Product Summary'!$A$2:$A$51,0))</f>
        <v>19.156773211567732</v>
      </c>
      <c r="Q444" s="22">
        <f t="shared" si="39"/>
        <v>179.21052631578948</v>
      </c>
      <c r="R444" s="22">
        <f t="shared" si="40"/>
        <v>164.0867579908676</v>
      </c>
      <c r="S444" s="19" t="str">
        <f t="shared" si="41"/>
        <v>OVERSTOCK</v>
      </c>
    </row>
    <row r="445" spans="1:19" x14ac:dyDescent="0.3">
      <c r="A445" s="19" t="s">
        <v>144</v>
      </c>
      <c r="B445" s="19" t="s">
        <v>145</v>
      </c>
      <c r="C445" s="19" t="s">
        <v>48</v>
      </c>
      <c r="D445" s="19" t="s">
        <v>49</v>
      </c>
      <c r="E445" s="19">
        <f>SUMIFS('Stock Inflow'!$G$2:$G$601,'Stock Inflow'!$A$2:$A$601,$A445,'Stock Inflow'!$D$2:$D$601,$D445)</f>
        <v>227</v>
      </c>
      <c r="F445" s="19">
        <f>SUMIFS('Stock Inflow'!$F$2:$F$601,'Stock Inflow'!$A$2:$A$601,$A445,'Stock Inflow'!$D$2:$D$601,$D445)</f>
        <v>38</v>
      </c>
      <c r="G445" s="19">
        <f>SUMIFS('Stock Inflow'!$E$2:$E$601,'Stock Inflow'!$A$2:$A$601,$A445,'Stock Inflow'!$D$2:$D$601,$D445)</f>
        <v>1</v>
      </c>
      <c r="H445" s="19">
        <f>SUMIFS('Stock Outflow'!$F$2:$F$601,'Stock Outflow'!$A$2:$A$601,$A445,'Stock Outflow'!$D$2:$D$601,$D445)</f>
        <v>36</v>
      </c>
      <c r="I445" s="19">
        <f>SUMIFS('Stock Outflow'!$E$2:$E$601,'Stock Outflow'!$A$2:$A$601,$A445,'Stock Outflow'!$D$2:$D$601,$D445)</f>
        <v>0</v>
      </c>
      <c r="J445" s="19">
        <f t="shared" si="36"/>
        <v>230</v>
      </c>
      <c r="K445" s="20">
        <f>INDEX('Item Master'!$F$2:$F$51,MATCH($A445,'Item Master'!$A$2:$A$51,0))</f>
        <v>500</v>
      </c>
      <c r="L445" s="20">
        <f t="shared" si="37"/>
        <v>18000</v>
      </c>
      <c r="M445" s="21">
        <f t="shared" si="38"/>
        <v>1.2</v>
      </c>
      <c r="N445" s="19">
        <f>INDEX('Item Master'!$E$2:$E$51,MATCH($A445,'Item Master'!$A$2:$A$51,0))</f>
        <v>10</v>
      </c>
      <c r="O445" s="22">
        <f>INDEX('Product Summary'!$L$2:$L$51,MATCH($A445,'Product Summary'!$A$2:$A$51,0))</f>
        <v>6.4444444444444446</v>
      </c>
      <c r="P445" s="22">
        <f>INDEX('Product Summary'!$M$2:$M$51,MATCH($A445,'Product Summary'!$A$2:$A$51,0))</f>
        <v>19.156773211567732</v>
      </c>
      <c r="Q445" s="22">
        <f t="shared" si="39"/>
        <v>191.66666666666669</v>
      </c>
      <c r="R445" s="22">
        <f t="shared" si="40"/>
        <v>175.70268899036023</v>
      </c>
      <c r="S445" s="19" t="str">
        <f t="shared" si="41"/>
        <v>OVERSTOCK</v>
      </c>
    </row>
    <row r="446" spans="1:19" x14ac:dyDescent="0.3">
      <c r="A446" s="19" t="s">
        <v>146</v>
      </c>
      <c r="B446" s="19" t="s">
        <v>147</v>
      </c>
      <c r="C446" s="19" t="s">
        <v>48</v>
      </c>
      <c r="D446" s="19" t="s">
        <v>27</v>
      </c>
      <c r="E446" s="19">
        <f>SUMIFS('Stock Inflow'!$G$2:$G$601,'Stock Inflow'!$A$2:$A$601,$A446,'Stock Inflow'!$D$2:$D$601,$D446)</f>
        <v>174</v>
      </c>
      <c r="F446" s="19">
        <f>SUMIFS('Stock Inflow'!$F$2:$F$601,'Stock Inflow'!$A$2:$A$601,$A446,'Stock Inflow'!$D$2:$D$601,$D446)</f>
        <v>14</v>
      </c>
      <c r="G446" s="19">
        <f>SUMIFS('Stock Inflow'!$E$2:$E$601,'Stock Inflow'!$A$2:$A$601,$A446,'Stock Inflow'!$D$2:$D$601,$D446)</f>
        <v>0</v>
      </c>
      <c r="H446" s="19">
        <f>SUMIFS('Stock Outflow'!$F$2:$F$601,'Stock Outflow'!$A$2:$A$601,$A446,'Stock Outflow'!$D$2:$D$601,$D446)</f>
        <v>13</v>
      </c>
      <c r="I446" s="19">
        <f>SUMIFS('Stock Outflow'!$E$2:$E$601,'Stock Outflow'!$A$2:$A$601,$A446,'Stock Outflow'!$D$2:$D$601,$D446)</f>
        <v>0</v>
      </c>
      <c r="J446" s="19">
        <f t="shared" si="36"/>
        <v>175</v>
      </c>
      <c r="K446" s="20">
        <f>INDEX('Item Master'!$F$2:$F$51,MATCH($A446,'Item Master'!$A$2:$A$51,0))</f>
        <v>90</v>
      </c>
      <c r="L446" s="20">
        <f t="shared" si="37"/>
        <v>1170</v>
      </c>
      <c r="M446" s="21">
        <f t="shared" si="38"/>
        <v>0.43333333333333335</v>
      </c>
      <c r="N446" s="19">
        <f>INDEX('Item Master'!$E$2:$E$51,MATCH($A446,'Item Master'!$A$2:$A$51,0))</f>
        <v>10</v>
      </c>
      <c r="O446" s="22">
        <f>INDEX('Product Summary'!$L$2:$L$51,MATCH($A446,'Product Summary'!$A$2:$A$51,0))</f>
        <v>2.2222222222222223</v>
      </c>
      <c r="P446" s="22">
        <f>INDEX('Product Summary'!$M$2:$M$51,MATCH($A446,'Product Summary'!$A$2:$A$51,0))</f>
        <v>6.2770167427701677</v>
      </c>
      <c r="Q446" s="22">
        <f t="shared" si="39"/>
        <v>403.84615384615381</v>
      </c>
      <c r="R446" s="22">
        <f t="shared" si="40"/>
        <v>389.36073059360729</v>
      </c>
      <c r="S446" s="19" t="str">
        <f t="shared" si="41"/>
        <v>OVERSTOCK</v>
      </c>
    </row>
    <row r="447" spans="1:19" x14ac:dyDescent="0.3">
      <c r="A447" s="19" t="s">
        <v>146</v>
      </c>
      <c r="B447" s="19" t="s">
        <v>147</v>
      </c>
      <c r="C447" s="19" t="s">
        <v>48</v>
      </c>
      <c r="D447" s="19" t="s">
        <v>29</v>
      </c>
      <c r="E447" s="19">
        <f>SUMIFS('Stock Inflow'!$G$2:$G$601,'Stock Inflow'!$A$2:$A$601,$A447,'Stock Inflow'!$D$2:$D$601,$D447)</f>
        <v>175</v>
      </c>
      <c r="F447" s="19">
        <f>SUMIFS('Stock Inflow'!$F$2:$F$601,'Stock Inflow'!$A$2:$A$601,$A447,'Stock Inflow'!$D$2:$D$601,$D447)</f>
        <v>12</v>
      </c>
      <c r="G447" s="19">
        <f>SUMIFS('Stock Inflow'!$E$2:$E$601,'Stock Inflow'!$A$2:$A$601,$A447,'Stock Inflow'!$D$2:$D$601,$D447)</f>
        <v>0</v>
      </c>
      <c r="H447" s="19">
        <f>SUMIFS('Stock Outflow'!$F$2:$F$601,'Stock Outflow'!$A$2:$A$601,$A447,'Stock Outflow'!$D$2:$D$601,$D447)</f>
        <v>11</v>
      </c>
      <c r="I447" s="19">
        <f>SUMIFS('Stock Outflow'!$E$2:$E$601,'Stock Outflow'!$A$2:$A$601,$A447,'Stock Outflow'!$D$2:$D$601,$D447)</f>
        <v>0</v>
      </c>
      <c r="J447" s="19">
        <f t="shared" si="36"/>
        <v>176</v>
      </c>
      <c r="K447" s="20">
        <f>INDEX('Item Master'!$F$2:$F$51,MATCH($A447,'Item Master'!$A$2:$A$51,0))</f>
        <v>90</v>
      </c>
      <c r="L447" s="20">
        <f t="shared" si="37"/>
        <v>990</v>
      </c>
      <c r="M447" s="21">
        <f t="shared" si="38"/>
        <v>0.36666666666666664</v>
      </c>
      <c r="N447" s="19">
        <f>INDEX('Item Master'!$E$2:$E$51,MATCH($A447,'Item Master'!$A$2:$A$51,0))</f>
        <v>10</v>
      </c>
      <c r="O447" s="22">
        <f>INDEX('Product Summary'!$L$2:$L$51,MATCH($A447,'Product Summary'!$A$2:$A$51,0))</f>
        <v>2.2222222222222223</v>
      </c>
      <c r="P447" s="22">
        <f>INDEX('Product Summary'!$M$2:$M$51,MATCH($A447,'Product Summary'!$A$2:$A$51,0))</f>
        <v>6.2770167427701677</v>
      </c>
      <c r="Q447" s="22">
        <f t="shared" si="39"/>
        <v>480.00000000000006</v>
      </c>
      <c r="R447" s="22">
        <f t="shared" si="40"/>
        <v>462.88086342880865</v>
      </c>
      <c r="S447" s="19" t="str">
        <f t="shared" si="41"/>
        <v>OVERSTOCK</v>
      </c>
    </row>
    <row r="448" spans="1:19" x14ac:dyDescent="0.3">
      <c r="A448" s="19" t="s">
        <v>146</v>
      </c>
      <c r="B448" s="19" t="s">
        <v>147</v>
      </c>
      <c r="C448" s="19" t="s">
        <v>48</v>
      </c>
      <c r="D448" s="19" t="s">
        <v>31</v>
      </c>
      <c r="E448" s="19">
        <f>SUMIFS('Stock Inflow'!$G$2:$G$601,'Stock Inflow'!$A$2:$A$601,$A448,'Stock Inflow'!$D$2:$D$601,$D448)</f>
        <v>176</v>
      </c>
      <c r="F448" s="19">
        <f>SUMIFS('Stock Inflow'!$F$2:$F$601,'Stock Inflow'!$A$2:$A$601,$A448,'Stock Inflow'!$D$2:$D$601,$D448)</f>
        <v>12</v>
      </c>
      <c r="G448" s="19">
        <f>SUMIFS('Stock Inflow'!$E$2:$E$601,'Stock Inflow'!$A$2:$A$601,$A448,'Stock Inflow'!$D$2:$D$601,$D448)</f>
        <v>0</v>
      </c>
      <c r="H448" s="19">
        <f>SUMIFS('Stock Outflow'!$F$2:$F$601,'Stock Outflow'!$A$2:$A$601,$A448,'Stock Outflow'!$D$2:$D$601,$D448)</f>
        <v>11</v>
      </c>
      <c r="I448" s="19">
        <f>SUMIFS('Stock Outflow'!$E$2:$E$601,'Stock Outflow'!$A$2:$A$601,$A448,'Stock Outflow'!$D$2:$D$601,$D448)</f>
        <v>0</v>
      </c>
      <c r="J448" s="19">
        <f t="shared" si="36"/>
        <v>177</v>
      </c>
      <c r="K448" s="20">
        <f>INDEX('Item Master'!$F$2:$F$51,MATCH($A448,'Item Master'!$A$2:$A$51,0))</f>
        <v>90</v>
      </c>
      <c r="L448" s="20">
        <f t="shared" si="37"/>
        <v>990</v>
      </c>
      <c r="M448" s="21">
        <f t="shared" si="38"/>
        <v>0.36666666666666664</v>
      </c>
      <c r="N448" s="19">
        <f>INDEX('Item Master'!$E$2:$E$51,MATCH($A448,'Item Master'!$A$2:$A$51,0))</f>
        <v>10</v>
      </c>
      <c r="O448" s="22">
        <f>INDEX('Product Summary'!$L$2:$L$51,MATCH($A448,'Product Summary'!$A$2:$A$51,0))</f>
        <v>2.2222222222222223</v>
      </c>
      <c r="P448" s="22">
        <f>INDEX('Product Summary'!$M$2:$M$51,MATCH($A448,'Product Summary'!$A$2:$A$51,0))</f>
        <v>6.2770167427701677</v>
      </c>
      <c r="Q448" s="22">
        <f t="shared" si="39"/>
        <v>482.72727272727275</v>
      </c>
      <c r="R448" s="22">
        <f t="shared" si="40"/>
        <v>465.6081361560814</v>
      </c>
      <c r="S448" s="19" t="str">
        <f t="shared" si="41"/>
        <v>OVERSTOCK</v>
      </c>
    </row>
    <row r="449" spans="1:19" x14ac:dyDescent="0.3">
      <c r="A449" s="19" t="s">
        <v>146</v>
      </c>
      <c r="B449" s="19" t="s">
        <v>147</v>
      </c>
      <c r="C449" s="19" t="s">
        <v>48</v>
      </c>
      <c r="D449" s="19" t="s">
        <v>33</v>
      </c>
      <c r="E449" s="19">
        <f>SUMIFS('Stock Inflow'!$G$2:$G$601,'Stock Inflow'!$A$2:$A$601,$A449,'Stock Inflow'!$D$2:$D$601,$D449)</f>
        <v>177</v>
      </c>
      <c r="F449" s="19">
        <f>SUMIFS('Stock Inflow'!$F$2:$F$601,'Stock Inflow'!$A$2:$A$601,$A449,'Stock Inflow'!$D$2:$D$601,$D449)</f>
        <v>12</v>
      </c>
      <c r="G449" s="19">
        <f>SUMIFS('Stock Inflow'!$E$2:$E$601,'Stock Inflow'!$A$2:$A$601,$A449,'Stock Inflow'!$D$2:$D$601,$D449)</f>
        <v>0</v>
      </c>
      <c r="H449" s="19">
        <f>SUMIFS('Stock Outflow'!$F$2:$F$601,'Stock Outflow'!$A$2:$A$601,$A449,'Stock Outflow'!$D$2:$D$601,$D449)</f>
        <v>10</v>
      </c>
      <c r="I449" s="19">
        <f>SUMIFS('Stock Outflow'!$E$2:$E$601,'Stock Outflow'!$A$2:$A$601,$A449,'Stock Outflow'!$D$2:$D$601,$D449)</f>
        <v>0</v>
      </c>
      <c r="J449" s="19">
        <f t="shared" si="36"/>
        <v>179</v>
      </c>
      <c r="K449" s="20">
        <f>INDEX('Item Master'!$F$2:$F$51,MATCH($A449,'Item Master'!$A$2:$A$51,0))</f>
        <v>90</v>
      </c>
      <c r="L449" s="20">
        <f t="shared" si="37"/>
        <v>900</v>
      </c>
      <c r="M449" s="21">
        <f t="shared" si="38"/>
        <v>0.33333333333333331</v>
      </c>
      <c r="N449" s="19">
        <f>INDEX('Item Master'!$E$2:$E$51,MATCH($A449,'Item Master'!$A$2:$A$51,0))</f>
        <v>10</v>
      </c>
      <c r="O449" s="22">
        <f>INDEX('Product Summary'!$L$2:$L$51,MATCH($A449,'Product Summary'!$A$2:$A$51,0))</f>
        <v>2.2222222222222223</v>
      </c>
      <c r="P449" s="22">
        <f>INDEX('Product Summary'!$M$2:$M$51,MATCH($A449,'Product Summary'!$A$2:$A$51,0))</f>
        <v>6.2770167427701677</v>
      </c>
      <c r="Q449" s="22">
        <f t="shared" si="39"/>
        <v>537</v>
      </c>
      <c r="R449" s="22">
        <f t="shared" si="40"/>
        <v>518.16894977168954</v>
      </c>
      <c r="S449" s="19" t="str">
        <f t="shared" si="41"/>
        <v>OVERSTOCK</v>
      </c>
    </row>
    <row r="450" spans="1:19" x14ac:dyDescent="0.3">
      <c r="A450" s="19" t="s">
        <v>146</v>
      </c>
      <c r="B450" s="19" t="s">
        <v>147</v>
      </c>
      <c r="C450" s="19" t="s">
        <v>48</v>
      </c>
      <c r="D450" s="19" t="s">
        <v>35</v>
      </c>
      <c r="E450" s="19">
        <f>SUMIFS('Stock Inflow'!$G$2:$G$601,'Stock Inflow'!$A$2:$A$601,$A450,'Stock Inflow'!$D$2:$D$601,$D450)</f>
        <v>179</v>
      </c>
      <c r="F450" s="19">
        <f>SUMIFS('Stock Inflow'!$F$2:$F$601,'Stock Inflow'!$A$2:$A$601,$A450,'Stock Inflow'!$D$2:$D$601,$D450)</f>
        <v>15</v>
      </c>
      <c r="G450" s="19">
        <f>SUMIFS('Stock Inflow'!$E$2:$E$601,'Stock Inflow'!$A$2:$A$601,$A450,'Stock Inflow'!$D$2:$D$601,$D450)</f>
        <v>0</v>
      </c>
      <c r="H450" s="19">
        <f>SUMIFS('Stock Outflow'!$F$2:$F$601,'Stock Outflow'!$A$2:$A$601,$A450,'Stock Outflow'!$D$2:$D$601,$D450)</f>
        <v>12</v>
      </c>
      <c r="I450" s="19">
        <f>SUMIFS('Stock Outflow'!$E$2:$E$601,'Stock Outflow'!$A$2:$A$601,$A450,'Stock Outflow'!$D$2:$D$601,$D450)</f>
        <v>0</v>
      </c>
      <c r="J450" s="19">
        <f t="shared" ref="J450:J513" si="42">E450+F450+G450-H450-I450</f>
        <v>182</v>
      </c>
      <c r="K450" s="20">
        <f>INDEX('Item Master'!$F$2:$F$51,MATCH($A450,'Item Master'!$A$2:$A$51,0))</f>
        <v>90</v>
      </c>
      <c r="L450" s="20">
        <f t="shared" ref="L450:L513" si="43">H450*K450</f>
        <v>1080</v>
      </c>
      <c r="M450" s="21">
        <f t="shared" ref="M450:M513" si="44">H450/30</f>
        <v>0.4</v>
      </c>
      <c r="N450" s="19">
        <f>INDEX('Item Master'!$E$2:$E$51,MATCH($A450,'Item Master'!$A$2:$A$51,0))</f>
        <v>10</v>
      </c>
      <c r="O450" s="22">
        <f>INDEX('Product Summary'!$L$2:$L$51,MATCH($A450,'Product Summary'!$A$2:$A$51,0))</f>
        <v>2.2222222222222223</v>
      </c>
      <c r="P450" s="22">
        <f>INDEX('Product Summary'!$M$2:$M$51,MATCH($A450,'Product Summary'!$A$2:$A$51,0))</f>
        <v>6.2770167427701677</v>
      </c>
      <c r="Q450" s="22">
        <f t="shared" ref="Q450:Q513" si="45">IF(M450=0,"",J450/M450)</f>
        <v>455</v>
      </c>
      <c r="R450" s="22">
        <f t="shared" ref="R450:R513" si="46">IF(M450=0,"",IF(J450&lt;=P450,0,(J450-P450)/M450))</f>
        <v>439.30745814307454</v>
      </c>
      <c r="S450" s="19" t="str">
        <f t="shared" ref="S450:S513" si="47">IF(J450&lt;=P450,"REORDER NOW",IF(IFERROR(Q450,0)&gt;150,"OVERSTOCK","HEALTHY"))</f>
        <v>OVERSTOCK</v>
      </c>
    </row>
    <row r="451" spans="1:19" x14ac:dyDescent="0.3">
      <c r="A451" s="19" t="s">
        <v>146</v>
      </c>
      <c r="B451" s="19" t="s">
        <v>147</v>
      </c>
      <c r="C451" s="19" t="s">
        <v>48</v>
      </c>
      <c r="D451" s="19" t="s">
        <v>37</v>
      </c>
      <c r="E451" s="19">
        <f>SUMIFS('Stock Inflow'!$G$2:$G$601,'Stock Inflow'!$A$2:$A$601,$A451,'Stock Inflow'!$D$2:$D$601,$D451)</f>
        <v>182</v>
      </c>
      <c r="F451" s="19">
        <f>SUMIFS('Stock Inflow'!$F$2:$F$601,'Stock Inflow'!$A$2:$A$601,$A451,'Stock Inflow'!$D$2:$D$601,$D451)</f>
        <v>14</v>
      </c>
      <c r="G451" s="19">
        <f>SUMIFS('Stock Inflow'!$E$2:$E$601,'Stock Inflow'!$A$2:$A$601,$A451,'Stock Inflow'!$D$2:$D$601,$D451)</f>
        <v>0</v>
      </c>
      <c r="H451" s="19">
        <f>SUMIFS('Stock Outflow'!$F$2:$F$601,'Stock Outflow'!$A$2:$A$601,$A451,'Stock Outflow'!$D$2:$D$601,$D451)</f>
        <v>12</v>
      </c>
      <c r="I451" s="19">
        <f>SUMIFS('Stock Outflow'!$E$2:$E$601,'Stock Outflow'!$A$2:$A$601,$A451,'Stock Outflow'!$D$2:$D$601,$D451)</f>
        <v>0</v>
      </c>
      <c r="J451" s="19">
        <f t="shared" si="42"/>
        <v>184</v>
      </c>
      <c r="K451" s="20">
        <f>INDEX('Item Master'!$F$2:$F$51,MATCH($A451,'Item Master'!$A$2:$A$51,0))</f>
        <v>90</v>
      </c>
      <c r="L451" s="20">
        <f t="shared" si="43"/>
        <v>1080</v>
      </c>
      <c r="M451" s="21">
        <f t="shared" si="44"/>
        <v>0.4</v>
      </c>
      <c r="N451" s="19">
        <f>INDEX('Item Master'!$E$2:$E$51,MATCH($A451,'Item Master'!$A$2:$A$51,0))</f>
        <v>10</v>
      </c>
      <c r="O451" s="22">
        <f>INDEX('Product Summary'!$L$2:$L$51,MATCH($A451,'Product Summary'!$A$2:$A$51,0))</f>
        <v>2.2222222222222223</v>
      </c>
      <c r="P451" s="22">
        <f>INDEX('Product Summary'!$M$2:$M$51,MATCH($A451,'Product Summary'!$A$2:$A$51,0))</f>
        <v>6.2770167427701677</v>
      </c>
      <c r="Q451" s="22">
        <f t="shared" si="45"/>
        <v>460</v>
      </c>
      <c r="R451" s="22">
        <f t="shared" si="46"/>
        <v>444.30745814307454</v>
      </c>
      <c r="S451" s="19" t="str">
        <f t="shared" si="47"/>
        <v>OVERSTOCK</v>
      </c>
    </row>
    <row r="452" spans="1:19" x14ac:dyDescent="0.3">
      <c r="A452" s="19" t="s">
        <v>146</v>
      </c>
      <c r="B452" s="19" t="s">
        <v>147</v>
      </c>
      <c r="C452" s="19" t="s">
        <v>48</v>
      </c>
      <c r="D452" s="19" t="s">
        <v>39</v>
      </c>
      <c r="E452" s="19">
        <f>SUMIFS('Stock Inflow'!$G$2:$G$601,'Stock Inflow'!$A$2:$A$601,$A452,'Stock Inflow'!$D$2:$D$601,$D452)</f>
        <v>184</v>
      </c>
      <c r="F452" s="19">
        <f>SUMIFS('Stock Inflow'!$F$2:$F$601,'Stock Inflow'!$A$2:$A$601,$A452,'Stock Inflow'!$D$2:$D$601,$D452)</f>
        <v>13</v>
      </c>
      <c r="G452" s="19">
        <f>SUMIFS('Stock Inflow'!$E$2:$E$601,'Stock Inflow'!$A$2:$A$601,$A452,'Stock Inflow'!$D$2:$D$601,$D452)</f>
        <v>0</v>
      </c>
      <c r="H452" s="19">
        <f>SUMIFS('Stock Outflow'!$F$2:$F$601,'Stock Outflow'!$A$2:$A$601,$A452,'Stock Outflow'!$D$2:$D$601,$D452)</f>
        <v>10</v>
      </c>
      <c r="I452" s="19">
        <f>SUMIFS('Stock Outflow'!$E$2:$E$601,'Stock Outflow'!$A$2:$A$601,$A452,'Stock Outflow'!$D$2:$D$601,$D452)</f>
        <v>0</v>
      </c>
      <c r="J452" s="19">
        <f t="shared" si="42"/>
        <v>187</v>
      </c>
      <c r="K452" s="20">
        <f>INDEX('Item Master'!$F$2:$F$51,MATCH($A452,'Item Master'!$A$2:$A$51,0))</f>
        <v>90</v>
      </c>
      <c r="L452" s="20">
        <f t="shared" si="43"/>
        <v>900</v>
      </c>
      <c r="M452" s="21">
        <f t="shared" si="44"/>
        <v>0.33333333333333331</v>
      </c>
      <c r="N452" s="19">
        <f>INDEX('Item Master'!$E$2:$E$51,MATCH($A452,'Item Master'!$A$2:$A$51,0))</f>
        <v>10</v>
      </c>
      <c r="O452" s="22">
        <f>INDEX('Product Summary'!$L$2:$L$51,MATCH($A452,'Product Summary'!$A$2:$A$51,0))</f>
        <v>2.2222222222222223</v>
      </c>
      <c r="P452" s="22">
        <f>INDEX('Product Summary'!$M$2:$M$51,MATCH($A452,'Product Summary'!$A$2:$A$51,0))</f>
        <v>6.2770167427701677</v>
      </c>
      <c r="Q452" s="22">
        <f t="shared" si="45"/>
        <v>561</v>
      </c>
      <c r="R452" s="22">
        <f t="shared" si="46"/>
        <v>542.16894977168954</v>
      </c>
      <c r="S452" s="19" t="str">
        <f t="shared" si="47"/>
        <v>OVERSTOCK</v>
      </c>
    </row>
    <row r="453" spans="1:19" x14ac:dyDescent="0.3">
      <c r="A453" s="19" t="s">
        <v>146</v>
      </c>
      <c r="B453" s="19" t="s">
        <v>147</v>
      </c>
      <c r="C453" s="19" t="s">
        <v>48</v>
      </c>
      <c r="D453" s="19" t="s">
        <v>41</v>
      </c>
      <c r="E453" s="19">
        <f>SUMIFS('Stock Inflow'!$G$2:$G$601,'Stock Inflow'!$A$2:$A$601,$A453,'Stock Inflow'!$D$2:$D$601,$D453)</f>
        <v>187</v>
      </c>
      <c r="F453" s="19">
        <f>SUMIFS('Stock Inflow'!$F$2:$F$601,'Stock Inflow'!$A$2:$A$601,$A453,'Stock Inflow'!$D$2:$D$601,$D453)</f>
        <v>14</v>
      </c>
      <c r="G453" s="19">
        <f>SUMIFS('Stock Inflow'!$E$2:$E$601,'Stock Inflow'!$A$2:$A$601,$A453,'Stock Inflow'!$D$2:$D$601,$D453)</f>
        <v>0</v>
      </c>
      <c r="H453" s="19">
        <f>SUMIFS('Stock Outflow'!$F$2:$F$601,'Stock Outflow'!$A$2:$A$601,$A453,'Stock Outflow'!$D$2:$D$601,$D453)</f>
        <v>13</v>
      </c>
      <c r="I453" s="19">
        <f>SUMIFS('Stock Outflow'!$E$2:$E$601,'Stock Outflow'!$A$2:$A$601,$A453,'Stock Outflow'!$D$2:$D$601,$D453)</f>
        <v>0</v>
      </c>
      <c r="J453" s="19">
        <f t="shared" si="42"/>
        <v>188</v>
      </c>
      <c r="K453" s="20">
        <f>INDEX('Item Master'!$F$2:$F$51,MATCH($A453,'Item Master'!$A$2:$A$51,0))</f>
        <v>90</v>
      </c>
      <c r="L453" s="20">
        <f t="shared" si="43"/>
        <v>1170</v>
      </c>
      <c r="M453" s="21">
        <f t="shared" si="44"/>
        <v>0.43333333333333335</v>
      </c>
      <c r="N453" s="19">
        <f>INDEX('Item Master'!$E$2:$E$51,MATCH($A453,'Item Master'!$A$2:$A$51,0))</f>
        <v>10</v>
      </c>
      <c r="O453" s="22">
        <f>INDEX('Product Summary'!$L$2:$L$51,MATCH($A453,'Product Summary'!$A$2:$A$51,0))</f>
        <v>2.2222222222222223</v>
      </c>
      <c r="P453" s="22">
        <f>INDEX('Product Summary'!$M$2:$M$51,MATCH($A453,'Product Summary'!$A$2:$A$51,0))</f>
        <v>6.2770167427701677</v>
      </c>
      <c r="Q453" s="22">
        <f t="shared" si="45"/>
        <v>433.84615384615381</v>
      </c>
      <c r="R453" s="22">
        <f t="shared" si="46"/>
        <v>419.36073059360729</v>
      </c>
      <c r="S453" s="19" t="str">
        <f t="shared" si="47"/>
        <v>OVERSTOCK</v>
      </c>
    </row>
    <row r="454" spans="1:19" x14ac:dyDescent="0.3">
      <c r="A454" s="19" t="s">
        <v>146</v>
      </c>
      <c r="B454" s="19" t="s">
        <v>147</v>
      </c>
      <c r="C454" s="19" t="s">
        <v>48</v>
      </c>
      <c r="D454" s="19" t="s">
        <v>43</v>
      </c>
      <c r="E454" s="19">
        <f>SUMIFS('Stock Inflow'!$G$2:$G$601,'Stock Inflow'!$A$2:$A$601,$A454,'Stock Inflow'!$D$2:$D$601,$D454)</f>
        <v>188</v>
      </c>
      <c r="F454" s="19">
        <f>SUMIFS('Stock Inflow'!$F$2:$F$601,'Stock Inflow'!$A$2:$A$601,$A454,'Stock Inflow'!$D$2:$D$601,$D454)</f>
        <v>15</v>
      </c>
      <c r="G454" s="19">
        <f>SUMIFS('Stock Inflow'!$E$2:$E$601,'Stock Inflow'!$A$2:$A$601,$A454,'Stock Inflow'!$D$2:$D$601,$D454)</f>
        <v>0</v>
      </c>
      <c r="H454" s="19">
        <f>SUMIFS('Stock Outflow'!$F$2:$F$601,'Stock Outflow'!$A$2:$A$601,$A454,'Stock Outflow'!$D$2:$D$601,$D454)</f>
        <v>12</v>
      </c>
      <c r="I454" s="19">
        <f>SUMIFS('Stock Outflow'!$E$2:$E$601,'Stock Outflow'!$A$2:$A$601,$A454,'Stock Outflow'!$D$2:$D$601,$D454)</f>
        <v>0</v>
      </c>
      <c r="J454" s="19">
        <f t="shared" si="42"/>
        <v>191</v>
      </c>
      <c r="K454" s="20">
        <f>INDEX('Item Master'!$F$2:$F$51,MATCH($A454,'Item Master'!$A$2:$A$51,0))</f>
        <v>90</v>
      </c>
      <c r="L454" s="20">
        <f t="shared" si="43"/>
        <v>1080</v>
      </c>
      <c r="M454" s="21">
        <f t="shared" si="44"/>
        <v>0.4</v>
      </c>
      <c r="N454" s="19">
        <f>INDEX('Item Master'!$E$2:$E$51,MATCH($A454,'Item Master'!$A$2:$A$51,0))</f>
        <v>10</v>
      </c>
      <c r="O454" s="22">
        <f>INDEX('Product Summary'!$L$2:$L$51,MATCH($A454,'Product Summary'!$A$2:$A$51,0))</f>
        <v>2.2222222222222223</v>
      </c>
      <c r="P454" s="22">
        <f>INDEX('Product Summary'!$M$2:$M$51,MATCH($A454,'Product Summary'!$A$2:$A$51,0))</f>
        <v>6.2770167427701677</v>
      </c>
      <c r="Q454" s="22">
        <f t="shared" si="45"/>
        <v>477.5</v>
      </c>
      <c r="R454" s="22">
        <f t="shared" si="46"/>
        <v>461.80745814307454</v>
      </c>
      <c r="S454" s="19" t="str">
        <f t="shared" si="47"/>
        <v>OVERSTOCK</v>
      </c>
    </row>
    <row r="455" spans="1:19" x14ac:dyDescent="0.3">
      <c r="A455" s="19" t="s">
        <v>146</v>
      </c>
      <c r="B455" s="19" t="s">
        <v>147</v>
      </c>
      <c r="C455" s="19" t="s">
        <v>48</v>
      </c>
      <c r="D455" s="19" t="s">
        <v>45</v>
      </c>
      <c r="E455" s="19">
        <f>SUMIFS('Stock Inflow'!$G$2:$G$601,'Stock Inflow'!$A$2:$A$601,$A455,'Stock Inflow'!$D$2:$D$601,$D455)</f>
        <v>191</v>
      </c>
      <c r="F455" s="19">
        <f>SUMIFS('Stock Inflow'!$F$2:$F$601,'Stock Inflow'!$A$2:$A$601,$A455,'Stock Inflow'!$D$2:$D$601,$D455)</f>
        <v>22</v>
      </c>
      <c r="G455" s="19">
        <f>SUMIFS('Stock Inflow'!$E$2:$E$601,'Stock Inflow'!$A$2:$A$601,$A455,'Stock Inflow'!$D$2:$D$601,$D455)</f>
        <v>1</v>
      </c>
      <c r="H455" s="19">
        <f>SUMIFS('Stock Outflow'!$F$2:$F$601,'Stock Outflow'!$A$2:$A$601,$A455,'Stock Outflow'!$D$2:$D$601,$D455)</f>
        <v>19</v>
      </c>
      <c r="I455" s="19">
        <f>SUMIFS('Stock Outflow'!$E$2:$E$601,'Stock Outflow'!$A$2:$A$601,$A455,'Stock Outflow'!$D$2:$D$601,$D455)</f>
        <v>0</v>
      </c>
      <c r="J455" s="19">
        <f t="shared" si="42"/>
        <v>195</v>
      </c>
      <c r="K455" s="20">
        <f>INDEX('Item Master'!$F$2:$F$51,MATCH($A455,'Item Master'!$A$2:$A$51,0))</f>
        <v>90</v>
      </c>
      <c r="L455" s="20">
        <f t="shared" si="43"/>
        <v>1710</v>
      </c>
      <c r="M455" s="21">
        <f t="shared" si="44"/>
        <v>0.6333333333333333</v>
      </c>
      <c r="N455" s="19">
        <f>INDEX('Item Master'!$E$2:$E$51,MATCH($A455,'Item Master'!$A$2:$A$51,0))</f>
        <v>10</v>
      </c>
      <c r="O455" s="22">
        <f>INDEX('Product Summary'!$L$2:$L$51,MATCH($A455,'Product Summary'!$A$2:$A$51,0))</f>
        <v>2.2222222222222223</v>
      </c>
      <c r="P455" s="22">
        <f>INDEX('Product Summary'!$M$2:$M$51,MATCH($A455,'Product Summary'!$A$2:$A$51,0))</f>
        <v>6.2770167427701677</v>
      </c>
      <c r="Q455" s="22">
        <f t="shared" si="45"/>
        <v>307.89473684210526</v>
      </c>
      <c r="R455" s="22">
        <f t="shared" si="46"/>
        <v>297.98365777457343</v>
      </c>
      <c r="S455" s="19" t="str">
        <f t="shared" si="47"/>
        <v>OVERSTOCK</v>
      </c>
    </row>
    <row r="456" spans="1:19" x14ac:dyDescent="0.3">
      <c r="A456" s="19" t="s">
        <v>146</v>
      </c>
      <c r="B456" s="19" t="s">
        <v>147</v>
      </c>
      <c r="C456" s="19" t="s">
        <v>48</v>
      </c>
      <c r="D456" s="19" t="s">
        <v>47</v>
      </c>
      <c r="E456" s="19">
        <f>SUMIFS('Stock Inflow'!$G$2:$G$601,'Stock Inflow'!$A$2:$A$601,$A456,'Stock Inflow'!$D$2:$D$601,$D456)</f>
        <v>195</v>
      </c>
      <c r="F456" s="19">
        <f>SUMIFS('Stock Inflow'!$F$2:$F$601,'Stock Inflow'!$A$2:$A$601,$A456,'Stock Inflow'!$D$2:$D$601,$D456)</f>
        <v>14</v>
      </c>
      <c r="G456" s="19">
        <f>SUMIFS('Stock Inflow'!$E$2:$E$601,'Stock Inflow'!$A$2:$A$601,$A456,'Stock Inflow'!$D$2:$D$601,$D456)</f>
        <v>0</v>
      </c>
      <c r="H456" s="19">
        <f>SUMIFS('Stock Outflow'!$F$2:$F$601,'Stock Outflow'!$A$2:$A$601,$A456,'Stock Outflow'!$D$2:$D$601,$D456)</f>
        <v>13</v>
      </c>
      <c r="I456" s="19">
        <f>SUMIFS('Stock Outflow'!$E$2:$E$601,'Stock Outflow'!$A$2:$A$601,$A456,'Stock Outflow'!$D$2:$D$601,$D456)</f>
        <v>0</v>
      </c>
      <c r="J456" s="19">
        <f t="shared" si="42"/>
        <v>196</v>
      </c>
      <c r="K456" s="20">
        <f>INDEX('Item Master'!$F$2:$F$51,MATCH($A456,'Item Master'!$A$2:$A$51,0))</f>
        <v>90</v>
      </c>
      <c r="L456" s="20">
        <f t="shared" si="43"/>
        <v>1170</v>
      </c>
      <c r="M456" s="21">
        <f t="shared" si="44"/>
        <v>0.43333333333333335</v>
      </c>
      <c r="N456" s="19">
        <f>INDEX('Item Master'!$E$2:$E$51,MATCH($A456,'Item Master'!$A$2:$A$51,0))</f>
        <v>10</v>
      </c>
      <c r="O456" s="22">
        <f>INDEX('Product Summary'!$L$2:$L$51,MATCH($A456,'Product Summary'!$A$2:$A$51,0))</f>
        <v>2.2222222222222223</v>
      </c>
      <c r="P456" s="22">
        <f>INDEX('Product Summary'!$M$2:$M$51,MATCH($A456,'Product Summary'!$A$2:$A$51,0))</f>
        <v>6.2770167427701677</v>
      </c>
      <c r="Q456" s="22">
        <f t="shared" si="45"/>
        <v>452.30769230769226</v>
      </c>
      <c r="R456" s="22">
        <f t="shared" si="46"/>
        <v>437.82226905514574</v>
      </c>
      <c r="S456" s="19" t="str">
        <f t="shared" si="47"/>
        <v>OVERSTOCK</v>
      </c>
    </row>
    <row r="457" spans="1:19" x14ac:dyDescent="0.3">
      <c r="A457" s="19" t="s">
        <v>146</v>
      </c>
      <c r="B457" s="19" t="s">
        <v>147</v>
      </c>
      <c r="C457" s="19" t="s">
        <v>48</v>
      </c>
      <c r="D457" s="19" t="s">
        <v>49</v>
      </c>
      <c r="E457" s="19">
        <f>SUMIFS('Stock Inflow'!$G$2:$G$601,'Stock Inflow'!$A$2:$A$601,$A457,'Stock Inflow'!$D$2:$D$601,$D457)</f>
        <v>196</v>
      </c>
      <c r="F457" s="19">
        <f>SUMIFS('Stock Inflow'!$F$2:$F$601,'Stock Inflow'!$A$2:$A$601,$A457,'Stock Inflow'!$D$2:$D$601,$D457)</f>
        <v>15</v>
      </c>
      <c r="G457" s="19">
        <f>SUMIFS('Stock Inflow'!$E$2:$E$601,'Stock Inflow'!$A$2:$A$601,$A457,'Stock Inflow'!$D$2:$D$601,$D457)</f>
        <v>0</v>
      </c>
      <c r="H457" s="19">
        <f>SUMIFS('Stock Outflow'!$F$2:$F$601,'Stock Outflow'!$A$2:$A$601,$A457,'Stock Outflow'!$D$2:$D$601,$D457)</f>
        <v>12</v>
      </c>
      <c r="I457" s="19">
        <f>SUMIFS('Stock Outflow'!$E$2:$E$601,'Stock Outflow'!$A$2:$A$601,$A457,'Stock Outflow'!$D$2:$D$601,$D457)</f>
        <v>0</v>
      </c>
      <c r="J457" s="19">
        <f t="shared" si="42"/>
        <v>199</v>
      </c>
      <c r="K457" s="20">
        <f>INDEX('Item Master'!$F$2:$F$51,MATCH($A457,'Item Master'!$A$2:$A$51,0))</f>
        <v>90</v>
      </c>
      <c r="L457" s="20">
        <f t="shared" si="43"/>
        <v>1080</v>
      </c>
      <c r="M457" s="21">
        <f t="shared" si="44"/>
        <v>0.4</v>
      </c>
      <c r="N457" s="19">
        <f>INDEX('Item Master'!$E$2:$E$51,MATCH($A457,'Item Master'!$A$2:$A$51,0))</f>
        <v>10</v>
      </c>
      <c r="O457" s="22">
        <f>INDEX('Product Summary'!$L$2:$L$51,MATCH($A457,'Product Summary'!$A$2:$A$51,0))</f>
        <v>2.2222222222222223</v>
      </c>
      <c r="P457" s="22">
        <f>INDEX('Product Summary'!$M$2:$M$51,MATCH($A457,'Product Summary'!$A$2:$A$51,0))</f>
        <v>6.2770167427701677</v>
      </c>
      <c r="Q457" s="22">
        <f t="shared" si="45"/>
        <v>497.5</v>
      </c>
      <c r="R457" s="22">
        <f t="shared" si="46"/>
        <v>481.80745814307454</v>
      </c>
      <c r="S457" s="19" t="str">
        <f t="shared" si="47"/>
        <v>OVERSTOCK</v>
      </c>
    </row>
    <row r="458" spans="1:19" x14ac:dyDescent="0.3">
      <c r="A458" s="19" t="s">
        <v>148</v>
      </c>
      <c r="B458" s="19" t="s">
        <v>149</v>
      </c>
      <c r="C458" s="19" t="s">
        <v>50</v>
      </c>
      <c r="D458" s="19" t="s">
        <v>27</v>
      </c>
      <c r="E458" s="19">
        <f>SUMIFS('Stock Inflow'!$G$2:$G$601,'Stock Inflow'!$A$2:$A$601,$A458,'Stock Inflow'!$D$2:$D$601,$D458)</f>
        <v>346</v>
      </c>
      <c r="F458" s="19">
        <f>SUMIFS('Stock Inflow'!$F$2:$F$601,'Stock Inflow'!$A$2:$A$601,$A458,'Stock Inflow'!$D$2:$D$601,$D458)</f>
        <v>29</v>
      </c>
      <c r="G458" s="19">
        <f>SUMIFS('Stock Inflow'!$E$2:$E$601,'Stock Inflow'!$A$2:$A$601,$A458,'Stock Inflow'!$D$2:$D$601,$D458)</f>
        <v>1</v>
      </c>
      <c r="H458" s="19">
        <f>SUMIFS('Stock Outflow'!$F$2:$F$601,'Stock Outflow'!$A$2:$A$601,$A458,'Stock Outflow'!$D$2:$D$601,$D458)</f>
        <v>25</v>
      </c>
      <c r="I458" s="19">
        <f>SUMIFS('Stock Outflow'!$E$2:$E$601,'Stock Outflow'!$A$2:$A$601,$A458,'Stock Outflow'!$D$2:$D$601,$D458)</f>
        <v>0</v>
      </c>
      <c r="J458" s="19">
        <f t="shared" si="42"/>
        <v>351</v>
      </c>
      <c r="K458" s="20">
        <f>INDEX('Item Master'!$F$2:$F$51,MATCH($A458,'Item Master'!$A$2:$A$51,0))</f>
        <v>1200</v>
      </c>
      <c r="L458" s="20">
        <f t="shared" si="43"/>
        <v>30000</v>
      </c>
      <c r="M458" s="21">
        <f t="shared" si="44"/>
        <v>0.83333333333333337</v>
      </c>
      <c r="N458" s="19">
        <f>INDEX('Item Master'!$E$2:$E$51,MATCH($A458,'Item Master'!$A$2:$A$51,0))</f>
        <v>7</v>
      </c>
      <c r="O458" s="22">
        <f>INDEX('Product Summary'!$L$2:$L$51,MATCH($A458,'Product Summary'!$A$2:$A$51,0))</f>
        <v>2.0027777777777778</v>
      </c>
      <c r="P458" s="22">
        <f>INDEX('Product Summary'!$M$2:$M$51,MATCH($A458,'Product Summary'!$A$2:$A$51,0))</f>
        <v>8.082229832572299</v>
      </c>
      <c r="Q458" s="22">
        <f t="shared" si="45"/>
        <v>421.2</v>
      </c>
      <c r="R458" s="22">
        <f t="shared" si="46"/>
        <v>411.50132420091325</v>
      </c>
      <c r="S458" s="19" t="str">
        <f t="shared" si="47"/>
        <v>OVERSTOCK</v>
      </c>
    </row>
    <row r="459" spans="1:19" x14ac:dyDescent="0.3">
      <c r="A459" s="19" t="s">
        <v>148</v>
      </c>
      <c r="B459" s="19" t="s">
        <v>149</v>
      </c>
      <c r="C459" s="19" t="s">
        <v>50</v>
      </c>
      <c r="D459" s="19" t="s">
        <v>29</v>
      </c>
      <c r="E459" s="19">
        <f>SUMIFS('Stock Inflow'!$G$2:$G$601,'Stock Inflow'!$A$2:$A$601,$A459,'Stock Inflow'!$D$2:$D$601,$D459)</f>
        <v>351</v>
      </c>
      <c r="F459" s="19">
        <f>SUMIFS('Stock Inflow'!$F$2:$F$601,'Stock Inflow'!$A$2:$A$601,$A459,'Stock Inflow'!$D$2:$D$601,$D459)</f>
        <v>30</v>
      </c>
      <c r="G459" s="19">
        <f>SUMIFS('Stock Inflow'!$E$2:$E$601,'Stock Inflow'!$A$2:$A$601,$A459,'Stock Inflow'!$D$2:$D$601,$D459)</f>
        <v>0</v>
      </c>
      <c r="H459" s="19">
        <f>SUMIFS('Stock Outflow'!$F$2:$F$601,'Stock Outflow'!$A$2:$A$601,$A459,'Stock Outflow'!$D$2:$D$601,$D459)</f>
        <v>28</v>
      </c>
      <c r="I459" s="19">
        <f>SUMIFS('Stock Outflow'!$E$2:$E$601,'Stock Outflow'!$A$2:$A$601,$A459,'Stock Outflow'!$D$2:$D$601,$D459)</f>
        <v>0</v>
      </c>
      <c r="J459" s="19">
        <f t="shared" si="42"/>
        <v>353</v>
      </c>
      <c r="K459" s="20">
        <f>INDEX('Item Master'!$F$2:$F$51,MATCH($A459,'Item Master'!$A$2:$A$51,0))</f>
        <v>1200</v>
      </c>
      <c r="L459" s="20">
        <f t="shared" si="43"/>
        <v>33600</v>
      </c>
      <c r="M459" s="21">
        <f t="shared" si="44"/>
        <v>0.93333333333333335</v>
      </c>
      <c r="N459" s="19">
        <f>INDEX('Item Master'!$E$2:$E$51,MATCH($A459,'Item Master'!$A$2:$A$51,0))</f>
        <v>7</v>
      </c>
      <c r="O459" s="22">
        <f>INDEX('Product Summary'!$L$2:$L$51,MATCH($A459,'Product Summary'!$A$2:$A$51,0))</f>
        <v>2.0027777777777778</v>
      </c>
      <c r="P459" s="22">
        <f>INDEX('Product Summary'!$M$2:$M$51,MATCH($A459,'Product Summary'!$A$2:$A$51,0))</f>
        <v>8.082229832572299</v>
      </c>
      <c r="Q459" s="22">
        <f t="shared" si="45"/>
        <v>378.21428571428572</v>
      </c>
      <c r="R459" s="22">
        <f t="shared" si="46"/>
        <v>369.55475375081539</v>
      </c>
      <c r="S459" s="19" t="str">
        <f t="shared" si="47"/>
        <v>OVERSTOCK</v>
      </c>
    </row>
    <row r="460" spans="1:19" x14ac:dyDescent="0.3">
      <c r="A460" s="19" t="s">
        <v>148</v>
      </c>
      <c r="B460" s="19" t="s">
        <v>149</v>
      </c>
      <c r="C460" s="19" t="s">
        <v>50</v>
      </c>
      <c r="D460" s="19" t="s">
        <v>31</v>
      </c>
      <c r="E460" s="19">
        <f>SUMIFS('Stock Inflow'!$G$2:$G$601,'Stock Inflow'!$A$2:$A$601,$A460,'Stock Inflow'!$D$2:$D$601,$D460)</f>
        <v>353</v>
      </c>
      <c r="F460" s="19">
        <f>SUMIFS('Stock Inflow'!$F$2:$F$601,'Stock Inflow'!$A$2:$A$601,$A460,'Stock Inflow'!$D$2:$D$601,$D460)</f>
        <v>27</v>
      </c>
      <c r="G460" s="19">
        <f>SUMIFS('Stock Inflow'!$E$2:$E$601,'Stock Inflow'!$A$2:$A$601,$A460,'Stock Inflow'!$D$2:$D$601,$D460)</f>
        <v>1</v>
      </c>
      <c r="H460" s="19">
        <f>SUMIFS('Stock Outflow'!$F$2:$F$601,'Stock Outflow'!$A$2:$A$601,$A460,'Stock Outflow'!$D$2:$D$601,$D460)</f>
        <v>24</v>
      </c>
      <c r="I460" s="19">
        <f>SUMIFS('Stock Outflow'!$E$2:$E$601,'Stock Outflow'!$A$2:$A$601,$A460,'Stock Outflow'!$D$2:$D$601,$D460)</f>
        <v>1</v>
      </c>
      <c r="J460" s="19">
        <f t="shared" si="42"/>
        <v>356</v>
      </c>
      <c r="K460" s="20">
        <f>INDEX('Item Master'!$F$2:$F$51,MATCH($A460,'Item Master'!$A$2:$A$51,0))</f>
        <v>1200</v>
      </c>
      <c r="L460" s="20">
        <f t="shared" si="43"/>
        <v>28800</v>
      </c>
      <c r="M460" s="21">
        <f t="shared" si="44"/>
        <v>0.8</v>
      </c>
      <c r="N460" s="19">
        <f>INDEX('Item Master'!$E$2:$E$51,MATCH($A460,'Item Master'!$A$2:$A$51,0))</f>
        <v>7</v>
      </c>
      <c r="O460" s="22">
        <f>INDEX('Product Summary'!$L$2:$L$51,MATCH($A460,'Product Summary'!$A$2:$A$51,0))</f>
        <v>2.0027777777777778</v>
      </c>
      <c r="P460" s="22">
        <f>INDEX('Product Summary'!$M$2:$M$51,MATCH($A460,'Product Summary'!$A$2:$A$51,0))</f>
        <v>8.082229832572299</v>
      </c>
      <c r="Q460" s="22">
        <f t="shared" si="45"/>
        <v>445</v>
      </c>
      <c r="R460" s="22">
        <f t="shared" si="46"/>
        <v>434.89721270928459</v>
      </c>
      <c r="S460" s="19" t="str">
        <f t="shared" si="47"/>
        <v>OVERSTOCK</v>
      </c>
    </row>
    <row r="461" spans="1:19" x14ac:dyDescent="0.3">
      <c r="A461" s="19" t="s">
        <v>148</v>
      </c>
      <c r="B461" s="19" t="s">
        <v>149</v>
      </c>
      <c r="C461" s="19" t="s">
        <v>50</v>
      </c>
      <c r="D461" s="19" t="s">
        <v>33</v>
      </c>
      <c r="E461" s="19">
        <f>SUMIFS('Stock Inflow'!$G$2:$G$601,'Stock Inflow'!$A$2:$A$601,$A461,'Stock Inflow'!$D$2:$D$601,$D461)</f>
        <v>356</v>
      </c>
      <c r="F461" s="19">
        <f>SUMIFS('Stock Inflow'!$F$2:$F$601,'Stock Inflow'!$A$2:$A$601,$A461,'Stock Inflow'!$D$2:$D$601,$D461)</f>
        <v>22</v>
      </c>
      <c r="G461" s="19">
        <f>SUMIFS('Stock Inflow'!$E$2:$E$601,'Stock Inflow'!$A$2:$A$601,$A461,'Stock Inflow'!$D$2:$D$601,$D461)</f>
        <v>0</v>
      </c>
      <c r="H461" s="19">
        <f>SUMIFS('Stock Outflow'!$F$2:$F$601,'Stock Outflow'!$A$2:$A$601,$A461,'Stock Outflow'!$D$2:$D$601,$D461)</f>
        <v>24</v>
      </c>
      <c r="I461" s="19">
        <f>SUMIFS('Stock Outflow'!$E$2:$E$601,'Stock Outflow'!$A$2:$A$601,$A461,'Stock Outflow'!$D$2:$D$601,$D461)</f>
        <v>0</v>
      </c>
      <c r="J461" s="19">
        <f t="shared" si="42"/>
        <v>354</v>
      </c>
      <c r="K461" s="20">
        <f>INDEX('Item Master'!$F$2:$F$51,MATCH($A461,'Item Master'!$A$2:$A$51,0))</f>
        <v>1200</v>
      </c>
      <c r="L461" s="20">
        <f t="shared" si="43"/>
        <v>28800</v>
      </c>
      <c r="M461" s="21">
        <f t="shared" si="44"/>
        <v>0.8</v>
      </c>
      <c r="N461" s="19">
        <f>INDEX('Item Master'!$E$2:$E$51,MATCH($A461,'Item Master'!$A$2:$A$51,0))</f>
        <v>7</v>
      </c>
      <c r="O461" s="22">
        <f>INDEX('Product Summary'!$L$2:$L$51,MATCH($A461,'Product Summary'!$A$2:$A$51,0))</f>
        <v>2.0027777777777778</v>
      </c>
      <c r="P461" s="22">
        <f>INDEX('Product Summary'!$M$2:$M$51,MATCH($A461,'Product Summary'!$A$2:$A$51,0))</f>
        <v>8.082229832572299</v>
      </c>
      <c r="Q461" s="22">
        <f t="shared" si="45"/>
        <v>442.5</v>
      </c>
      <c r="R461" s="22">
        <f t="shared" si="46"/>
        <v>432.39721270928459</v>
      </c>
      <c r="S461" s="19" t="str">
        <f t="shared" si="47"/>
        <v>OVERSTOCK</v>
      </c>
    </row>
    <row r="462" spans="1:19" x14ac:dyDescent="0.3">
      <c r="A462" s="19" t="s">
        <v>148</v>
      </c>
      <c r="B462" s="19" t="s">
        <v>149</v>
      </c>
      <c r="C462" s="19" t="s">
        <v>50</v>
      </c>
      <c r="D462" s="19" t="s">
        <v>35</v>
      </c>
      <c r="E462" s="19">
        <f>SUMIFS('Stock Inflow'!$G$2:$G$601,'Stock Inflow'!$A$2:$A$601,$A462,'Stock Inflow'!$D$2:$D$601,$D462)</f>
        <v>354</v>
      </c>
      <c r="F462" s="19">
        <f>SUMIFS('Stock Inflow'!$F$2:$F$601,'Stock Inflow'!$A$2:$A$601,$A462,'Stock Inflow'!$D$2:$D$601,$D462)</f>
        <v>21</v>
      </c>
      <c r="G462" s="19">
        <f>SUMIFS('Stock Inflow'!$E$2:$E$601,'Stock Inflow'!$A$2:$A$601,$A462,'Stock Inflow'!$D$2:$D$601,$D462)</f>
        <v>1</v>
      </c>
      <c r="H462" s="19">
        <f>SUMIFS('Stock Outflow'!$F$2:$F$601,'Stock Outflow'!$A$2:$A$601,$A462,'Stock Outflow'!$D$2:$D$601,$D462)</f>
        <v>23</v>
      </c>
      <c r="I462" s="19">
        <f>SUMIFS('Stock Outflow'!$E$2:$E$601,'Stock Outflow'!$A$2:$A$601,$A462,'Stock Outflow'!$D$2:$D$601,$D462)</f>
        <v>0</v>
      </c>
      <c r="J462" s="19">
        <f t="shared" si="42"/>
        <v>353</v>
      </c>
      <c r="K462" s="20">
        <f>INDEX('Item Master'!$F$2:$F$51,MATCH($A462,'Item Master'!$A$2:$A$51,0))</f>
        <v>1200</v>
      </c>
      <c r="L462" s="20">
        <f t="shared" si="43"/>
        <v>27600</v>
      </c>
      <c r="M462" s="21">
        <f t="shared" si="44"/>
        <v>0.76666666666666672</v>
      </c>
      <c r="N462" s="19">
        <f>INDEX('Item Master'!$E$2:$E$51,MATCH($A462,'Item Master'!$A$2:$A$51,0))</f>
        <v>7</v>
      </c>
      <c r="O462" s="22">
        <f>INDEX('Product Summary'!$L$2:$L$51,MATCH($A462,'Product Summary'!$A$2:$A$51,0))</f>
        <v>2.0027777777777778</v>
      </c>
      <c r="P462" s="22">
        <f>INDEX('Product Summary'!$M$2:$M$51,MATCH($A462,'Product Summary'!$A$2:$A$51,0))</f>
        <v>8.082229832572299</v>
      </c>
      <c r="Q462" s="22">
        <f t="shared" si="45"/>
        <v>460.43478260869563</v>
      </c>
      <c r="R462" s="22">
        <f t="shared" si="46"/>
        <v>449.8927436966448</v>
      </c>
      <c r="S462" s="19" t="str">
        <f t="shared" si="47"/>
        <v>OVERSTOCK</v>
      </c>
    </row>
    <row r="463" spans="1:19" x14ac:dyDescent="0.3">
      <c r="A463" s="19" t="s">
        <v>148</v>
      </c>
      <c r="B463" s="19" t="s">
        <v>149</v>
      </c>
      <c r="C463" s="19" t="s">
        <v>50</v>
      </c>
      <c r="D463" s="19" t="s">
        <v>37</v>
      </c>
      <c r="E463" s="19">
        <f>SUMIFS('Stock Inflow'!$G$2:$G$601,'Stock Inflow'!$A$2:$A$601,$A463,'Stock Inflow'!$D$2:$D$601,$D463)</f>
        <v>353</v>
      </c>
      <c r="F463" s="19">
        <f>SUMIFS('Stock Inflow'!$F$2:$F$601,'Stock Inflow'!$A$2:$A$601,$A463,'Stock Inflow'!$D$2:$D$601,$D463)</f>
        <v>23</v>
      </c>
      <c r="G463" s="19">
        <f>SUMIFS('Stock Inflow'!$E$2:$E$601,'Stock Inflow'!$A$2:$A$601,$A463,'Stock Inflow'!$D$2:$D$601,$D463)</f>
        <v>1</v>
      </c>
      <c r="H463" s="19">
        <f>SUMIFS('Stock Outflow'!$F$2:$F$601,'Stock Outflow'!$A$2:$A$601,$A463,'Stock Outflow'!$D$2:$D$601,$D463)</f>
        <v>25</v>
      </c>
      <c r="I463" s="19">
        <f>SUMIFS('Stock Outflow'!$E$2:$E$601,'Stock Outflow'!$A$2:$A$601,$A463,'Stock Outflow'!$D$2:$D$601,$D463)</f>
        <v>1</v>
      </c>
      <c r="J463" s="19">
        <f t="shared" si="42"/>
        <v>351</v>
      </c>
      <c r="K463" s="20">
        <f>INDEX('Item Master'!$F$2:$F$51,MATCH($A463,'Item Master'!$A$2:$A$51,0))</f>
        <v>1200</v>
      </c>
      <c r="L463" s="20">
        <f t="shared" si="43"/>
        <v>30000</v>
      </c>
      <c r="M463" s="21">
        <f t="shared" si="44"/>
        <v>0.83333333333333337</v>
      </c>
      <c r="N463" s="19">
        <f>INDEX('Item Master'!$E$2:$E$51,MATCH($A463,'Item Master'!$A$2:$A$51,0))</f>
        <v>7</v>
      </c>
      <c r="O463" s="22">
        <f>INDEX('Product Summary'!$L$2:$L$51,MATCH($A463,'Product Summary'!$A$2:$A$51,0))</f>
        <v>2.0027777777777778</v>
      </c>
      <c r="P463" s="22">
        <f>INDEX('Product Summary'!$M$2:$M$51,MATCH($A463,'Product Summary'!$A$2:$A$51,0))</f>
        <v>8.082229832572299</v>
      </c>
      <c r="Q463" s="22">
        <f t="shared" si="45"/>
        <v>421.2</v>
      </c>
      <c r="R463" s="22">
        <f t="shared" si="46"/>
        <v>411.50132420091325</v>
      </c>
      <c r="S463" s="19" t="str">
        <f t="shared" si="47"/>
        <v>OVERSTOCK</v>
      </c>
    </row>
    <row r="464" spans="1:19" x14ac:dyDescent="0.3">
      <c r="A464" s="19" t="s">
        <v>148</v>
      </c>
      <c r="B464" s="19" t="s">
        <v>149</v>
      </c>
      <c r="C464" s="19" t="s">
        <v>50</v>
      </c>
      <c r="D464" s="19" t="s">
        <v>39</v>
      </c>
      <c r="E464" s="19">
        <f>SUMIFS('Stock Inflow'!$G$2:$G$601,'Stock Inflow'!$A$2:$A$601,$A464,'Stock Inflow'!$D$2:$D$601,$D464)</f>
        <v>351</v>
      </c>
      <c r="F464" s="19">
        <f>SUMIFS('Stock Inflow'!$F$2:$F$601,'Stock Inflow'!$A$2:$A$601,$A464,'Stock Inflow'!$D$2:$D$601,$D464)</f>
        <v>25</v>
      </c>
      <c r="G464" s="19">
        <f>SUMIFS('Stock Inflow'!$E$2:$E$601,'Stock Inflow'!$A$2:$A$601,$A464,'Stock Inflow'!$D$2:$D$601,$D464)</f>
        <v>0</v>
      </c>
      <c r="H464" s="19">
        <f>SUMIFS('Stock Outflow'!$F$2:$F$601,'Stock Outflow'!$A$2:$A$601,$A464,'Stock Outflow'!$D$2:$D$601,$D464)</f>
        <v>25</v>
      </c>
      <c r="I464" s="19">
        <f>SUMIFS('Stock Outflow'!$E$2:$E$601,'Stock Outflow'!$A$2:$A$601,$A464,'Stock Outflow'!$D$2:$D$601,$D464)</f>
        <v>0</v>
      </c>
      <c r="J464" s="19">
        <f t="shared" si="42"/>
        <v>351</v>
      </c>
      <c r="K464" s="20">
        <f>INDEX('Item Master'!$F$2:$F$51,MATCH($A464,'Item Master'!$A$2:$A$51,0))</f>
        <v>1200</v>
      </c>
      <c r="L464" s="20">
        <f t="shared" si="43"/>
        <v>30000</v>
      </c>
      <c r="M464" s="21">
        <f t="shared" si="44"/>
        <v>0.83333333333333337</v>
      </c>
      <c r="N464" s="19">
        <f>INDEX('Item Master'!$E$2:$E$51,MATCH($A464,'Item Master'!$A$2:$A$51,0))</f>
        <v>7</v>
      </c>
      <c r="O464" s="22">
        <f>INDEX('Product Summary'!$L$2:$L$51,MATCH($A464,'Product Summary'!$A$2:$A$51,0))</f>
        <v>2.0027777777777778</v>
      </c>
      <c r="P464" s="22">
        <f>INDEX('Product Summary'!$M$2:$M$51,MATCH($A464,'Product Summary'!$A$2:$A$51,0))</f>
        <v>8.082229832572299</v>
      </c>
      <c r="Q464" s="22">
        <f t="shared" si="45"/>
        <v>421.2</v>
      </c>
      <c r="R464" s="22">
        <f t="shared" si="46"/>
        <v>411.50132420091325</v>
      </c>
      <c r="S464" s="19" t="str">
        <f t="shared" si="47"/>
        <v>OVERSTOCK</v>
      </c>
    </row>
    <row r="465" spans="1:19" x14ac:dyDescent="0.3">
      <c r="A465" s="19" t="s">
        <v>148</v>
      </c>
      <c r="B465" s="19" t="s">
        <v>149</v>
      </c>
      <c r="C465" s="19" t="s">
        <v>50</v>
      </c>
      <c r="D465" s="19" t="s">
        <v>41</v>
      </c>
      <c r="E465" s="19">
        <f>SUMIFS('Stock Inflow'!$G$2:$G$601,'Stock Inflow'!$A$2:$A$601,$A465,'Stock Inflow'!$D$2:$D$601,$D465)</f>
        <v>351</v>
      </c>
      <c r="F465" s="19">
        <f>SUMIFS('Stock Inflow'!$F$2:$F$601,'Stock Inflow'!$A$2:$A$601,$A465,'Stock Inflow'!$D$2:$D$601,$D465)</f>
        <v>31</v>
      </c>
      <c r="G465" s="19">
        <f>SUMIFS('Stock Inflow'!$E$2:$E$601,'Stock Inflow'!$A$2:$A$601,$A465,'Stock Inflow'!$D$2:$D$601,$D465)</f>
        <v>1</v>
      </c>
      <c r="H465" s="19">
        <f>SUMIFS('Stock Outflow'!$F$2:$F$601,'Stock Outflow'!$A$2:$A$601,$A465,'Stock Outflow'!$D$2:$D$601,$D465)</f>
        <v>26</v>
      </c>
      <c r="I465" s="19">
        <f>SUMIFS('Stock Outflow'!$E$2:$E$601,'Stock Outflow'!$A$2:$A$601,$A465,'Stock Outflow'!$D$2:$D$601,$D465)</f>
        <v>0</v>
      </c>
      <c r="J465" s="19">
        <f t="shared" si="42"/>
        <v>357</v>
      </c>
      <c r="K465" s="20">
        <f>INDEX('Item Master'!$F$2:$F$51,MATCH($A465,'Item Master'!$A$2:$A$51,0))</f>
        <v>1200</v>
      </c>
      <c r="L465" s="20">
        <f t="shared" si="43"/>
        <v>31200</v>
      </c>
      <c r="M465" s="21">
        <f t="shared" si="44"/>
        <v>0.8666666666666667</v>
      </c>
      <c r="N465" s="19">
        <f>INDEX('Item Master'!$E$2:$E$51,MATCH($A465,'Item Master'!$A$2:$A$51,0))</f>
        <v>7</v>
      </c>
      <c r="O465" s="22">
        <f>INDEX('Product Summary'!$L$2:$L$51,MATCH($A465,'Product Summary'!$A$2:$A$51,0))</f>
        <v>2.0027777777777778</v>
      </c>
      <c r="P465" s="22">
        <f>INDEX('Product Summary'!$M$2:$M$51,MATCH($A465,'Product Summary'!$A$2:$A$51,0))</f>
        <v>8.082229832572299</v>
      </c>
      <c r="Q465" s="22">
        <f t="shared" si="45"/>
        <v>411.92307692307691</v>
      </c>
      <c r="R465" s="22">
        <f t="shared" si="46"/>
        <v>402.59742711626274</v>
      </c>
      <c r="S465" s="19" t="str">
        <f t="shared" si="47"/>
        <v>OVERSTOCK</v>
      </c>
    </row>
    <row r="466" spans="1:19" x14ac:dyDescent="0.3">
      <c r="A466" s="19" t="s">
        <v>148</v>
      </c>
      <c r="B466" s="19" t="s">
        <v>149</v>
      </c>
      <c r="C466" s="19" t="s">
        <v>50</v>
      </c>
      <c r="D466" s="19" t="s">
        <v>43</v>
      </c>
      <c r="E466" s="19">
        <f>SUMIFS('Stock Inflow'!$G$2:$G$601,'Stock Inflow'!$A$2:$A$601,$A466,'Stock Inflow'!$D$2:$D$601,$D466)</f>
        <v>357</v>
      </c>
      <c r="F466" s="19">
        <f>SUMIFS('Stock Inflow'!$F$2:$F$601,'Stock Inflow'!$A$2:$A$601,$A466,'Stock Inflow'!$D$2:$D$601,$D466)</f>
        <v>30</v>
      </c>
      <c r="G466" s="19">
        <f>SUMIFS('Stock Inflow'!$E$2:$E$601,'Stock Inflow'!$A$2:$A$601,$A466,'Stock Inflow'!$D$2:$D$601,$D466)</f>
        <v>1</v>
      </c>
      <c r="H466" s="19">
        <f>SUMIFS('Stock Outflow'!$F$2:$F$601,'Stock Outflow'!$A$2:$A$601,$A466,'Stock Outflow'!$D$2:$D$601,$D466)</f>
        <v>28</v>
      </c>
      <c r="I466" s="19">
        <f>SUMIFS('Stock Outflow'!$E$2:$E$601,'Stock Outflow'!$A$2:$A$601,$A466,'Stock Outflow'!$D$2:$D$601,$D466)</f>
        <v>0</v>
      </c>
      <c r="J466" s="19">
        <f t="shared" si="42"/>
        <v>360</v>
      </c>
      <c r="K466" s="20">
        <f>INDEX('Item Master'!$F$2:$F$51,MATCH($A466,'Item Master'!$A$2:$A$51,0))</f>
        <v>1200</v>
      </c>
      <c r="L466" s="20">
        <f t="shared" si="43"/>
        <v>33600</v>
      </c>
      <c r="M466" s="21">
        <f t="shared" si="44"/>
        <v>0.93333333333333335</v>
      </c>
      <c r="N466" s="19">
        <f>INDEX('Item Master'!$E$2:$E$51,MATCH($A466,'Item Master'!$A$2:$A$51,0))</f>
        <v>7</v>
      </c>
      <c r="O466" s="22">
        <f>INDEX('Product Summary'!$L$2:$L$51,MATCH($A466,'Product Summary'!$A$2:$A$51,0))</f>
        <v>2.0027777777777778</v>
      </c>
      <c r="P466" s="22">
        <f>INDEX('Product Summary'!$M$2:$M$51,MATCH($A466,'Product Summary'!$A$2:$A$51,0))</f>
        <v>8.082229832572299</v>
      </c>
      <c r="Q466" s="22">
        <f t="shared" si="45"/>
        <v>385.71428571428572</v>
      </c>
      <c r="R466" s="22">
        <f t="shared" si="46"/>
        <v>377.05475375081539</v>
      </c>
      <c r="S466" s="19" t="str">
        <f t="shared" si="47"/>
        <v>OVERSTOCK</v>
      </c>
    </row>
    <row r="467" spans="1:19" x14ac:dyDescent="0.3">
      <c r="A467" s="19" t="s">
        <v>148</v>
      </c>
      <c r="B467" s="19" t="s">
        <v>149</v>
      </c>
      <c r="C467" s="19" t="s">
        <v>50</v>
      </c>
      <c r="D467" s="19" t="s">
        <v>45</v>
      </c>
      <c r="E467" s="19">
        <f>SUMIFS('Stock Inflow'!$G$2:$G$601,'Stock Inflow'!$A$2:$A$601,$A467,'Stock Inflow'!$D$2:$D$601,$D467)</f>
        <v>360</v>
      </c>
      <c r="F467" s="19">
        <f>SUMIFS('Stock Inflow'!$F$2:$F$601,'Stock Inflow'!$A$2:$A$601,$A467,'Stock Inflow'!$D$2:$D$601,$D467)</f>
        <v>45</v>
      </c>
      <c r="G467" s="19">
        <f>SUMIFS('Stock Inflow'!$E$2:$E$601,'Stock Inflow'!$A$2:$A$601,$A467,'Stock Inflow'!$D$2:$D$601,$D467)</f>
        <v>1</v>
      </c>
      <c r="H467" s="19">
        <f>SUMIFS('Stock Outflow'!$F$2:$F$601,'Stock Outflow'!$A$2:$A$601,$A467,'Stock Outflow'!$D$2:$D$601,$D467)</f>
        <v>35</v>
      </c>
      <c r="I467" s="19">
        <f>SUMIFS('Stock Outflow'!$E$2:$E$601,'Stock Outflow'!$A$2:$A$601,$A467,'Stock Outflow'!$D$2:$D$601,$D467)</f>
        <v>0</v>
      </c>
      <c r="J467" s="19">
        <f t="shared" si="42"/>
        <v>371</v>
      </c>
      <c r="K467" s="20">
        <f>INDEX('Item Master'!$F$2:$F$51,MATCH($A467,'Item Master'!$A$2:$A$51,0))</f>
        <v>1200</v>
      </c>
      <c r="L467" s="20">
        <f t="shared" si="43"/>
        <v>42000</v>
      </c>
      <c r="M467" s="21">
        <f t="shared" si="44"/>
        <v>1.1666666666666667</v>
      </c>
      <c r="N467" s="19">
        <f>INDEX('Item Master'!$E$2:$E$51,MATCH($A467,'Item Master'!$A$2:$A$51,0))</f>
        <v>7</v>
      </c>
      <c r="O467" s="22">
        <f>INDEX('Product Summary'!$L$2:$L$51,MATCH($A467,'Product Summary'!$A$2:$A$51,0))</f>
        <v>2.0027777777777778</v>
      </c>
      <c r="P467" s="22">
        <f>INDEX('Product Summary'!$M$2:$M$51,MATCH($A467,'Product Summary'!$A$2:$A$51,0))</f>
        <v>8.082229832572299</v>
      </c>
      <c r="Q467" s="22">
        <f t="shared" si="45"/>
        <v>318</v>
      </c>
      <c r="R467" s="22">
        <f t="shared" si="46"/>
        <v>311.07237442922371</v>
      </c>
      <c r="S467" s="19" t="str">
        <f t="shared" si="47"/>
        <v>OVERSTOCK</v>
      </c>
    </row>
    <row r="468" spans="1:19" x14ac:dyDescent="0.3">
      <c r="A468" s="19" t="s">
        <v>148</v>
      </c>
      <c r="B468" s="19" t="s">
        <v>149</v>
      </c>
      <c r="C468" s="19" t="s">
        <v>50</v>
      </c>
      <c r="D468" s="19" t="s">
        <v>47</v>
      </c>
      <c r="E468" s="19">
        <f>SUMIFS('Stock Inflow'!$G$2:$G$601,'Stock Inflow'!$A$2:$A$601,$A468,'Stock Inflow'!$D$2:$D$601,$D468)</f>
        <v>371</v>
      </c>
      <c r="F468" s="19">
        <f>SUMIFS('Stock Inflow'!$F$2:$F$601,'Stock Inflow'!$A$2:$A$601,$A468,'Stock Inflow'!$D$2:$D$601,$D468)</f>
        <v>30</v>
      </c>
      <c r="G468" s="19">
        <f>SUMIFS('Stock Inflow'!$E$2:$E$601,'Stock Inflow'!$A$2:$A$601,$A468,'Stock Inflow'!$D$2:$D$601,$D468)</f>
        <v>1</v>
      </c>
      <c r="H468" s="19">
        <f>SUMIFS('Stock Outflow'!$F$2:$F$601,'Stock Outflow'!$A$2:$A$601,$A468,'Stock Outflow'!$D$2:$D$601,$D468)</f>
        <v>32</v>
      </c>
      <c r="I468" s="19">
        <f>SUMIFS('Stock Outflow'!$E$2:$E$601,'Stock Outflow'!$A$2:$A$601,$A468,'Stock Outflow'!$D$2:$D$601,$D468)</f>
        <v>0</v>
      </c>
      <c r="J468" s="19">
        <f t="shared" si="42"/>
        <v>370</v>
      </c>
      <c r="K468" s="20">
        <f>INDEX('Item Master'!$F$2:$F$51,MATCH($A468,'Item Master'!$A$2:$A$51,0))</f>
        <v>1200</v>
      </c>
      <c r="L468" s="20">
        <f t="shared" si="43"/>
        <v>38400</v>
      </c>
      <c r="M468" s="21">
        <f t="shared" si="44"/>
        <v>1.0666666666666667</v>
      </c>
      <c r="N468" s="19">
        <f>INDEX('Item Master'!$E$2:$E$51,MATCH($A468,'Item Master'!$A$2:$A$51,0))</f>
        <v>7</v>
      </c>
      <c r="O468" s="22">
        <f>INDEX('Product Summary'!$L$2:$L$51,MATCH($A468,'Product Summary'!$A$2:$A$51,0))</f>
        <v>2.0027777777777778</v>
      </c>
      <c r="P468" s="22">
        <f>INDEX('Product Summary'!$M$2:$M$51,MATCH($A468,'Product Summary'!$A$2:$A$51,0))</f>
        <v>8.082229832572299</v>
      </c>
      <c r="Q468" s="22">
        <f t="shared" si="45"/>
        <v>346.875</v>
      </c>
      <c r="R468" s="22">
        <f t="shared" si="46"/>
        <v>339.29790953196346</v>
      </c>
      <c r="S468" s="19" t="str">
        <f t="shared" si="47"/>
        <v>OVERSTOCK</v>
      </c>
    </row>
    <row r="469" spans="1:19" x14ac:dyDescent="0.3">
      <c r="A469" s="19" t="s">
        <v>148</v>
      </c>
      <c r="B469" s="19" t="s">
        <v>149</v>
      </c>
      <c r="C469" s="19" t="s">
        <v>50</v>
      </c>
      <c r="D469" s="19" t="s">
        <v>49</v>
      </c>
      <c r="E469" s="19">
        <f>SUMIFS('Stock Inflow'!$G$2:$G$601,'Stock Inflow'!$A$2:$A$601,$A469,'Stock Inflow'!$D$2:$D$601,$D469)</f>
        <v>370</v>
      </c>
      <c r="F469" s="19">
        <f>SUMIFS('Stock Inflow'!$F$2:$F$601,'Stock Inflow'!$A$2:$A$601,$A469,'Stock Inflow'!$D$2:$D$601,$D469)</f>
        <v>28</v>
      </c>
      <c r="G469" s="19">
        <f>SUMIFS('Stock Inflow'!$E$2:$E$601,'Stock Inflow'!$A$2:$A$601,$A469,'Stock Inflow'!$D$2:$D$601,$D469)</f>
        <v>1</v>
      </c>
      <c r="H469" s="19">
        <f>SUMIFS('Stock Outflow'!$F$2:$F$601,'Stock Outflow'!$A$2:$A$601,$A469,'Stock Outflow'!$D$2:$D$601,$D469)</f>
        <v>22</v>
      </c>
      <c r="I469" s="19">
        <f>SUMIFS('Stock Outflow'!$E$2:$E$601,'Stock Outflow'!$A$2:$A$601,$A469,'Stock Outflow'!$D$2:$D$601,$D469)</f>
        <v>1</v>
      </c>
      <c r="J469" s="19">
        <f t="shared" si="42"/>
        <v>376</v>
      </c>
      <c r="K469" s="20">
        <f>INDEX('Item Master'!$F$2:$F$51,MATCH($A469,'Item Master'!$A$2:$A$51,0))</f>
        <v>1200</v>
      </c>
      <c r="L469" s="20">
        <f t="shared" si="43"/>
        <v>26400</v>
      </c>
      <c r="M469" s="21">
        <f t="shared" si="44"/>
        <v>0.73333333333333328</v>
      </c>
      <c r="N469" s="19">
        <f>INDEX('Item Master'!$E$2:$E$51,MATCH($A469,'Item Master'!$A$2:$A$51,0))</f>
        <v>7</v>
      </c>
      <c r="O469" s="22">
        <f>INDEX('Product Summary'!$L$2:$L$51,MATCH($A469,'Product Summary'!$A$2:$A$51,0))</f>
        <v>2.0027777777777778</v>
      </c>
      <c r="P469" s="22">
        <f>INDEX('Product Summary'!$M$2:$M$51,MATCH($A469,'Product Summary'!$A$2:$A$51,0))</f>
        <v>8.082229832572299</v>
      </c>
      <c r="Q469" s="22">
        <f t="shared" si="45"/>
        <v>512.72727272727275</v>
      </c>
      <c r="R469" s="22">
        <f t="shared" si="46"/>
        <v>501.70605022831052</v>
      </c>
      <c r="S469" s="19" t="str">
        <f t="shared" si="47"/>
        <v>OVERSTOCK</v>
      </c>
    </row>
    <row r="470" spans="1:19" x14ac:dyDescent="0.3">
      <c r="A470" s="19" t="s">
        <v>150</v>
      </c>
      <c r="B470" s="19" t="s">
        <v>151</v>
      </c>
      <c r="C470" s="19" t="s">
        <v>50</v>
      </c>
      <c r="D470" s="19" t="s">
        <v>27</v>
      </c>
      <c r="E470" s="19">
        <f>SUMIFS('Stock Inflow'!$G$2:$G$601,'Stock Inflow'!$A$2:$A$601,$A470,'Stock Inflow'!$D$2:$D$601,$D470)</f>
        <v>358</v>
      </c>
      <c r="F470" s="19">
        <f>SUMIFS('Stock Inflow'!$F$2:$F$601,'Stock Inflow'!$A$2:$A$601,$A470,'Stock Inflow'!$D$2:$D$601,$D470)</f>
        <v>35</v>
      </c>
      <c r="G470" s="19">
        <f>SUMIFS('Stock Inflow'!$E$2:$E$601,'Stock Inflow'!$A$2:$A$601,$A470,'Stock Inflow'!$D$2:$D$601,$D470)</f>
        <v>1</v>
      </c>
      <c r="H470" s="19">
        <f>SUMIFS('Stock Outflow'!$F$2:$F$601,'Stock Outflow'!$A$2:$A$601,$A470,'Stock Outflow'!$D$2:$D$601,$D470)</f>
        <v>33</v>
      </c>
      <c r="I470" s="19">
        <f>SUMIFS('Stock Outflow'!$E$2:$E$601,'Stock Outflow'!$A$2:$A$601,$A470,'Stock Outflow'!$D$2:$D$601,$D470)</f>
        <v>0</v>
      </c>
      <c r="J470" s="19">
        <f t="shared" si="42"/>
        <v>361</v>
      </c>
      <c r="K470" s="20">
        <f>INDEX('Item Master'!$F$2:$F$51,MATCH($A470,'Item Master'!$A$2:$A$51,0))</f>
        <v>2800</v>
      </c>
      <c r="L470" s="20">
        <f t="shared" si="43"/>
        <v>92400</v>
      </c>
      <c r="M470" s="21">
        <f t="shared" si="44"/>
        <v>1.1000000000000001</v>
      </c>
      <c r="N470" s="19">
        <f>INDEX('Item Master'!$E$2:$E$51,MATCH($A470,'Item Master'!$A$2:$A$51,0))</f>
        <v>3</v>
      </c>
      <c r="O470" s="22">
        <f>INDEX('Product Summary'!$L$2:$L$51,MATCH($A470,'Product Summary'!$A$2:$A$51,0))</f>
        <v>1.8833333333333337</v>
      </c>
      <c r="P470" s="22">
        <f>INDEX('Product Summary'!$M$2:$M$51,MATCH($A470,'Product Summary'!$A$2:$A$51,0))</f>
        <v>5.4504566210045668</v>
      </c>
      <c r="Q470" s="22">
        <f t="shared" si="45"/>
        <v>328.18181818181813</v>
      </c>
      <c r="R470" s="22">
        <f t="shared" si="46"/>
        <v>323.22685761726859</v>
      </c>
      <c r="S470" s="19" t="str">
        <f t="shared" si="47"/>
        <v>OVERSTOCK</v>
      </c>
    </row>
    <row r="471" spans="1:19" x14ac:dyDescent="0.3">
      <c r="A471" s="19" t="s">
        <v>150</v>
      </c>
      <c r="B471" s="19" t="s">
        <v>151</v>
      </c>
      <c r="C471" s="19" t="s">
        <v>50</v>
      </c>
      <c r="D471" s="19" t="s">
        <v>29</v>
      </c>
      <c r="E471" s="19">
        <f>SUMIFS('Stock Inflow'!$G$2:$G$601,'Stock Inflow'!$A$2:$A$601,$A471,'Stock Inflow'!$D$2:$D$601,$D471)</f>
        <v>361</v>
      </c>
      <c r="F471" s="19">
        <f>SUMIFS('Stock Inflow'!$F$2:$F$601,'Stock Inflow'!$A$2:$A$601,$A471,'Stock Inflow'!$D$2:$D$601,$D471)</f>
        <v>29</v>
      </c>
      <c r="G471" s="19">
        <f>SUMIFS('Stock Inflow'!$E$2:$E$601,'Stock Inflow'!$A$2:$A$601,$A471,'Stock Inflow'!$D$2:$D$601,$D471)</f>
        <v>1</v>
      </c>
      <c r="H471" s="19">
        <f>SUMIFS('Stock Outflow'!$F$2:$F$601,'Stock Outflow'!$A$2:$A$601,$A471,'Stock Outflow'!$D$2:$D$601,$D471)</f>
        <v>30</v>
      </c>
      <c r="I471" s="19">
        <f>SUMIFS('Stock Outflow'!$E$2:$E$601,'Stock Outflow'!$A$2:$A$601,$A471,'Stock Outflow'!$D$2:$D$601,$D471)</f>
        <v>1</v>
      </c>
      <c r="J471" s="19">
        <f t="shared" si="42"/>
        <v>360</v>
      </c>
      <c r="K471" s="20">
        <f>INDEX('Item Master'!$F$2:$F$51,MATCH($A471,'Item Master'!$A$2:$A$51,0))</f>
        <v>2800</v>
      </c>
      <c r="L471" s="20">
        <f t="shared" si="43"/>
        <v>84000</v>
      </c>
      <c r="M471" s="21">
        <f t="shared" si="44"/>
        <v>1</v>
      </c>
      <c r="N471" s="19">
        <f>INDEX('Item Master'!$E$2:$E$51,MATCH($A471,'Item Master'!$A$2:$A$51,0))</f>
        <v>3</v>
      </c>
      <c r="O471" s="22">
        <f>INDEX('Product Summary'!$L$2:$L$51,MATCH($A471,'Product Summary'!$A$2:$A$51,0))</f>
        <v>1.8833333333333337</v>
      </c>
      <c r="P471" s="22">
        <f>INDEX('Product Summary'!$M$2:$M$51,MATCH($A471,'Product Summary'!$A$2:$A$51,0))</f>
        <v>5.4504566210045668</v>
      </c>
      <c r="Q471" s="22">
        <f t="shared" si="45"/>
        <v>360</v>
      </c>
      <c r="R471" s="22">
        <f t="shared" si="46"/>
        <v>354.54954337899545</v>
      </c>
      <c r="S471" s="19" t="str">
        <f t="shared" si="47"/>
        <v>OVERSTOCK</v>
      </c>
    </row>
    <row r="472" spans="1:19" x14ac:dyDescent="0.3">
      <c r="A472" s="19" t="s">
        <v>150</v>
      </c>
      <c r="B472" s="19" t="s">
        <v>151</v>
      </c>
      <c r="C472" s="19" t="s">
        <v>50</v>
      </c>
      <c r="D472" s="19" t="s">
        <v>31</v>
      </c>
      <c r="E472" s="19">
        <f>SUMIFS('Stock Inflow'!$G$2:$G$601,'Stock Inflow'!$A$2:$A$601,$A472,'Stock Inflow'!$D$2:$D$601,$D472)</f>
        <v>360</v>
      </c>
      <c r="F472" s="19">
        <f>SUMIFS('Stock Inflow'!$F$2:$F$601,'Stock Inflow'!$A$2:$A$601,$A472,'Stock Inflow'!$D$2:$D$601,$D472)</f>
        <v>34</v>
      </c>
      <c r="G472" s="19">
        <f>SUMIFS('Stock Inflow'!$E$2:$E$601,'Stock Inflow'!$A$2:$A$601,$A472,'Stock Inflow'!$D$2:$D$601,$D472)</f>
        <v>1</v>
      </c>
      <c r="H472" s="19">
        <f>SUMIFS('Stock Outflow'!$F$2:$F$601,'Stock Outflow'!$A$2:$A$601,$A472,'Stock Outflow'!$D$2:$D$601,$D472)</f>
        <v>29</v>
      </c>
      <c r="I472" s="19">
        <f>SUMIFS('Stock Outflow'!$E$2:$E$601,'Stock Outflow'!$A$2:$A$601,$A472,'Stock Outflow'!$D$2:$D$601,$D472)</f>
        <v>1</v>
      </c>
      <c r="J472" s="19">
        <f t="shared" si="42"/>
        <v>365</v>
      </c>
      <c r="K472" s="20">
        <f>INDEX('Item Master'!$F$2:$F$51,MATCH($A472,'Item Master'!$A$2:$A$51,0))</f>
        <v>2800</v>
      </c>
      <c r="L472" s="20">
        <f t="shared" si="43"/>
        <v>81200</v>
      </c>
      <c r="M472" s="21">
        <f t="shared" si="44"/>
        <v>0.96666666666666667</v>
      </c>
      <c r="N472" s="19">
        <f>INDEX('Item Master'!$E$2:$E$51,MATCH($A472,'Item Master'!$A$2:$A$51,0))</f>
        <v>3</v>
      </c>
      <c r="O472" s="22">
        <f>INDEX('Product Summary'!$L$2:$L$51,MATCH($A472,'Product Summary'!$A$2:$A$51,0))</f>
        <v>1.8833333333333337</v>
      </c>
      <c r="P472" s="22">
        <f>INDEX('Product Summary'!$M$2:$M$51,MATCH($A472,'Product Summary'!$A$2:$A$51,0))</f>
        <v>5.4504566210045668</v>
      </c>
      <c r="Q472" s="22">
        <f t="shared" si="45"/>
        <v>377.58620689655174</v>
      </c>
      <c r="R472" s="22">
        <f t="shared" si="46"/>
        <v>371.94780349551252</v>
      </c>
      <c r="S472" s="19" t="str">
        <f t="shared" si="47"/>
        <v>OVERSTOCK</v>
      </c>
    </row>
    <row r="473" spans="1:19" x14ac:dyDescent="0.3">
      <c r="A473" s="19" t="s">
        <v>150</v>
      </c>
      <c r="B473" s="19" t="s">
        <v>151</v>
      </c>
      <c r="C473" s="19" t="s">
        <v>50</v>
      </c>
      <c r="D473" s="19" t="s">
        <v>33</v>
      </c>
      <c r="E473" s="19">
        <f>SUMIFS('Stock Inflow'!$G$2:$G$601,'Stock Inflow'!$A$2:$A$601,$A473,'Stock Inflow'!$D$2:$D$601,$D473)</f>
        <v>365</v>
      </c>
      <c r="F473" s="19">
        <f>SUMIFS('Stock Inflow'!$F$2:$F$601,'Stock Inflow'!$A$2:$A$601,$A473,'Stock Inflow'!$D$2:$D$601,$D473)</f>
        <v>38</v>
      </c>
      <c r="G473" s="19">
        <f>SUMIFS('Stock Inflow'!$E$2:$E$601,'Stock Inflow'!$A$2:$A$601,$A473,'Stock Inflow'!$D$2:$D$601,$D473)</f>
        <v>0</v>
      </c>
      <c r="H473" s="19">
        <f>SUMIFS('Stock Outflow'!$F$2:$F$601,'Stock Outflow'!$A$2:$A$601,$A473,'Stock Outflow'!$D$2:$D$601,$D473)</f>
        <v>38</v>
      </c>
      <c r="I473" s="19">
        <f>SUMIFS('Stock Outflow'!$E$2:$E$601,'Stock Outflow'!$A$2:$A$601,$A473,'Stock Outflow'!$D$2:$D$601,$D473)</f>
        <v>1</v>
      </c>
      <c r="J473" s="19">
        <f t="shared" si="42"/>
        <v>364</v>
      </c>
      <c r="K473" s="20">
        <f>INDEX('Item Master'!$F$2:$F$51,MATCH($A473,'Item Master'!$A$2:$A$51,0))</f>
        <v>2800</v>
      </c>
      <c r="L473" s="20">
        <f t="shared" si="43"/>
        <v>106400</v>
      </c>
      <c r="M473" s="21">
        <f t="shared" si="44"/>
        <v>1.2666666666666666</v>
      </c>
      <c r="N473" s="19">
        <f>INDEX('Item Master'!$E$2:$E$51,MATCH($A473,'Item Master'!$A$2:$A$51,0))</f>
        <v>3</v>
      </c>
      <c r="O473" s="22">
        <f>INDEX('Product Summary'!$L$2:$L$51,MATCH($A473,'Product Summary'!$A$2:$A$51,0))</f>
        <v>1.8833333333333337</v>
      </c>
      <c r="P473" s="22">
        <f>INDEX('Product Summary'!$M$2:$M$51,MATCH($A473,'Product Summary'!$A$2:$A$51,0))</f>
        <v>5.4504566210045668</v>
      </c>
      <c r="Q473" s="22">
        <f t="shared" si="45"/>
        <v>287.36842105263162</v>
      </c>
      <c r="R473" s="22">
        <f t="shared" si="46"/>
        <v>283.06542898341746</v>
      </c>
      <c r="S473" s="19" t="str">
        <f t="shared" si="47"/>
        <v>OVERSTOCK</v>
      </c>
    </row>
    <row r="474" spans="1:19" x14ac:dyDescent="0.3">
      <c r="A474" s="19" t="s">
        <v>150</v>
      </c>
      <c r="B474" s="19" t="s">
        <v>151</v>
      </c>
      <c r="C474" s="19" t="s">
        <v>50</v>
      </c>
      <c r="D474" s="19" t="s">
        <v>35</v>
      </c>
      <c r="E474" s="19">
        <f>SUMIFS('Stock Inflow'!$G$2:$G$601,'Stock Inflow'!$A$2:$A$601,$A474,'Stock Inflow'!$D$2:$D$601,$D474)</f>
        <v>364</v>
      </c>
      <c r="F474" s="19">
        <f>SUMIFS('Stock Inflow'!$F$2:$F$601,'Stock Inflow'!$A$2:$A$601,$A474,'Stock Inflow'!$D$2:$D$601,$D474)</f>
        <v>39</v>
      </c>
      <c r="G474" s="19">
        <f>SUMIFS('Stock Inflow'!$E$2:$E$601,'Stock Inflow'!$A$2:$A$601,$A474,'Stock Inflow'!$D$2:$D$601,$D474)</f>
        <v>1</v>
      </c>
      <c r="H474" s="19">
        <f>SUMIFS('Stock Outflow'!$F$2:$F$601,'Stock Outflow'!$A$2:$A$601,$A474,'Stock Outflow'!$D$2:$D$601,$D474)</f>
        <v>33</v>
      </c>
      <c r="I474" s="19">
        <f>SUMIFS('Stock Outflow'!$E$2:$E$601,'Stock Outflow'!$A$2:$A$601,$A474,'Stock Outflow'!$D$2:$D$601,$D474)</f>
        <v>0</v>
      </c>
      <c r="J474" s="19">
        <f t="shared" si="42"/>
        <v>371</v>
      </c>
      <c r="K474" s="20">
        <f>INDEX('Item Master'!$F$2:$F$51,MATCH($A474,'Item Master'!$A$2:$A$51,0))</f>
        <v>2800</v>
      </c>
      <c r="L474" s="20">
        <f t="shared" si="43"/>
        <v>92400</v>
      </c>
      <c r="M474" s="21">
        <f t="shared" si="44"/>
        <v>1.1000000000000001</v>
      </c>
      <c r="N474" s="19">
        <f>INDEX('Item Master'!$E$2:$E$51,MATCH($A474,'Item Master'!$A$2:$A$51,0))</f>
        <v>3</v>
      </c>
      <c r="O474" s="22">
        <f>INDEX('Product Summary'!$L$2:$L$51,MATCH($A474,'Product Summary'!$A$2:$A$51,0))</f>
        <v>1.8833333333333337</v>
      </c>
      <c r="P474" s="22">
        <f>INDEX('Product Summary'!$M$2:$M$51,MATCH($A474,'Product Summary'!$A$2:$A$51,0))</f>
        <v>5.4504566210045668</v>
      </c>
      <c r="Q474" s="22">
        <f t="shared" si="45"/>
        <v>337.27272727272725</v>
      </c>
      <c r="R474" s="22">
        <f t="shared" si="46"/>
        <v>332.31776670817766</v>
      </c>
      <c r="S474" s="19" t="str">
        <f t="shared" si="47"/>
        <v>OVERSTOCK</v>
      </c>
    </row>
    <row r="475" spans="1:19" x14ac:dyDescent="0.3">
      <c r="A475" s="19" t="s">
        <v>150</v>
      </c>
      <c r="B475" s="19" t="s">
        <v>151</v>
      </c>
      <c r="C475" s="19" t="s">
        <v>50</v>
      </c>
      <c r="D475" s="19" t="s">
        <v>37</v>
      </c>
      <c r="E475" s="19">
        <f>SUMIFS('Stock Inflow'!$G$2:$G$601,'Stock Inflow'!$A$2:$A$601,$A475,'Stock Inflow'!$D$2:$D$601,$D475)</f>
        <v>371</v>
      </c>
      <c r="F475" s="19">
        <f>SUMIFS('Stock Inflow'!$F$2:$F$601,'Stock Inflow'!$A$2:$A$601,$A475,'Stock Inflow'!$D$2:$D$601,$D475)</f>
        <v>31</v>
      </c>
      <c r="G475" s="19">
        <f>SUMIFS('Stock Inflow'!$E$2:$E$601,'Stock Inflow'!$A$2:$A$601,$A475,'Stock Inflow'!$D$2:$D$601,$D475)</f>
        <v>1</v>
      </c>
      <c r="H475" s="19">
        <f>SUMIFS('Stock Outflow'!$F$2:$F$601,'Stock Outflow'!$A$2:$A$601,$A475,'Stock Outflow'!$D$2:$D$601,$D475)</f>
        <v>29</v>
      </c>
      <c r="I475" s="19">
        <f>SUMIFS('Stock Outflow'!$E$2:$E$601,'Stock Outflow'!$A$2:$A$601,$A475,'Stock Outflow'!$D$2:$D$601,$D475)</f>
        <v>1</v>
      </c>
      <c r="J475" s="19">
        <f t="shared" si="42"/>
        <v>373</v>
      </c>
      <c r="K475" s="20">
        <f>INDEX('Item Master'!$F$2:$F$51,MATCH($A475,'Item Master'!$A$2:$A$51,0))</f>
        <v>2800</v>
      </c>
      <c r="L475" s="20">
        <f t="shared" si="43"/>
        <v>81200</v>
      </c>
      <c r="M475" s="21">
        <f t="shared" si="44"/>
        <v>0.96666666666666667</v>
      </c>
      <c r="N475" s="19">
        <f>INDEX('Item Master'!$E$2:$E$51,MATCH($A475,'Item Master'!$A$2:$A$51,0))</f>
        <v>3</v>
      </c>
      <c r="O475" s="22">
        <f>INDEX('Product Summary'!$L$2:$L$51,MATCH($A475,'Product Summary'!$A$2:$A$51,0))</f>
        <v>1.8833333333333337</v>
      </c>
      <c r="P475" s="22">
        <f>INDEX('Product Summary'!$M$2:$M$51,MATCH($A475,'Product Summary'!$A$2:$A$51,0))</f>
        <v>5.4504566210045668</v>
      </c>
      <c r="Q475" s="22">
        <f t="shared" si="45"/>
        <v>385.86206896551721</v>
      </c>
      <c r="R475" s="22">
        <f t="shared" si="46"/>
        <v>380.22366556447804</v>
      </c>
      <c r="S475" s="19" t="str">
        <f t="shared" si="47"/>
        <v>OVERSTOCK</v>
      </c>
    </row>
    <row r="476" spans="1:19" x14ac:dyDescent="0.3">
      <c r="A476" s="19" t="s">
        <v>150</v>
      </c>
      <c r="B476" s="19" t="s">
        <v>151</v>
      </c>
      <c r="C476" s="19" t="s">
        <v>50</v>
      </c>
      <c r="D476" s="19" t="s">
        <v>39</v>
      </c>
      <c r="E476" s="19">
        <f>SUMIFS('Stock Inflow'!$G$2:$G$601,'Stock Inflow'!$A$2:$A$601,$A476,'Stock Inflow'!$D$2:$D$601,$D476)</f>
        <v>373</v>
      </c>
      <c r="F476" s="19">
        <f>SUMIFS('Stock Inflow'!$F$2:$F$601,'Stock Inflow'!$A$2:$A$601,$A476,'Stock Inflow'!$D$2:$D$601,$D476)</f>
        <v>35</v>
      </c>
      <c r="G476" s="19">
        <f>SUMIFS('Stock Inflow'!$E$2:$E$601,'Stock Inflow'!$A$2:$A$601,$A476,'Stock Inflow'!$D$2:$D$601,$D476)</f>
        <v>1</v>
      </c>
      <c r="H476" s="19">
        <f>SUMIFS('Stock Outflow'!$F$2:$F$601,'Stock Outflow'!$A$2:$A$601,$A476,'Stock Outflow'!$D$2:$D$601,$D476)</f>
        <v>37</v>
      </c>
      <c r="I476" s="19">
        <f>SUMIFS('Stock Outflow'!$E$2:$E$601,'Stock Outflow'!$A$2:$A$601,$A476,'Stock Outflow'!$D$2:$D$601,$D476)</f>
        <v>0</v>
      </c>
      <c r="J476" s="19">
        <f t="shared" si="42"/>
        <v>372</v>
      </c>
      <c r="K476" s="20">
        <f>INDEX('Item Master'!$F$2:$F$51,MATCH($A476,'Item Master'!$A$2:$A$51,0))</f>
        <v>2800</v>
      </c>
      <c r="L476" s="20">
        <f t="shared" si="43"/>
        <v>103600</v>
      </c>
      <c r="M476" s="21">
        <f t="shared" si="44"/>
        <v>1.2333333333333334</v>
      </c>
      <c r="N476" s="19">
        <f>INDEX('Item Master'!$E$2:$E$51,MATCH($A476,'Item Master'!$A$2:$A$51,0))</f>
        <v>3</v>
      </c>
      <c r="O476" s="22">
        <f>INDEX('Product Summary'!$L$2:$L$51,MATCH($A476,'Product Summary'!$A$2:$A$51,0))</f>
        <v>1.8833333333333337</v>
      </c>
      <c r="P476" s="22">
        <f>INDEX('Product Summary'!$M$2:$M$51,MATCH($A476,'Product Summary'!$A$2:$A$51,0))</f>
        <v>5.4504566210045668</v>
      </c>
      <c r="Q476" s="22">
        <f t="shared" si="45"/>
        <v>301.62162162162161</v>
      </c>
      <c r="R476" s="22">
        <f t="shared" si="46"/>
        <v>297.20233246945577</v>
      </c>
      <c r="S476" s="19" t="str">
        <f t="shared" si="47"/>
        <v>OVERSTOCK</v>
      </c>
    </row>
    <row r="477" spans="1:19" x14ac:dyDescent="0.3">
      <c r="A477" s="19" t="s">
        <v>150</v>
      </c>
      <c r="B477" s="19" t="s">
        <v>151</v>
      </c>
      <c r="C477" s="19" t="s">
        <v>50</v>
      </c>
      <c r="D477" s="19" t="s">
        <v>41</v>
      </c>
      <c r="E477" s="19">
        <f>SUMIFS('Stock Inflow'!$G$2:$G$601,'Stock Inflow'!$A$2:$A$601,$A477,'Stock Inflow'!$D$2:$D$601,$D477)</f>
        <v>372</v>
      </c>
      <c r="F477" s="19">
        <f>SUMIFS('Stock Inflow'!$F$2:$F$601,'Stock Inflow'!$A$2:$A$601,$A477,'Stock Inflow'!$D$2:$D$601,$D477)</f>
        <v>43</v>
      </c>
      <c r="G477" s="19">
        <f>SUMIFS('Stock Inflow'!$E$2:$E$601,'Stock Inflow'!$A$2:$A$601,$A477,'Stock Inflow'!$D$2:$D$601,$D477)</f>
        <v>1</v>
      </c>
      <c r="H477" s="19">
        <f>SUMIFS('Stock Outflow'!$F$2:$F$601,'Stock Outflow'!$A$2:$A$601,$A477,'Stock Outflow'!$D$2:$D$601,$D477)</f>
        <v>38</v>
      </c>
      <c r="I477" s="19">
        <f>SUMIFS('Stock Outflow'!$E$2:$E$601,'Stock Outflow'!$A$2:$A$601,$A477,'Stock Outflow'!$D$2:$D$601,$D477)</f>
        <v>1</v>
      </c>
      <c r="J477" s="19">
        <f t="shared" si="42"/>
        <v>377</v>
      </c>
      <c r="K477" s="20">
        <f>INDEX('Item Master'!$F$2:$F$51,MATCH($A477,'Item Master'!$A$2:$A$51,0))</f>
        <v>2800</v>
      </c>
      <c r="L477" s="20">
        <f t="shared" si="43"/>
        <v>106400</v>
      </c>
      <c r="M477" s="21">
        <f t="shared" si="44"/>
        <v>1.2666666666666666</v>
      </c>
      <c r="N477" s="19">
        <f>INDEX('Item Master'!$E$2:$E$51,MATCH($A477,'Item Master'!$A$2:$A$51,0))</f>
        <v>3</v>
      </c>
      <c r="O477" s="22">
        <f>INDEX('Product Summary'!$L$2:$L$51,MATCH($A477,'Product Summary'!$A$2:$A$51,0))</f>
        <v>1.8833333333333337</v>
      </c>
      <c r="P477" s="22">
        <f>INDEX('Product Summary'!$M$2:$M$51,MATCH($A477,'Product Summary'!$A$2:$A$51,0))</f>
        <v>5.4504566210045668</v>
      </c>
      <c r="Q477" s="22">
        <f t="shared" si="45"/>
        <v>297.63157894736844</v>
      </c>
      <c r="R477" s="22">
        <f t="shared" si="46"/>
        <v>293.32858687815434</v>
      </c>
      <c r="S477" s="19" t="str">
        <f t="shared" si="47"/>
        <v>OVERSTOCK</v>
      </c>
    </row>
    <row r="478" spans="1:19" x14ac:dyDescent="0.3">
      <c r="A478" s="19" t="s">
        <v>150</v>
      </c>
      <c r="B478" s="19" t="s">
        <v>151</v>
      </c>
      <c r="C478" s="19" t="s">
        <v>50</v>
      </c>
      <c r="D478" s="19" t="s">
        <v>43</v>
      </c>
      <c r="E478" s="19">
        <f>SUMIFS('Stock Inflow'!$G$2:$G$601,'Stock Inflow'!$A$2:$A$601,$A478,'Stock Inflow'!$D$2:$D$601,$D478)</f>
        <v>377</v>
      </c>
      <c r="F478" s="19">
        <f>SUMIFS('Stock Inflow'!$F$2:$F$601,'Stock Inflow'!$A$2:$A$601,$A478,'Stock Inflow'!$D$2:$D$601,$D478)</f>
        <v>37</v>
      </c>
      <c r="G478" s="19">
        <f>SUMIFS('Stock Inflow'!$E$2:$E$601,'Stock Inflow'!$A$2:$A$601,$A478,'Stock Inflow'!$D$2:$D$601,$D478)</f>
        <v>1</v>
      </c>
      <c r="H478" s="19">
        <f>SUMIFS('Stock Outflow'!$F$2:$F$601,'Stock Outflow'!$A$2:$A$601,$A478,'Stock Outflow'!$D$2:$D$601,$D478)</f>
        <v>37</v>
      </c>
      <c r="I478" s="19">
        <f>SUMIFS('Stock Outflow'!$E$2:$E$601,'Stock Outflow'!$A$2:$A$601,$A478,'Stock Outflow'!$D$2:$D$601,$D478)</f>
        <v>1</v>
      </c>
      <c r="J478" s="19">
        <f t="shared" si="42"/>
        <v>377</v>
      </c>
      <c r="K478" s="20">
        <f>INDEX('Item Master'!$F$2:$F$51,MATCH($A478,'Item Master'!$A$2:$A$51,0))</f>
        <v>2800</v>
      </c>
      <c r="L478" s="20">
        <f t="shared" si="43"/>
        <v>103600</v>
      </c>
      <c r="M478" s="21">
        <f t="shared" si="44"/>
        <v>1.2333333333333334</v>
      </c>
      <c r="N478" s="19">
        <f>INDEX('Item Master'!$E$2:$E$51,MATCH($A478,'Item Master'!$A$2:$A$51,0))</f>
        <v>3</v>
      </c>
      <c r="O478" s="22">
        <f>INDEX('Product Summary'!$L$2:$L$51,MATCH($A478,'Product Summary'!$A$2:$A$51,0))</f>
        <v>1.8833333333333337</v>
      </c>
      <c r="P478" s="22">
        <f>INDEX('Product Summary'!$M$2:$M$51,MATCH($A478,'Product Summary'!$A$2:$A$51,0))</f>
        <v>5.4504566210045668</v>
      </c>
      <c r="Q478" s="22">
        <f t="shared" si="45"/>
        <v>305.67567567567568</v>
      </c>
      <c r="R478" s="22">
        <f t="shared" si="46"/>
        <v>301.25638652350983</v>
      </c>
      <c r="S478" s="19" t="str">
        <f t="shared" si="47"/>
        <v>OVERSTOCK</v>
      </c>
    </row>
    <row r="479" spans="1:19" x14ac:dyDescent="0.3">
      <c r="A479" s="19" t="s">
        <v>150</v>
      </c>
      <c r="B479" s="19" t="s">
        <v>151</v>
      </c>
      <c r="C479" s="19" t="s">
        <v>50</v>
      </c>
      <c r="D479" s="19" t="s">
        <v>45</v>
      </c>
      <c r="E479" s="19">
        <f>SUMIFS('Stock Inflow'!$G$2:$G$601,'Stock Inflow'!$A$2:$A$601,$A479,'Stock Inflow'!$D$2:$D$601,$D479)</f>
        <v>377</v>
      </c>
      <c r="F479" s="19">
        <f>SUMIFS('Stock Inflow'!$F$2:$F$601,'Stock Inflow'!$A$2:$A$601,$A479,'Stock Inflow'!$D$2:$D$601,$D479)</f>
        <v>59</v>
      </c>
      <c r="G479" s="19">
        <f>SUMIFS('Stock Inflow'!$E$2:$E$601,'Stock Inflow'!$A$2:$A$601,$A479,'Stock Inflow'!$D$2:$D$601,$D479)</f>
        <v>1</v>
      </c>
      <c r="H479" s="19">
        <f>SUMIFS('Stock Outflow'!$F$2:$F$601,'Stock Outflow'!$A$2:$A$601,$A479,'Stock Outflow'!$D$2:$D$601,$D479)</f>
        <v>55</v>
      </c>
      <c r="I479" s="19">
        <f>SUMIFS('Stock Outflow'!$E$2:$E$601,'Stock Outflow'!$A$2:$A$601,$A479,'Stock Outflow'!$D$2:$D$601,$D479)</f>
        <v>1</v>
      </c>
      <c r="J479" s="19">
        <f t="shared" si="42"/>
        <v>381</v>
      </c>
      <c r="K479" s="20">
        <f>INDEX('Item Master'!$F$2:$F$51,MATCH($A479,'Item Master'!$A$2:$A$51,0))</f>
        <v>2800</v>
      </c>
      <c r="L479" s="20">
        <f t="shared" si="43"/>
        <v>154000</v>
      </c>
      <c r="M479" s="21">
        <f t="shared" si="44"/>
        <v>1.8333333333333333</v>
      </c>
      <c r="N479" s="19">
        <f>INDEX('Item Master'!$E$2:$E$51,MATCH($A479,'Item Master'!$A$2:$A$51,0))</f>
        <v>3</v>
      </c>
      <c r="O479" s="22">
        <f>INDEX('Product Summary'!$L$2:$L$51,MATCH($A479,'Product Summary'!$A$2:$A$51,0))</f>
        <v>1.8833333333333337</v>
      </c>
      <c r="P479" s="22">
        <f>INDEX('Product Summary'!$M$2:$M$51,MATCH($A479,'Product Summary'!$A$2:$A$51,0))</f>
        <v>5.4504566210045668</v>
      </c>
      <c r="Q479" s="22">
        <f t="shared" si="45"/>
        <v>207.81818181818181</v>
      </c>
      <c r="R479" s="22">
        <f t="shared" si="46"/>
        <v>204.84520547945206</v>
      </c>
      <c r="S479" s="19" t="str">
        <f t="shared" si="47"/>
        <v>OVERSTOCK</v>
      </c>
    </row>
    <row r="480" spans="1:19" x14ac:dyDescent="0.3">
      <c r="A480" s="19" t="s">
        <v>150</v>
      </c>
      <c r="B480" s="19" t="s">
        <v>151</v>
      </c>
      <c r="C480" s="19" t="s">
        <v>50</v>
      </c>
      <c r="D480" s="19" t="s">
        <v>47</v>
      </c>
      <c r="E480" s="19">
        <f>SUMIFS('Stock Inflow'!$G$2:$G$601,'Stock Inflow'!$A$2:$A$601,$A480,'Stock Inflow'!$D$2:$D$601,$D480)</f>
        <v>381</v>
      </c>
      <c r="F480" s="19">
        <f>SUMIFS('Stock Inflow'!$F$2:$F$601,'Stock Inflow'!$A$2:$A$601,$A480,'Stock Inflow'!$D$2:$D$601,$D480)</f>
        <v>48</v>
      </c>
      <c r="G480" s="19">
        <f>SUMIFS('Stock Inflow'!$E$2:$E$601,'Stock Inflow'!$A$2:$A$601,$A480,'Stock Inflow'!$D$2:$D$601,$D480)</f>
        <v>1</v>
      </c>
      <c r="H480" s="19">
        <f>SUMIFS('Stock Outflow'!$F$2:$F$601,'Stock Outflow'!$A$2:$A$601,$A480,'Stock Outflow'!$D$2:$D$601,$D480)</f>
        <v>40</v>
      </c>
      <c r="I480" s="19">
        <f>SUMIFS('Stock Outflow'!$E$2:$E$601,'Stock Outflow'!$A$2:$A$601,$A480,'Stock Outflow'!$D$2:$D$601,$D480)</f>
        <v>1</v>
      </c>
      <c r="J480" s="19">
        <f t="shared" si="42"/>
        <v>389</v>
      </c>
      <c r="K480" s="20">
        <f>INDEX('Item Master'!$F$2:$F$51,MATCH($A480,'Item Master'!$A$2:$A$51,0))</f>
        <v>2800</v>
      </c>
      <c r="L480" s="20">
        <f t="shared" si="43"/>
        <v>112000</v>
      </c>
      <c r="M480" s="21">
        <f t="shared" si="44"/>
        <v>1.3333333333333333</v>
      </c>
      <c r="N480" s="19">
        <f>INDEX('Item Master'!$E$2:$E$51,MATCH($A480,'Item Master'!$A$2:$A$51,0))</f>
        <v>3</v>
      </c>
      <c r="O480" s="22">
        <f>INDEX('Product Summary'!$L$2:$L$51,MATCH($A480,'Product Summary'!$A$2:$A$51,0))</f>
        <v>1.8833333333333337</v>
      </c>
      <c r="P480" s="22">
        <f>INDEX('Product Summary'!$M$2:$M$51,MATCH($A480,'Product Summary'!$A$2:$A$51,0))</f>
        <v>5.4504566210045668</v>
      </c>
      <c r="Q480" s="22">
        <f t="shared" si="45"/>
        <v>291.75</v>
      </c>
      <c r="R480" s="22">
        <f t="shared" si="46"/>
        <v>287.6621575342466</v>
      </c>
      <c r="S480" s="19" t="str">
        <f t="shared" si="47"/>
        <v>OVERSTOCK</v>
      </c>
    </row>
    <row r="481" spans="1:19" x14ac:dyDescent="0.3">
      <c r="A481" s="19" t="s">
        <v>150</v>
      </c>
      <c r="B481" s="19" t="s">
        <v>151</v>
      </c>
      <c r="C481" s="19" t="s">
        <v>50</v>
      </c>
      <c r="D481" s="19" t="s">
        <v>49</v>
      </c>
      <c r="E481" s="19">
        <f>SUMIFS('Stock Inflow'!$G$2:$G$601,'Stock Inflow'!$A$2:$A$601,$A481,'Stock Inflow'!$D$2:$D$601,$D481)</f>
        <v>389</v>
      </c>
      <c r="F481" s="19">
        <f>SUMIFS('Stock Inflow'!$F$2:$F$601,'Stock Inflow'!$A$2:$A$601,$A481,'Stock Inflow'!$D$2:$D$601,$D481)</f>
        <v>32</v>
      </c>
      <c r="G481" s="19">
        <f>SUMIFS('Stock Inflow'!$E$2:$E$601,'Stock Inflow'!$A$2:$A$601,$A481,'Stock Inflow'!$D$2:$D$601,$D481)</f>
        <v>1</v>
      </c>
      <c r="H481" s="19">
        <f>SUMIFS('Stock Outflow'!$F$2:$F$601,'Stock Outflow'!$A$2:$A$601,$A481,'Stock Outflow'!$D$2:$D$601,$D481)</f>
        <v>35</v>
      </c>
      <c r="I481" s="19">
        <f>SUMIFS('Stock Outflow'!$E$2:$E$601,'Stock Outflow'!$A$2:$A$601,$A481,'Stock Outflow'!$D$2:$D$601,$D481)</f>
        <v>1</v>
      </c>
      <c r="J481" s="19">
        <f t="shared" si="42"/>
        <v>386</v>
      </c>
      <c r="K481" s="20">
        <f>INDEX('Item Master'!$F$2:$F$51,MATCH($A481,'Item Master'!$A$2:$A$51,0))</f>
        <v>2800</v>
      </c>
      <c r="L481" s="20">
        <f t="shared" si="43"/>
        <v>98000</v>
      </c>
      <c r="M481" s="21">
        <f t="shared" si="44"/>
        <v>1.1666666666666667</v>
      </c>
      <c r="N481" s="19">
        <f>INDEX('Item Master'!$E$2:$E$51,MATCH($A481,'Item Master'!$A$2:$A$51,0))</f>
        <v>3</v>
      </c>
      <c r="O481" s="22">
        <f>INDEX('Product Summary'!$L$2:$L$51,MATCH($A481,'Product Summary'!$A$2:$A$51,0))</f>
        <v>1.8833333333333337</v>
      </c>
      <c r="P481" s="22">
        <f>INDEX('Product Summary'!$M$2:$M$51,MATCH($A481,'Product Summary'!$A$2:$A$51,0))</f>
        <v>5.4504566210045668</v>
      </c>
      <c r="Q481" s="22">
        <f t="shared" si="45"/>
        <v>330.85714285714283</v>
      </c>
      <c r="R481" s="22">
        <f t="shared" si="46"/>
        <v>326.18532289628178</v>
      </c>
      <c r="S481" s="19" t="str">
        <f t="shared" si="47"/>
        <v>OVERSTOCK</v>
      </c>
    </row>
    <row r="482" spans="1:19" x14ac:dyDescent="0.3">
      <c r="A482" s="19" t="s">
        <v>152</v>
      </c>
      <c r="B482" s="19" t="s">
        <v>153</v>
      </c>
      <c r="C482" s="19" t="s">
        <v>46</v>
      </c>
      <c r="D482" s="19" t="s">
        <v>27</v>
      </c>
      <c r="E482" s="19">
        <f>SUMIFS('Stock Inflow'!$G$2:$G$601,'Stock Inflow'!$A$2:$A$601,$A482,'Stock Inflow'!$D$2:$D$601,$D482)</f>
        <v>243</v>
      </c>
      <c r="F482" s="19">
        <f>SUMIFS('Stock Inflow'!$F$2:$F$601,'Stock Inflow'!$A$2:$A$601,$A482,'Stock Inflow'!$D$2:$D$601,$D482)</f>
        <v>43</v>
      </c>
      <c r="G482" s="19">
        <f>SUMIFS('Stock Inflow'!$E$2:$E$601,'Stock Inflow'!$A$2:$A$601,$A482,'Stock Inflow'!$D$2:$D$601,$D482)</f>
        <v>1</v>
      </c>
      <c r="H482" s="19">
        <f>SUMIFS('Stock Outflow'!$F$2:$F$601,'Stock Outflow'!$A$2:$A$601,$A482,'Stock Outflow'!$D$2:$D$601,$D482)</f>
        <v>40</v>
      </c>
      <c r="I482" s="19">
        <f>SUMIFS('Stock Outflow'!$E$2:$E$601,'Stock Outflow'!$A$2:$A$601,$A482,'Stock Outflow'!$D$2:$D$601,$D482)</f>
        <v>0</v>
      </c>
      <c r="J482" s="19">
        <f t="shared" si="42"/>
        <v>247</v>
      </c>
      <c r="K482" s="20">
        <f>INDEX('Item Master'!$F$2:$F$51,MATCH($A482,'Item Master'!$A$2:$A$51,0))</f>
        <v>450</v>
      </c>
      <c r="L482" s="20">
        <f t="shared" si="43"/>
        <v>18000</v>
      </c>
      <c r="M482" s="21">
        <f t="shared" si="44"/>
        <v>1.3333333333333333</v>
      </c>
      <c r="N482" s="19">
        <f>INDEX('Item Master'!$E$2:$E$51,MATCH($A482,'Item Master'!$A$2:$A$51,0))</f>
        <v>10</v>
      </c>
      <c r="O482" s="22">
        <f>INDEX('Product Summary'!$L$2:$L$51,MATCH($A482,'Product Summary'!$A$2:$A$51,0))</f>
        <v>4.9166666666666661</v>
      </c>
      <c r="P482" s="22">
        <f>INDEX('Product Summary'!$M$2:$M$51,MATCH($A482,'Product Summary'!$A$2:$A$51,0))</f>
        <v>18.149543378995432</v>
      </c>
      <c r="Q482" s="22">
        <f t="shared" si="45"/>
        <v>185.25</v>
      </c>
      <c r="R482" s="22">
        <f t="shared" si="46"/>
        <v>171.63784246575344</v>
      </c>
      <c r="S482" s="19" t="str">
        <f t="shared" si="47"/>
        <v>OVERSTOCK</v>
      </c>
    </row>
    <row r="483" spans="1:19" x14ac:dyDescent="0.3">
      <c r="A483" s="19" t="s">
        <v>152</v>
      </c>
      <c r="B483" s="19" t="s">
        <v>153</v>
      </c>
      <c r="C483" s="19" t="s">
        <v>46</v>
      </c>
      <c r="D483" s="19" t="s">
        <v>29</v>
      </c>
      <c r="E483" s="19">
        <f>SUMIFS('Stock Inflow'!$G$2:$G$601,'Stock Inflow'!$A$2:$A$601,$A483,'Stock Inflow'!$D$2:$D$601,$D483)</f>
        <v>247</v>
      </c>
      <c r="F483" s="19">
        <f>SUMIFS('Stock Inflow'!$F$2:$F$601,'Stock Inflow'!$A$2:$A$601,$A483,'Stock Inflow'!$D$2:$D$601,$D483)</f>
        <v>38</v>
      </c>
      <c r="G483" s="19">
        <f>SUMIFS('Stock Inflow'!$E$2:$E$601,'Stock Inflow'!$A$2:$A$601,$A483,'Stock Inflow'!$D$2:$D$601,$D483)</f>
        <v>1</v>
      </c>
      <c r="H483" s="19">
        <f>SUMIFS('Stock Outflow'!$F$2:$F$601,'Stock Outflow'!$A$2:$A$601,$A483,'Stock Outflow'!$D$2:$D$601,$D483)</f>
        <v>38</v>
      </c>
      <c r="I483" s="19">
        <f>SUMIFS('Stock Outflow'!$E$2:$E$601,'Stock Outflow'!$A$2:$A$601,$A483,'Stock Outflow'!$D$2:$D$601,$D483)</f>
        <v>1</v>
      </c>
      <c r="J483" s="19">
        <f t="shared" si="42"/>
        <v>247</v>
      </c>
      <c r="K483" s="20">
        <f>INDEX('Item Master'!$F$2:$F$51,MATCH($A483,'Item Master'!$A$2:$A$51,0))</f>
        <v>450</v>
      </c>
      <c r="L483" s="20">
        <f t="shared" si="43"/>
        <v>17100</v>
      </c>
      <c r="M483" s="21">
        <f t="shared" si="44"/>
        <v>1.2666666666666666</v>
      </c>
      <c r="N483" s="19">
        <f>INDEX('Item Master'!$E$2:$E$51,MATCH($A483,'Item Master'!$A$2:$A$51,0))</f>
        <v>10</v>
      </c>
      <c r="O483" s="22">
        <f>INDEX('Product Summary'!$L$2:$L$51,MATCH($A483,'Product Summary'!$A$2:$A$51,0))</f>
        <v>4.9166666666666661</v>
      </c>
      <c r="P483" s="22">
        <f>INDEX('Product Summary'!$M$2:$M$51,MATCH($A483,'Product Summary'!$A$2:$A$51,0))</f>
        <v>18.149543378995432</v>
      </c>
      <c r="Q483" s="22">
        <f t="shared" si="45"/>
        <v>195</v>
      </c>
      <c r="R483" s="22">
        <f t="shared" si="46"/>
        <v>180.67141312184575</v>
      </c>
      <c r="S483" s="19" t="str">
        <f t="shared" si="47"/>
        <v>OVERSTOCK</v>
      </c>
    </row>
    <row r="484" spans="1:19" x14ac:dyDescent="0.3">
      <c r="A484" s="19" t="s">
        <v>152</v>
      </c>
      <c r="B484" s="19" t="s">
        <v>153</v>
      </c>
      <c r="C484" s="19" t="s">
        <v>46</v>
      </c>
      <c r="D484" s="19" t="s">
        <v>31</v>
      </c>
      <c r="E484" s="19">
        <f>SUMIFS('Stock Inflow'!$G$2:$G$601,'Stock Inflow'!$A$2:$A$601,$A484,'Stock Inflow'!$D$2:$D$601,$D484)</f>
        <v>247</v>
      </c>
      <c r="F484" s="19">
        <f>SUMIFS('Stock Inflow'!$F$2:$F$601,'Stock Inflow'!$A$2:$A$601,$A484,'Stock Inflow'!$D$2:$D$601,$D484)</f>
        <v>37</v>
      </c>
      <c r="G484" s="19">
        <f>SUMIFS('Stock Inflow'!$E$2:$E$601,'Stock Inflow'!$A$2:$A$601,$A484,'Stock Inflow'!$D$2:$D$601,$D484)</f>
        <v>0</v>
      </c>
      <c r="H484" s="19">
        <f>SUMIFS('Stock Outflow'!$F$2:$F$601,'Stock Outflow'!$A$2:$A$601,$A484,'Stock Outflow'!$D$2:$D$601,$D484)</f>
        <v>34</v>
      </c>
      <c r="I484" s="19">
        <f>SUMIFS('Stock Outflow'!$E$2:$E$601,'Stock Outflow'!$A$2:$A$601,$A484,'Stock Outflow'!$D$2:$D$601,$D484)</f>
        <v>0</v>
      </c>
      <c r="J484" s="19">
        <f t="shared" si="42"/>
        <v>250</v>
      </c>
      <c r="K484" s="20">
        <f>INDEX('Item Master'!$F$2:$F$51,MATCH($A484,'Item Master'!$A$2:$A$51,0))</f>
        <v>450</v>
      </c>
      <c r="L484" s="20">
        <f t="shared" si="43"/>
        <v>15300</v>
      </c>
      <c r="M484" s="21">
        <f t="shared" si="44"/>
        <v>1.1333333333333333</v>
      </c>
      <c r="N484" s="19">
        <f>INDEX('Item Master'!$E$2:$E$51,MATCH($A484,'Item Master'!$A$2:$A$51,0))</f>
        <v>10</v>
      </c>
      <c r="O484" s="22">
        <f>INDEX('Product Summary'!$L$2:$L$51,MATCH($A484,'Product Summary'!$A$2:$A$51,0))</f>
        <v>4.9166666666666661</v>
      </c>
      <c r="P484" s="22">
        <f>INDEX('Product Summary'!$M$2:$M$51,MATCH($A484,'Product Summary'!$A$2:$A$51,0))</f>
        <v>18.149543378995432</v>
      </c>
      <c r="Q484" s="22">
        <f t="shared" si="45"/>
        <v>220.58823529411765</v>
      </c>
      <c r="R484" s="22">
        <f t="shared" si="46"/>
        <v>204.5739323126511</v>
      </c>
      <c r="S484" s="19" t="str">
        <f t="shared" si="47"/>
        <v>OVERSTOCK</v>
      </c>
    </row>
    <row r="485" spans="1:19" x14ac:dyDescent="0.3">
      <c r="A485" s="19" t="s">
        <v>152</v>
      </c>
      <c r="B485" s="19" t="s">
        <v>153</v>
      </c>
      <c r="C485" s="19" t="s">
        <v>46</v>
      </c>
      <c r="D485" s="19" t="s">
        <v>33</v>
      </c>
      <c r="E485" s="19">
        <f>SUMIFS('Stock Inflow'!$G$2:$G$601,'Stock Inflow'!$A$2:$A$601,$A485,'Stock Inflow'!$D$2:$D$601,$D485)</f>
        <v>250</v>
      </c>
      <c r="F485" s="19">
        <f>SUMIFS('Stock Inflow'!$F$2:$F$601,'Stock Inflow'!$A$2:$A$601,$A485,'Stock Inflow'!$D$2:$D$601,$D485)</f>
        <v>41</v>
      </c>
      <c r="G485" s="19">
        <f>SUMIFS('Stock Inflow'!$E$2:$E$601,'Stock Inflow'!$A$2:$A$601,$A485,'Stock Inflow'!$D$2:$D$601,$D485)</f>
        <v>1</v>
      </c>
      <c r="H485" s="19">
        <f>SUMIFS('Stock Outflow'!$F$2:$F$601,'Stock Outflow'!$A$2:$A$601,$A485,'Stock Outflow'!$D$2:$D$601,$D485)</f>
        <v>37</v>
      </c>
      <c r="I485" s="19">
        <f>SUMIFS('Stock Outflow'!$E$2:$E$601,'Stock Outflow'!$A$2:$A$601,$A485,'Stock Outflow'!$D$2:$D$601,$D485)</f>
        <v>0</v>
      </c>
      <c r="J485" s="19">
        <f t="shared" si="42"/>
        <v>255</v>
      </c>
      <c r="K485" s="20">
        <f>INDEX('Item Master'!$F$2:$F$51,MATCH($A485,'Item Master'!$A$2:$A$51,0))</f>
        <v>450</v>
      </c>
      <c r="L485" s="20">
        <f t="shared" si="43"/>
        <v>16650</v>
      </c>
      <c r="M485" s="21">
        <f t="shared" si="44"/>
        <v>1.2333333333333334</v>
      </c>
      <c r="N485" s="19">
        <f>INDEX('Item Master'!$E$2:$E$51,MATCH($A485,'Item Master'!$A$2:$A$51,0))</f>
        <v>10</v>
      </c>
      <c r="O485" s="22">
        <f>INDEX('Product Summary'!$L$2:$L$51,MATCH($A485,'Product Summary'!$A$2:$A$51,0))</f>
        <v>4.9166666666666661</v>
      </c>
      <c r="P485" s="22">
        <f>INDEX('Product Summary'!$M$2:$M$51,MATCH($A485,'Product Summary'!$A$2:$A$51,0))</f>
        <v>18.149543378995432</v>
      </c>
      <c r="Q485" s="22">
        <f t="shared" si="45"/>
        <v>206.75675675675674</v>
      </c>
      <c r="R485" s="22">
        <f t="shared" si="46"/>
        <v>192.04091077378749</v>
      </c>
      <c r="S485" s="19" t="str">
        <f t="shared" si="47"/>
        <v>OVERSTOCK</v>
      </c>
    </row>
    <row r="486" spans="1:19" x14ac:dyDescent="0.3">
      <c r="A486" s="19" t="s">
        <v>152</v>
      </c>
      <c r="B486" s="19" t="s">
        <v>153</v>
      </c>
      <c r="C486" s="19" t="s">
        <v>46</v>
      </c>
      <c r="D486" s="19" t="s">
        <v>35</v>
      </c>
      <c r="E486" s="19">
        <f>SUMIFS('Stock Inflow'!$G$2:$G$601,'Stock Inflow'!$A$2:$A$601,$A486,'Stock Inflow'!$D$2:$D$601,$D486)</f>
        <v>255</v>
      </c>
      <c r="F486" s="19">
        <f>SUMIFS('Stock Inflow'!$F$2:$F$601,'Stock Inflow'!$A$2:$A$601,$A486,'Stock Inflow'!$D$2:$D$601,$D486)</f>
        <v>34</v>
      </c>
      <c r="G486" s="19">
        <f>SUMIFS('Stock Inflow'!$E$2:$E$601,'Stock Inflow'!$A$2:$A$601,$A486,'Stock Inflow'!$D$2:$D$601,$D486)</f>
        <v>1</v>
      </c>
      <c r="H486" s="19">
        <f>SUMIFS('Stock Outflow'!$F$2:$F$601,'Stock Outflow'!$A$2:$A$601,$A486,'Stock Outflow'!$D$2:$D$601,$D486)</f>
        <v>36</v>
      </c>
      <c r="I486" s="19">
        <f>SUMIFS('Stock Outflow'!$E$2:$E$601,'Stock Outflow'!$A$2:$A$601,$A486,'Stock Outflow'!$D$2:$D$601,$D486)</f>
        <v>0</v>
      </c>
      <c r="J486" s="19">
        <f t="shared" si="42"/>
        <v>254</v>
      </c>
      <c r="K486" s="20">
        <f>INDEX('Item Master'!$F$2:$F$51,MATCH($A486,'Item Master'!$A$2:$A$51,0))</f>
        <v>450</v>
      </c>
      <c r="L486" s="20">
        <f t="shared" si="43"/>
        <v>16200</v>
      </c>
      <c r="M486" s="21">
        <f t="shared" si="44"/>
        <v>1.2</v>
      </c>
      <c r="N486" s="19">
        <f>INDEX('Item Master'!$E$2:$E$51,MATCH($A486,'Item Master'!$A$2:$A$51,0))</f>
        <v>10</v>
      </c>
      <c r="O486" s="22">
        <f>INDEX('Product Summary'!$L$2:$L$51,MATCH($A486,'Product Summary'!$A$2:$A$51,0))</f>
        <v>4.9166666666666661</v>
      </c>
      <c r="P486" s="22">
        <f>INDEX('Product Summary'!$M$2:$M$51,MATCH($A486,'Product Summary'!$A$2:$A$51,0))</f>
        <v>18.149543378995432</v>
      </c>
      <c r="Q486" s="22">
        <f t="shared" si="45"/>
        <v>211.66666666666669</v>
      </c>
      <c r="R486" s="22">
        <f t="shared" si="46"/>
        <v>196.54204718417049</v>
      </c>
      <c r="S486" s="19" t="str">
        <f t="shared" si="47"/>
        <v>OVERSTOCK</v>
      </c>
    </row>
    <row r="487" spans="1:19" x14ac:dyDescent="0.3">
      <c r="A487" s="19" t="s">
        <v>152</v>
      </c>
      <c r="B487" s="19" t="s">
        <v>153</v>
      </c>
      <c r="C487" s="19" t="s">
        <v>46</v>
      </c>
      <c r="D487" s="19" t="s">
        <v>37</v>
      </c>
      <c r="E487" s="19">
        <f>SUMIFS('Stock Inflow'!$G$2:$G$601,'Stock Inflow'!$A$2:$A$601,$A487,'Stock Inflow'!$D$2:$D$601,$D487)</f>
        <v>254</v>
      </c>
      <c r="F487" s="19">
        <f>SUMIFS('Stock Inflow'!$F$2:$F$601,'Stock Inflow'!$A$2:$A$601,$A487,'Stock Inflow'!$D$2:$D$601,$D487)</f>
        <v>47</v>
      </c>
      <c r="G487" s="19">
        <f>SUMIFS('Stock Inflow'!$E$2:$E$601,'Stock Inflow'!$A$2:$A$601,$A487,'Stock Inflow'!$D$2:$D$601,$D487)</f>
        <v>0</v>
      </c>
      <c r="H487" s="19">
        <f>SUMIFS('Stock Outflow'!$F$2:$F$601,'Stock Outflow'!$A$2:$A$601,$A487,'Stock Outflow'!$D$2:$D$601,$D487)</f>
        <v>38</v>
      </c>
      <c r="I487" s="19">
        <f>SUMIFS('Stock Outflow'!$E$2:$E$601,'Stock Outflow'!$A$2:$A$601,$A487,'Stock Outflow'!$D$2:$D$601,$D487)</f>
        <v>1</v>
      </c>
      <c r="J487" s="19">
        <f t="shared" si="42"/>
        <v>262</v>
      </c>
      <c r="K487" s="20">
        <f>INDEX('Item Master'!$F$2:$F$51,MATCH($A487,'Item Master'!$A$2:$A$51,0))</f>
        <v>450</v>
      </c>
      <c r="L487" s="20">
        <f t="shared" si="43"/>
        <v>17100</v>
      </c>
      <c r="M487" s="21">
        <f t="shared" si="44"/>
        <v>1.2666666666666666</v>
      </c>
      <c r="N487" s="19">
        <f>INDEX('Item Master'!$E$2:$E$51,MATCH($A487,'Item Master'!$A$2:$A$51,0))</f>
        <v>10</v>
      </c>
      <c r="O487" s="22">
        <f>INDEX('Product Summary'!$L$2:$L$51,MATCH($A487,'Product Summary'!$A$2:$A$51,0))</f>
        <v>4.9166666666666661</v>
      </c>
      <c r="P487" s="22">
        <f>INDEX('Product Summary'!$M$2:$M$51,MATCH($A487,'Product Summary'!$A$2:$A$51,0))</f>
        <v>18.149543378995432</v>
      </c>
      <c r="Q487" s="22">
        <f t="shared" si="45"/>
        <v>206.84210526315789</v>
      </c>
      <c r="R487" s="22">
        <f t="shared" si="46"/>
        <v>192.51351838500364</v>
      </c>
      <c r="S487" s="19" t="str">
        <f t="shared" si="47"/>
        <v>OVERSTOCK</v>
      </c>
    </row>
    <row r="488" spans="1:19" x14ac:dyDescent="0.3">
      <c r="A488" s="19" t="s">
        <v>152</v>
      </c>
      <c r="B488" s="19" t="s">
        <v>153</v>
      </c>
      <c r="C488" s="19" t="s">
        <v>46</v>
      </c>
      <c r="D488" s="19" t="s">
        <v>39</v>
      </c>
      <c r="E488" s="19">
        <f>SUMIFS('Stock Inflow'!$G$2:$G$601,'Stock Inflow'!$A$2:$A$601,$A488,'Stock Inflow'!$D$2:$D$601,$D488)</f>
        <v>262</v>
      </c>
      <c r="F488" s="19">
        <f>SUMIFS('Stock Inflow'!$F$2:$F$601,'Stock Inflow'!$A$2:$A$601,$A488,'Stock Inflow'!$D$2:$D$601,$D488)</f>
        <v>36</v>
      </c>
      <c r="G488" s="19">
        <f>SUMIFS('Stock Inflow'!$E$2:$E$601,'Stock Inflow'!$A$2:$A$601,$A488,'Stock Inflow'!$D$2:$D$601,$D488)</f>
        <v>0</v>
      </c>
      <c r="H488" s="19">
        <f>SUMIFS('Stock Outflow'!$F$2:$F$601,'Stock Outflow'!$A$2:$A$601,$A488,'Stock Outflow'!$D$2:$D$601,$D488)</f>
        <v>39</v>
      </c>
      <c r="I488" s="19">
        <f>SUMIFS('Stock Outflow'!$E$2:$E$601,'Stock Outflow'!$A$2:$A$601,$A488,'Stock Outflow'!$D$2:$D$601,$D488)</f>
        <v>1</v>
      </c>
      <c r="J488" s="19">
        <f t="shared" si="42"/>
        <v>258</v>
      </c>
      <c r="K488" s="20">
        <f>INDEX('Item Master'!$F$2:$F$51,MATCH($A488,'Item Master'!$A$2:$A$51,0))</f>
        <v>450</v>
      </c>
      <c r="L488" s="20">
        <f t="shared" si="43"/>
        <v>17550</v>
      </c>
      <c r="M488" s="21">
        <f t="shared" si="44"/>
        <v>1.3</v>
      </c>
      <c r="N488" s="19">
        <f>INDEX('Item Master'!$E$2:$E$51,MATCH($A488,'Item Master'!$A$2:$A$51,0))</f>
        <v>10</v>
      </c>
      <c r="O488" s="22">
        <f>INDEX('Product Summary'!$L$2:$L$51,MATCH($A488,'Product Summary'!$A$2:$A$51,0))</f>
        <v>4.9166666666666661</v>
      </c>
      <c r="P488" s="22">
        <f>INDEX('Product Summary'!$M$2:$M$51,MATCH($A488,'Product Summary'!$A$2:$A$51,0))</f>
        <v>18.149543378995432</v>
      </c>
      <c r="Q488" s="22">
        <f t="shared" si="45"/>
        <v>198.46153846153845</v>
      </c>
      <c r="R488" s="22">
        <f t="shared" si="46"/>
        <v>184.50035124692658</v>
      </c>
      <c r="S488" s="19" t="str">
        <f t="shared" si="47"/>
        <v>OVERSTOCK</v>
      </c>
    </row>
    <row r="489" spans="1:19" x14ac:dyDescent="0.3">
      <c r="A489" s="19" t="s">
        <v>152</v>
      </c>
      <c r="B489" s="19" t="s">
        <v>153</v>
      </c>
      <c r="C489" s="19" t="s">
        <v>46</v>
      </c>
      <c r="D489" s="19" t="s">
        <v>41</v>
      </c>
      <c r="E489" s="19">
        <f>SUMIFS('Stock Inflow'!$G$2:$G$601,'Stock Inflow'!$A$2:$A$601,$A489,'Stock Inflow'!$D$2:$D$601,$D489)</f>
        <v>258</v>
      </c>
      <c r="F489" s="19">
        <f>SUMIFS('Stock Inflow'!$F$2:$F$601,'Stock Inflow'!$A$2:$A$601,$A489,'Stock Inflow'!$D$2:$D$601,$D489)</f>
        <v>46</v>
      </c>
      <c r="G489" s="19">
        <f>SUMIFS('Stock Inflow'!$E$2:$E$601,'Stock Inflow'!$A$2:$A$601,$A489,'Stock Inflow'!$D$2:$D$601,$D489)</f>
        <v>1</v>
      </c>
      <c r="H489" s="19">
        <f>SUMIFS('Stock Outflow'!$F$2:$F$601,'Stock Outflow'!$A$2:$A$601,$A489,'Stock Outflow'!$D$2:$D$601,$D489)</f>
        <v>39</v>
      </c>
      <c r="I489" s="19">
        <f>SUMIFS('Stock Outflow'!$E$2:$E$601,'Stock Outflow'!$A$2:$A$601,$A489,'Stock Outflow'!$D$2:$D$601,$D489)</f>
        <v>0</v>
      </c>
      <c r="J489" s="19">
        <f t="shared" si="42"/>
        <v>266</v>
      </c>
      <c r="K489" s="20">
        <f>INDEX('Item Master'!$F$2:$F$51,MATCH($A489,'Item Master'!$A$2:$A$51,0))</f>
        <v>450</v>
      </c>
      <c r="L489" s="20">
        <f t="shared" si="43"/>
        <v>17550</v>
      </c>
      <c r="M489" s="21">
        <f t="shared" si="44"/>
        <v>1.3</v>
      </c>
      <c r="N489" s="19">
        <f>INDEX('Item Master'!$E$2:$E$51,MATCH($A489,'Item Master'!$A$2:$A$51,0))</f>
        <v>10</v>
      </c>
      <c r="O489" s="22">
        <f>INDEX('Product Summary'!$L$2:$L$51,MATCH($A489,'Product Summary'!$A$2:$A$51,0))</f>
        <v>4.9166666666666661</v>
      </c>
      <c r="P489" s="22">
        <f>INDEX('Product Summary'!$M$2:$M$51,MATCH($A489,'Product Summary'!$A$2:$A$51,0))</f>
        <v>18.149543378995432</v>
      </c>
      <c r="Q489" s="22">
        <f t="shared" si="45"/>
        <v>204.61538461538461</v>
      </c>
      <c r="R489" s="22">
        <f t="shared" si="46"/>
        <v>190.65419740077274</v>
      </c>
      <c r="S489" s="19" t="str">
        <f t="shared" si="47"/>
        <v>OVERSTOCK</v>
      </c>
    </row>
    <row r="490" spans="1:19" x14ac:dyDescent="0.3">
      <c r="A490" s="19" t="s">
        <v>152</v>
      </c>
      <c r="B490" s="19" t="s">
        <v>153</v>
      </c>
      <c r="C490" s="19" t="s">
        <v>46</v>
      </c>
      <c r="D490" s="19" t="s">
        <v>43</v>
      </c>
      <c r="E490" s="19">
        <f>SUMIFS('Stock Inflow'!$G$2:$G$601,'Stock Inflow'!$A$2:$A$601,$A490,'Stock Inflow'!$D$2:$D$601,$D490)</f>
        <v>266</v>
      </c>
      <c r="F490" s="19">
        <f>SUMIFS('Stock Inflow'!$F$2:$F$601,'Stock Inflow'!$A$2:$A$601,$A490,'Stock Inflow'!$D$2:$D$601,$D490)</f>
        <v>44</v>
      </c>
      <c r="G490" s="19">
        <f>SUMIFS('Stock Inflow'!$E$2:$E$601,'Stock Inflow'!$A$2:$A$601,$A490,'Stock Inflow'!$D$2:$D$601,$D490)</f>
        <v>2</v>
      </c>
      <c r="H490" s="19">
        <f>SUMIFS('Stock Outflow'!$F$2:$F$601,'Stock Outflow'!$A$2:$A$601,$A490,'Stock Outflow'!$D$2:$D$601,$D490)</f>
        <v>43</v>
      </c>
      <c r="I490" s="19">
        <f>SUMIFS('Stock Outflow'!$E$2:$E$601,'Stock Outflow'!$A$2:$A$601,$A490,'Stock Outflow'!$D$2:$D$601,$D490)</f>
        <v>0</v>
      </c>
      <c r="J490" s="19">
        <f t="shared" si="42"/>
        <v>269</v>
      </c>
      <c r="K490" s="20">
        <f>INDEX('Item Master'!$F$2:$F$51,MATCH($A490,'Item Master'!$A$2:$A$51,0))</f>
        <v>450</v>
      </c>
      <c r="L490" s="20">
        <f t="shared" si="43"/>
        <v>19350</v>
      </c>
      <c r="M490" s="21">
        <f t="shared" si="44"/>
        <v>1.4333333333333333</v>
      </c>
      <c r="N490" s="19">
        <f>INDEX('Item Master'!$E$2:$E$51,MATCH($A490,'Item Master'!$A$2:$A$51,0))</f>
        <v>10</v>
      </c>
      <c r="O490" s="22">
        <f>INDEX('Product Summary'!$L$2:$L$51,MATCH($A490,'Product Summary'!$A$2:$A$51,0))</f>
        <v>4.9166666666666661</v>
      </c>
      <c r="P490" s="22">
        <f>INDEX('Product Summary'!$M$2:$M$51,MATCH($A490,'Product Summary'!$A$2:$A$51,0))</f>
        <v>18.149543378995432</v>
      </c>
      <c r="Q490" s="22">
        <f t="shared" si="45"/>
        <v>187.67441860465115</v>
      </c>
      <c r="R490" s="22">
        <f t="shared" si="46"/>
        <v>175.01194647977064</v>
      </c>
      <c r="S490" s="19" t="str">
        <f t="shared" si="47"/>
        <v>OVERSTOCK</v>
      </c>
    </row>
    <row r="491" spans="1:19" x14ac:dyDescent="0.3">
      <c r="A491" s="19" t="s">
        <v>152</v>
      </c>
      <c r="B491" s="19" t="s">
        <v>153</v>
      </c>
      <c r="C491" s="19" t="s">
        <v>46</v>
      </c>
      <c r="D491" s="19" t="s">
        <v>45</v>
      </c>
      <c r="E491" s="19">
        <f>SUMIFS('Stock Inflow'!$G$2:$G$601,'Stock Inflow'!$A$2:$A$601,$A491,'Stock Inflow'!$D$2:$D$601,$D491)</f>
        <v>269</v>
      </c>
      <c r="F491" s="19">
        <f>SUMIFS('Stock Inflow'!$F$2:$F$601,'Stock Inflow'!$A$2:$A$601,$A491,'Stock Inflow'!$D$2:$D$601,$D491)</f>
        <v>66</v>
      </c>
      <c r="G491" s="19">
        <f>SUMIFS('Stock Inflow'!$E$2:$E$601,'Stock Inflow'!$A$2:$A$601,$A491,'Stock Inflow'!$D$2:$D$601,$D491)</f>
        <v>2</v>
      </c>
      <c r="H491" s="19">
        <f>SUMIFS('Stock Outflow'!$F$2:$F$601,'Stock Outflow'!$A$2:$A$601,$A491,'Stock Outflow'!$D$2:$D$601,$D491)</f>
        <v>55</v>
      </c>
      <c r="I491" s="19">
        <f>SUMIFS('Stock Outflow'!$E$2:$E$601,'Stock Outflow'!$A$2:$A$601,$A491,'Stock Outflow'!$D$2:$D$601,$D491)</f>
        <v>1</v>
      </c>
      <c r="J491" s="19">
        <f t="shared" si="42"/>
        <v>281</v>
      </c>
      <c r="K491" s="20">
        <f>INDEX('Item Master'!$F$2:$F$51,MATCH($A491,'Item Master'!$A$2:$A$51,0))</f>
        <v>450</v>
      </c>
      <c r="L491" s="20">
        <f t="shared" si="43"/>
        <v>24750</v>
      </c>
      <c r="M491" s="21">
        <f t="shared" si="44"/>
        <v>1.8333333333333333</v>
      </c>
      <c r="N491" s="19">
        <f>INDEX('Item Master'!$E$2:$E$51,MATCH($A491,'Item Master'!$A$2:$A$51,0))</f>
        <v>10</v>
      </c>
      <c r="O491" s="22">
        <f>INDEX('Product Summary'!$L$2:$L$51,MATCH($A491,'Product Summary'!$A$2:$A$51,0))</f>
        <v>4.9166666666666661</v>
      </c>
      <c r="P491" s="22">
        <f>INDEX('Product Summary'!$M$2:$M$51,MATCH($A491,'Product Summary'!$A$2:$A$51,0))</f>
        <v>18.149543378995432</v>
      </c>
      <c r="Q491" s="22">
        <f t="shared" si="45"/>
        <v>153.27272727272728</v>
      </c>
      <c r="R491" s="22">
        <f t="shared" si="46"/>
        <v>143.37297633872979</v>
      </c>
      <c r="S491" s="19" t="str">
        <f t="shared" si="47"/>
        <v>OVERSTOCK</v>
      </c>
    </row>
    <row r="492" spans="1:19" x14ac:dyDescent="0.3">
      <c r="A492" s="19" t="s">
        <v>152</v>
      </c>
      <c r="B492" s="19" t="s">
        <v>153</v>
      </c>
      <c r="C492" s="19" t="s">
        <v>46</v>
      </c>
      <c r="D492" s="19" t="s">
        <v>47</v>
      </c>
      <c r="E492" s="19">
        <f>SUMIFS('Stock Inflow'!$G$2:$G$601,'Stock Inflow'!$A$2:$A$601,$A492,'Stock Inflow'!$D$2:$D$601,$D492)</f>
        <v>281</v>
      </c>
      <c r="F492" s="19">
        <f>SUMIFS('Stock Inflow'!$F$2:$F$601,'Stock Inflow'!$A$2:$A$601,$A492,'Stock Inflow'!$D$2:$D$601,$D492)</f>
        <v>58</v>
      </c>
      <c r="G492" s="19">
        <f>SUMIFS('Stock Inflow'!$E$2:$E$601,'Stock Inflow'!$A$2:$A$601,$A492,'Stock Inflow'!$D$2:$D$601,$D492)</f>
        <v>2</v>
      </c>
      <c r="H492" s="19">
        <f>SUMIFS('Stock Outflow'!$F$2:$F$601,'Stock Outflow'!$A$2:$A$601,$A492,'Stock Outflow'!$D$2:$D$601,$D492)</f>
        <v>49</v>
      </c>
      <c r="I492" s="19">
        <f>SUMIFS('Stock Outflow'!$E$2:$E$601,'Stock Outflow'!$A$2:$A$601,$A492,'Stock Outflow'!$D$2:$D$601,$D492)</f>
        <v>1</v>
      </c>
      <c r="J492" s="19">
        <f t="shared" si="42"/>
        <v>291</v>
      </c>
      <c r="K492" s="20">
        <f>INDEX('Item Master'!$F$2:$F$51,MATCH($A492,'Item Master'!$A$2:$A$51,0))</f>
        <v>450</v>
      </c>
      <c r="L492" s="20">
        <f t="shared" si="43"/>
        <v>22050</v>
      </c>
      <c r="M492" s="21">
        <f t="shared" si="44"/>
        <v>1.6333333333333333</v>
      </c>
      <c r="N492" s="19">
        <f>INDEX('Item Master'!$E$2:$E$51,MATCH($A492,'Item Master'!$A$2:$A$51,0))</f>
        <v>10</v>
      </c>
      <c r="O492" s="22">
        <f>INDEX('Product Summary'!$L$2:$L$51,MATCH($A492,'Product Summary'!$A$2:$A$51,0))</f>
        <v>4.9166666666666661</v>
      </c>
      <c r="P492" s="22">
        <f>INDEX('Product Summary'!$M$2:$M$51,MATCH($A492,'Product Summary'!$A$2:$A$51,0))</f>
        <v>18.149543378995432</v>
      </c>
      <c r="Q492" s="22">
        <f t="shared" si="45"/>
        <v>178.16326530612244</v>
      </c>
      <c r="R492" s="22">
        <f t="shared" si="46"/>
        <v>167.05129997204364</v>
      </c>
      <c r="S492" s="19" t="str">
        <f t="shared" si="47"/>
        <v>OVERSTOCK</v>
      </c>
    </row>
    <row r="493" spans="1:19" x14ac:dyDescent="0.3">
      <c r="A493" s="19" t="s">
        <v>152</v>
      </c>
      <c r="B493" s="19" t="s">
        <v>153</v>
      </c>
      <c r="C493" s="19" t="s">
        <v>46</v>
      </c>
      <c r="D493" s="19" t="s">
        <v>49</v>
      </c>
      <c r="E493" s="19">
        <f>SUMIFS('Stock Inflow'!$G$2:$G$601,'Stock Inflow'!$A$2:$A$601,$A493,'Stock Inflow'!$D$2:$D$601,$D493)</f>
        <v>291</v>
      </c>
      <c r="F493" s="19">
        <f>SUMIFS('Stock Inflow'!$F$2:$F$601,'Stock Inflow'!$A$2:$A$601,$A493,'Stock Inflow'!$D$2:$D$601,$D493)</f>
        <v>36</v>
      </c>
      <c r="G493" s="19">
        <f>SUMIFS('Stock Inflow'!$E$2:$E$601,'Stock Inflow'!$A$2:$A$601,$A493,'Stock Inflow'!$D$2:$D$601,$D493)</f>
        <v>1</v>
      </c>
      <c r="H493" s="19">
        <f>SUMIFS('Stock Outflow'!$F$2:$F$601,'Stock Outflow'!$A$2:$A$601,$A493,'Stock Outflow'!$D$2:$D$601,$D493)</f>
        <v>35</v>
      </c>
      <c r="I493" s="19">
        <f>SUMIFS('Stock Outflow'!$E$2:$E$601,'Stock Outflow'!$A$2:$A$601,$A493,'Stock Outflow'!$D$2:$D$601,$D493)</f>
        <v>1</v>
      </c>
      <c r="J493" s="19">
        <f t="shared" si="42"/>
        <v>292</v>
      </c>
      <c r="K493" s="20">
        <f>INDEX('Item Master'!$F$2:$F$51,MATCH($A493,'Item Master'!$A$2:$A$51,0))</f>
        <v>450</v>
      </c>
      <c r="L493" s="20">
        <f t="shared" si="43"/>
        <v>15750</v>
      </c>
      <c r="M493" s="21">
        <f t="shared" si="44"/>
        <v>1.1666666666666667</v>
      </c>
      <c r="N493" s="19">
        <f>INDEX('Item Master'!$E$2:$E$51,MATCH($A493,'Item Master'!$A$2:$A$51,0))</f>
        <v>10</v>
      </c>
      <c r="O493" s="22">
        <f>INDEX('Product Summary'!$L$2:$L$51,MATCH($A493,'Product Summary'!$A$2:$A$51,0))</f>
        <v>4.9166666666666661</v>
      </c>
      <c r="P493" s="22">
        <f>INDEX('Product Summary'!$M$2:$M$51,MATCH($A493,'Product Summary'!$A$2:$A$51,0))</f>
        <v>18.149543378995432</v>
      </c>
      <c r="Q493" s="22">
        <f t="shared" si="45"/>
        <v>250.28571428571428</v>
      </c>
      <c r="R493" s="22">
        <f t="shared" si="46"/>
        <v>234.72896281800391</v>
      </c>
      <c r="S493" s="19" t="str">
        <f t="shared" si="47"/>
        <v>OVERSTOCK</v>
      </c>
    </row>
    <row r="494" spans="1:19" x14ac:dyDescent="0.3">
      <c r="A494" s="19" t="s">
        <v>154</v>
      </c>
      <c r="B494" s="19" t="s">
        <v>155</v>
      </c>
      <c r="C494" s="19" t="s">
        <v>46</v>
      </c>
      <c r="D494" s="19" t="s">
        <v>27</v>
      </c>
      <c r="E494" s="19">
        <f>SUMIFS('Stock Inflow'!$G$2:$G$601,'Stock Inflow'!$A$2:$A$601,$A494,'Stock Inflow'!$D$2:$D$601,$D494)</f>
        <v>213</v>
      </c>
      <c r="F494" s="19">
        <f>SUMIFS('Stock Inflow'!$F$2:$F$601,'Stock Inflow'!$A$2:$A$601,$A494,'Stock Inflow'!$D$2:$D$601,$D494)</f>
        <v>29</v>
      </c>
      <c r="G494" s="19">
        <f>SUMIFS('Stock Inflow'!$E$2:$E$601,'Stock Inflow'!$A$2:$A$601,$A494,'Stock Inflow'!$D$2:$D$601,$D494)</f>
        <v>1</v>
      </c>
      <c r="H494" s="19">
        <f>SUMIFS('Stock Outflow'!$F$2:$F$601,'Stock Outflow'!$A$2:$A$601,$A494,'Stock Outflow'!$D$2:$D$601,$D494)</f>
        <v>23</v>
      </c>
      <c r="I494" s="19">
        <f>SUMIFS('Stock Outflow'!$E$2:$E$601,'Stock Outflow'!$A$2:$A$601,$A494,'Stock Outflow'!$D$2:$D$601,$D494)</f>
        <v>1</v>
      </c>
      <c r="J494" s="19">
        <f t="shared" si="42"/>
        <v>219</v>
      </c>
      <c r="K494" s="20">
        <f>INDEX('Item Master'!$F$2:$F$51,MATCH($A494,'Item Master'!$A$2:$A$51,0))</f>
        <v>750</v>
      </c>
      <c r="L494" s="20">
        <f t="shared" si="43"/>
        <v>17250</v>
      </c>
      <c r="M494" s="21">
        <f t="shared" si="44"/>
        <v>0.76666666666666672</v>
      </c>
      <c r="N494" s="19">
        <f>INDEX('Item Master'!$E$2:$E$51,MATCH($A494,'Item Master'!$A$2:$A$51,0))</f>
        <v>3</v>
      </c>
      <c r="O494" s="22">
        <f>INDEX('Product Summary'!$L$2:$L$51,MATCH($A494,'Product Summary'!$A$2:$A$51,0))</f>
        <v>1.8083333333333331</v>
      </c>
      <c r="P494" s="22">
        <f>INDEX('Product Summary'!$M$2:$M$51,MATCH($A494,'Product Summary'!$A$2:$A$51,0))</f>
        <v>4.3644977168949772</v>
      </c>
      <c r="Q494" s="22">
        <f t="shared" si="45"/>
        <v>285.65217391304344</v>
      </c>
      <c r="R494" s="22">
        <f t="shared" si="46"/>
        <v>279.95935080405002</v>
      </c>
      <c r="S494" s="19" t="str">
        <f t="shared" si="47"/>
        <v>OVERSTOCK</v>
      </c>
    </row>
    <row r="495" spans="1:19" x14ac:dyDescent="0.3">
      <c r="A495" s="19" t="s">
        <v>154</v>
      </c>
      <c r="B495" s="19" t="s">
        <v>155</v>
      </c>
      <c r="C495" s="19" t="s">
        <v>46</v>
      </c>
      <c r="D495" s="19" t="s">
        <v>29</v>
      </c>
      <c r="E495" s="19">
        <f>SUMIFS('Stock Inflow'!$G$2:$G$601,'Stock Inflow'!$A$2:$A$601,$A495,'Stock Inflow'!$D$2:$D$601,$D495)</f>
        <v>219</v>
      </c>
      <c r="F495" s="19">
        <f>SUMIFS('Stock Inflow'!$F$2:$F$601,'Stock Inflow'!$A$2:$A$601,$A495,'Stock Inflow'!$D$2:$D$601,$D495)</f>
        <v>31</v>
      </c>
      <c r="G495" s="19">
        <f>SUMIFS('Stock Inflow'!$E$2:$E$601,'Stock Inflow'!$A$2:$A$601,$A495,'Stock Inflow'!$D$2:$D$601,$D495)</f>
        <v>1</v>
      </c>
      <c r="H495" s="19">
        <f>SUMIFS('Stock Outflow'!$F$2:$F$601,'Stock Outflow'!$A$2:$A$601,$A495,'Stock Outflow'!$D$2:$D$601,$D495)</f>
        <v>26</v>
      </c>
      <c r="I495" s="19">
        <f>SUMIFS('Stock Outflow'!$E$2:$E$601,'Stock Outflow'!$A$2:$A$601,$A495,'Stock Outflow'!$D$2:$D$601,$D495)</f>
        <v>0</v>
      </c>
      <c r="J495" s="19">
        <f t="shared" si="42"/>
        <v>225</v>
      </c>
      <c r="K495" s="20">
        <f>INDEX('Item Master'!$F$2:$F$51,MATCH($A495,'Item Master'!$A$2:$A$51,0))</f>
        <v>750</v>
      </c>
      <c r="L495" s="20">
        <f t="shared" si="43"/>
        <v>19500</v>
      </c>
      <c r="M495" s="21">
        <f t="shared" si="44"/>
        <v>0.8666666666666667</v>
      </c>
      <c r="N495" s="19">
        <f>INDEX('Item Master'!$E$2:$E$51,MATCH($A495,'Item Master'!$A$2:$A$51,0))</f>
        <v>3</v>
      </c>
      <c r="O495" s="22">
        <f>INDEX('Product Summary'!$L$2:$L$51,MATCH($A495,'Product Summary'!$A$2:$A$51,0))</f>
        <v>1.8083333333333331</v>
      </c>
      <c r="P495" s="22">
        <f>INDEX('Product Summary'!$M$2:$M$51,MATCH($A495,'Product Summary'!$A$2:$A$51,0))</f>
        <v>4.3644977168949772</v>
      </c>
      <c r="Q495" s="22">
        <f t="shared" si="45"/>
        <v>259.61538461538458</v>
      </c>
      <c r="R495" s="22">
        <f t="shared" si="46"/>
        <v>254.57942571127501</v>
      </c>
      <c r="S495" s="19" t="str">
        <f t="shared" si="47"/>
        <v>OVERSTOCK</v>
      </c>
    </row>
    <row r="496" spans="1:19" x14ac:dyDescent="0.3">
      <c r="A496" s="19" t="s">
        <v>154</v>
      </c>
      <c r="B496" s="19" t="s">
        <v>155</v>
      </c>
      <c r="C496" s="19" t="s">
        <v>46</v>
      </c>
      <c r="D496" s="19" t="s">
        <v>31</v>
      </c>
      <c r="E496" s="19">
        <f>SUMIFS('Stock Inflow'!$G$2:$G$601,'Stock Inflow'!$A$2:$A$601,$A496,'Stock Inflow'!$D$2:$D$601,$D496)</f>
        <v>225</v>
      </c>
      <c r="F496" s="19">
        <f>SUMIFS('Stock Inflow'!$F$2:$F$601,'Stock Inflow'!$A$2:$A$601,$A496,'Stock Inflow'!$D$2:$D$601,$D496)</f>
        <v>21</v>
      </c>
      <c r="G496" s="19">
        <f>SUMIFS('Stock Inflow'!$E$2:$E$601,'Stock Inflow'!$A$2:$A$601,$A496,'Stock Inflow'!$D$2:$D$601,$D496)</f>
        <v>1</v>
      </c>
      <c r="H496" s="19">
        <f>SUMIFS('Stock Outflow'!$F$2:$F$601,'Stock Outflow'!$A$2:$A$601,$A496,'Stock Outflow'!$D$2:$D$601,$D496)</f>
        <v>23</v>
      </c>
      <c r="I496" s="19">
        <f>SUMIFS('Stock Outflow'!$E$2:$E$601,'Stock Outflow'!$A$2:$A$601,$A496,'Stock Outflow'!$D$2:$D$601,$D496)</f>
        <v>0</v>
      </c>
      <c r="J496" s="19">
        <f t="shared" si="42"/>
        <v>224</v>
      </c>
      <c r="K496" s="20">
        <f>INDEX('Item Master'!$F$2:$F$51,MATCH($A496,'Item Master'!$A$2:$A$51,0))</f>
        <v>750</v>
      </c>
      <c r="L496" s="20">
        <f t="shared" si="43"/>
        <v>17250</v>
      </c>
      <c r="M496" s="21">
        <f t="shared" si="44"/>
        <v>0.76666666666666672</v>
      </c>
      <c r="N496" s="19">
        <f>INDEX('Item Master'!$E$2:$E$51,MATCH($A496,'Item Master'!$A$2:$A$51,0))</f>
        <v>3</v>
      </c>
      <c r="O496" s="22">
        <f>INDEX('Product Summary'!$L$2:$L$51,MATCH($A496,'Product Summary'!$A$2:$A$51,0))</f>
        <v>1.8083333333333331</v>
      </c>
      <c r="P496" s="22">
        <f>INDEX('Product Summary'!$M$2:$M$51,MATCH($A496,'Product Summary'!$A$2:$A$51,0))</f>
        <v>4.3644977168949772</v>
      </c>
      <c r="Q496" s="22">
        <f t="shared" si="45"/>
        <v>292.17391304347825</v>
      </c>
      <c r="R496" s="22">
        <f t="shared" si="46"/>
        <v>286.48108993448477</v>
      </c>
      <c r="S496" s="19" t="str">
        <f t="shared" si="47"/>
        <v>OVERSTOCK</v>
      </c>
    </row>
    <row r="497" spans="1:19" x14ac:dyDescent="0.3">
      <c r="A497" s="19" t="s">
        <v>154</v>
      </c>
      <c r="B497" s="19" t="s">
        <v>155</v>
      </c>
      <c r="C497" s="19" t="s">
        <v>46</v>
      </c>
      <c r="D497" s="19" t="s">
        <v>33</v>
      </c>
      <c r="E497" s="19">
        <f>SUMIFS('Stock Inflow'!$G$2:$G$601,'Stock Inflow'!$A$2:$A$601,$A497,'Stock Inflow'!$D$2:$D$601,$D497)</f>
        <v>224</v>
      </c>
      <c r="F497" s="19">
        <f>SUMIFS('Stock Inflow'!$F$2:$F$601,'Stock Inflow'!$A$2:$A$601,$A497,'Stock Inflow'!$D$2:$D$601,$D497)</f>
        <v>24</v>
      </c>
      <c r="G497" s="19">
        <f>SUMIFS('Stock Inflow'!$E$2:$E$601,'Stock Inflow'!$A$2:$A$601,$A497,'Stock Inflow'!$D$2:$D$601,$D497)</f>
        <v>1</v>
      </c>
      <c r="H497" s="19">
        <f>SUMIFS('Stock Outflow'!$F$2:$F$601,'Stock Outflow'!$A$2:$A$601,$A497,'Stock Outflow'!$D$2:$D$601,$D497)</f>
        <v>21</v>
      </c>
      <c r="I497" s="19">
        <f>SUMIFS('Stock Outflow'!$E$2:$E$601,'Stock Outflow'!$A$2:$A$601,$A497,'Stock Outflow'!$D$2:$D$601,$D497)</f>
        <v>1</v>
      </c>
      <c r="J497" s="19">
        <f t="shared" si="42"/>
        <v>227</v>
      </c>
      <c r="K497" s="20">
        <f>INDEX('Item Master'!$F$2:$F$51,MATCH($A497,'Item Master'!$A$2:$A$51,0))</f>
        <v>750</v>
      </c>
      <c r="L497" s="20">
        <f t="shared" si="43"/>
        <v>15750</v>
      </c>
      <c r="M497" s="21">
        <f t="shared" si="44"/>
        <v>0.7</v>
      </c>
      <c r="N497" s="19">
        <f>INDEX('Item Master'!$E$2:$E$51,MATCH($A497,'Item Master'!$A$2:$A$51,0))</f>
        <v>3</v>
      </c>
      <c r="O497" s="22">
        <f>INDEX('Product Summary'!$L$2:$L$51,MATCH($A497,'Product Summary'!$A$2:$A$51,0))</f>
        <v>1.8083333333333331</v>
      </c>
      <c r="P497" s="22">
        <f>INDEX('Product Summary'!$M$2:$M$51,MATCH($A497,'Product Summary'!$A$2:$A$51,0))</f>
        <v>4.3644977168949772</v>
      </c>
      <c r="Q497" s="22">
        <f t="shared" si="45"/>
        <v>324.28571428571433</v>
      </c>
      <c r="R497" s="22">
        <f t="shared" si="46"/>
        <v>318.05071754729289</v>
      </c>
      <c r="S497" s="19" t="str">
        <f t="shared" si="47"/>
        <v>OVERSTOCK</v>
      </c>
    </row>
    <row r="498" spans="1:19" x14ac:dyDescent="0.3">
      <c r="A498" s="19" t="s">
        <v>154</v>
      </c>
      <c r="B498" s="19" t="s">
        <v>155</v>
      </c>
      <c r="C498" s="19" t="s">
        <v>46</v>
      </c>
      <c r="D498" s="19" t="s">
        <v>35</v>
      </c>
      <c r="E498" s="19">
        <f>SUMIFS('Stock Inflow'!$G$2:$G$601,'Stock Inflow'!$A$2:$A$601,$A498,'Stock Inflow'!$D$2:$D$601,$D498)</f>
        <v>227</v>
      </c>
      <c r="F498" s="19">
        <f>SUMIFS('Stock Inflow'!$F$2:$F$601,'Stock Inflow'!$A$2:$A$601,$A498,'Stock Inflow'!$D$2:$D$601,$D498)</f>
        <v>23</v>
      </c>
      <c r="G498" s="19">
        <f>SUMIFS('Stock Inflow'!$E$2:$E$601,'Stock Inflow'!$A$2:$A$601,$A498,'Stock Inflow'!$D$2:$D$601,$D498)</f>
        <v>0</v>
      </c>
      <c r="H498" s="19">
        <f>SUMIFS('Stock Outflow'!$F$2:$F$601,'Stock Outflow'!$A$2:$A$601,$A498,'Stock Outflow'!$D$2:$D$601,$D498)</f>
        <v>23</v>
      </c>
      <c r="I498" s="19">
        <f>SUMIFS('Stock Outflow'!$E$2:$E$601,'Stock Outflow'!$A$2:$A$601,$A498,'Stock Outflow'!$D$2:$D$601,$D498)</f>
        <v>0</v>
      </c>
      <c r="J498" s="19">
        <f t="shared" si="42"/>
        <v>227</v>
      </c>
      <c r="K498" s="20">
        <f>INDEX('Item Master'!$F$2:$F$51,MATCH($A498,'Item Master'!$A$2:$A$51,0))</f>
        <v>750</v>
      </c>
      <c r="L498" s="20">
        <f t="shared" si="43"/>
        <v>17250</v>
      </c>
      <c r="M498" s="21">
        <f t="shared" si="44"/>
        <v>0.76666666666666672</v>
      </c>
      <c r="N498" s="19">
        <f>INDEX('Item Master'!$E$2:$E$51,MATCH($A498,'Item Master'!$A$2:$A$51,0))</f>
        <v>3</v>
      </c>
      <c r="O498" s="22">
        <f>INDEX('Product Summary'!$L$2:$L$51,MATCH($A498,'Product Summary'!$A$2:$A$51,0))</f>
        <v>1.8083333333333331</v>
      </c>
      <c r="P498" s="22">
        <f>INDEX('Product Summary'!$M$2:$M$51,MATCH($A498,'Product Summary'!$A$2:$A$51,0))</f>
        <v>4.3644977168949772</v>
      </c>
      <c r="Q498" s="22">
        <f t="shared" si="45"/>
        <v>296.08695652173913</v>
      </c>
      <c r="R498" s="22">
        <f t="shared" si="46"/>
        <v>290.39413341274565</v>
      </c>
      <c r="S498" s="19" t="str">
        <f t="shared" si="47"/>
        <v>OVERSTOCK</v>
      </c>
    </row>
    <row r="499" spans="1:19" x14ac:dyDescent="0.3">
      <c r="A499" s="19" t="s">
        <v>154</v>
      </c>
      <c r="B499" s="19" t="s">
        <v>155</v>
      </c>
      <c r="C499" s="19" t="s">
        <v>46</v>
      </c>
      <c r="D499" s="19" t="s">
        <v>37</v>
      </c>
      <c r="E499" s="19">
        <f>SUMIFS('Stock Inflow'!$G$2:$G$601,'Stock Inflow'!$A$2:$A$601,$A499,'Stock Inflow'!$D$2:$D$601,$D499)</f>
        <v>227</v>
      </c>
      <c r="F499" s="19">
        <f>SUMIFS('Stock Inflow'!$F$2:$F$601,'Stock Inflow'!$A$2:$A$601,$A499,'Stock Inflow'!$D$2:$D$601,$D499)</f>
        <v>25</v>
      </c>
      <c r="G499" s="19">
        <f>SUMIFS('Stock Inflow'!$E$2:$E$601,'Stock Inflow'!$A$2:$A$601,$A499,'Stock Inflow'!$D$2:$D$601,$D499)</f>
        <v>1</v>
      </c>
      <c r="H499" s="19">
        <f>SUMIFS('Stock Outflow'!$F$2:$F$601,'Stock Outflow'!$A$2:$A$601,$A499,'Stock Outflow'!$D$2:$D$601,$D499)</f>
        <v>22</v>
      </c>
      <c r="I499" s="19">
        <f>SUMIFS('Stock Outflow'!$E$2:$E$601,'Stock Outflow'!$A$2:$A$601,$A499,'Stock Outflow'!$D$2:$D$601,$D499)</f>
        <v>0</v>
      </c>
      <c r="J499" s="19">
        <f t="shared" si="42"/>
        <v>231</v>
      </c>
      <c r="K499" s="20">
        <f>INDEX('Item Master'!$F$2:$F$51,MATCH($A499,'Item Master'!$A$2:$A$51,0))</f>
        <v>750</v>
      </c>
      <c r="L499" s="20">
        <f t="shared" si="43"/>
        <v>16500</v>
      </c>
      <c r="M499" s="21">
        <f t="shared" si="44"/>
        <v>0.73333333333333328</v>
      </c>
      <c r="N499" s="19">
        <f>INDEX('Item Master'!$E$2:$E$51,MATCH($A499,'Item Master'!$A$2:$A$51,0))</f>
        <v>3</v>
      </c>
      <c r="O499" s="22">
        <f>INDEX('Product Summary'!$L$2:$L$51,MATCH($A499,'Product Summary'!$A$2:$A$51,0))</f>
        <v>1.8083333333333331</v>
      </c>
      <c r="P499" s="22">
        <f>INDEX('Product Summary'!$M$2:$M$51,MATCH($A499,'Product Summary'!$A$2:$A$51,0))</f>
        <v>4.3644977168949772</v>
      </c>
      <c r="Q499" s="22">
        <f t="shared" si="45"/>
        <v>315</v>
      </c>
      <c r="R499" s="22">
        <f t="shared" si="46"/>
        <v>309.04841220423413</v>
      </c>
      <c r="S499" s="19" t="str">
        <f t="shared" si="47"/>
        <v>OVERSTOCK</v>
      </c>
    </row>
    <row r="500" spans="1:19" x14ac:dyDescent="0.3">
      <c r="A500" s="19" t="s">
        <v>154</v>
      </c>
      <c r="B500" s="19" t="s">
        <v>155</v>
      </c>
      <c r="C500" s="19" t="s">
        <v>46</v>
      </c>
      <c r="D500" s="19" t="s">
        <v>39</v>
      </c>
      <c r="E500" s="19">
        <f>SUMIFS('Stock Inflow'!$G$2:$G$601,'Stock Inflow'!$A$2:$A$601,$A500,'Stock Inflow'!$D$2:$D$601,$D500)</f>
        <v>231</v>
      </c>
      <c r="F500" s="19">
        <f>SUMIFS('Stock Inflow'!$F$2:$F$601,'Stock Inflow'!$A$2:$A$601,$A500,'Stock Inflow'!$D$2:$D$601,$D500)</f>
        <v>28</v>
      </c>
      <c r="G500" s="19">
        <f>SUMIFS('Stock Inflow'!$E$2:$E$601,'Stock Inflow'!$A$2:$A$601,$A500,'Stock Inflow'!$D$2:$D$601,$D500)</f>
        <v>1</v>
      </c>
      <c r="H500" s="19">
        <f>SUMIFS('Stock Outflow'!$F$2:$F$601,'Stock Outflow'!$A$2:$A$601,$A500,'Stock Outflow'!$D$2:$D$601,$D500)</f>
        <v>26</v>
      </c>
      <c r="I500" s="19">
        <f>SUMIFS('Stock Outflow'!$E$2:$E$601,'Stock Outflow'!$A$2:$A$601,$A500,'Stock Outflow'!$D$2:$D$601,$D500)</f>
        <v>1</v>
      </c>
      <c r="J500" s="19">
        <f t="shared" si="42"/>
        <v>233</v>
      </c>
      <c r="K500" s="20">
        <f>INDEX('Item Master'!$F$2:$F$51,MATCH($A500,'Item Master'!$A$2:$A$51,0))</f>
        <v>750</v>
      </c>
      <c r="L500" s="20">
        <f t="shared" si="43"/>
        <v>19500</v>
      </c>
      <c r="M500" s="21">
        <f t="shared" si="44"/>
        <v>0.8666666666666667</v>
      </c>
      <c r="N500" s="19">
        <f>INDEX('Item Master'!$E$2:$E$51,MATCH($A500,'Item Master'!$A$2:$A$51,0))</f>
        <v>3</v>
      </c>
      <c r="O500" s="22">
        <f>INDEX('Product Summary'!$L$2:$L$51,MATCH($A500,'Product Summary'!$A$2:$A$51,0))</f>
        <v>1.8083333333333331</v>
      </c>
      <c r="P500" s="22">
        <f>INDEX('Product Summary'!$M$2:$M$51,MATCH($A500,'Product Summary'!$A$2:$A$51,0))</f>
        <v>4.3644977168949772</v>
      </c>
      <c r="Q500" s="22">
        <f t="shared" si="45"/>
        <v>268.84615384615381</v>
      </c>
      <c r="R500" s="22">
        <f t="shared" si="46"/>
        <v>263.81019494204423</v>
      </c>
      <c r="S500" s="19" t="str">
        <f t="shared" si="47"/>
        <v>OVERSTOCK</v>
      </c>
    </row>
    <row r="501" spans="1:19" x14ac:dyDescent="0.3">
      <c r="A501" s="19" t="s">
        <v>154</v>
      </c>
      <c r="B501" s="19" t="s">
        <v>155</v>
      </c>
      <c r="C501" s="19" t="s">
        <v>46</v>
      </c>
      <c r="D501" s="19" t="s">
        <v>41</v>
      </c>
      <c r="E501" s="19">
        <f>SUMIFS('Stock Inflow'!$G$2:$G$601,'Stock Inflow'!$A$2:$A$601,$A501,'Stock Inflow'!$D$2:$D$601,$D501)</f>
        <v>233</v>
      </c>
      <c r="F501" s="19">
        <f>SUMIFS('Stock Inflow'!$F$2:$F$601,'Stock Inflow'!$A$2:$A$601,$A501,'Stock Inflow'!$D$2:$D$601,$D501)</f>
        <v>29</v>
      </c>
      <c r="G501" s="19">
        <f>SUMIFS('Stock Inflow'!$E$2:$E$601,'Stock Inflow'!$A$2:$A$601,$A501,'Stock Inflow'!$D$2:$D$601,$D501)</f>
        <v>0</v>
      </c>
      <c r="H501" s="19">
        <f>SUMIFS('Stock Outflow'!$F$2:$F$601,'Stock Outflow'!$A$2:$A$601,$A501,'Stock Outflow'!$D$2:$D$601,$D501)</f>
        <v>24</v>
      </c>
      <c r="I501" s="19">
        <f>SUMIFS('Stock Outflow'!$E$2:$E$601,'Stock Outflow'!$A$2:$A$601,$A501,'Stock Outflow'!$D$2:$D$601,$D501)</f>
        <v>0</v>
      </c>
      <c r="J501" s="19">
        <f t="shared" si="42"/>
        <v>238</v>
      </c>
      <c r="K501" s="20">
        <f>INDEX('Item Master'!$F$2:$F$51,MATCH($A501,'Item Master'!$A$2:$A$51,0))</f>
        <v>750</v>
      </c>
      <c r="L501" s="20">
        <f t="shared" si="43"/>
        <v>18000</v>
      </c>
      <c r="M501" s="21">
        <f t="shared" si="44"/>
        <v>0.8</v>
      </c>
      <c r="N501" s="19">
        <f>INDEX('Item Master'!$E$2:$E$51,MATCH($A501,'Item Master'!$A$2:$A$51,0))</f>
        <v>3</v>
      </c>
      <c r="O501" s="22">
        <f>INDEX('Product Summary'!$L$2:$L$51,MATCH($A501,'Product Summary'!$A$2:$A$51,0))</f>
        <v>1.8083333333333331</v>
      </c>
      <c r="P501" s="22">
        <f>INDEX('Product Summary'!$M$2:$M$51,MATCH($A501,'Product Summary'!$A$2:$A$51,0))</f>
        <v>4.3644977168949772</v>
      </c>
      <c r="Q501" s="22">
        <f t="shared" si="45"/>
        <v>297.5</v>
      </c>
      <c r="R501" s="22">
        <f t="shared" si="46"/>
        <v>292.04437785388126</v>
      </c>
      <c r="S501" s="19" t="str">
        <f t="shared" si="47"/>
        <v>OVERSTOCK</v>
      </c>
    </row>
    <row r="502" spans="1:19" x14ac:dyDescent="0.3">
      <c r="A502" s="19" t="s">
        <v>154</v>
      </c>
      <c r="B502" s="19" t="s">
        <v>155</v>
      </c>
      <c r="C502" s="19" t="s">
        <v>46</v>
      </c>
      <c r="D502" s="19" t="s">
        <v>43</v>
      </c>
      <c r="E502" s="19">
        <f>SUMIFS('Stock Inflow'!$G$2:$G$601,'Stock Inflow'!$A$2:$A$601,$A502,'Stock Inflow'!$D$2:$D$601,$D502)</f>
        <v>238</v>
      </c>
      <c r="F502" s="19">
        <f>SUMIFS('Stock Inflow'!$F$2:$F$601,'Stock Inflow'!$A$2:$A$601,$A502,'Stock Inflow'!$D$2:$D$601,$D502)</f>
        <v>23</v>
      </c>
      <c r="G502" s="19">
        <f>SUMIFS('Stock Inflow'!$E$2:$E$601,'Stock Inflow'!$A$2:$A$601,$A502,'Stock Inflow'!$D$2:$D$601,$D502)</f>
        <v>1</v>
      </c>
      <c r="H502" s="19">
        <f>SUMIFS('Stock Outflow'!$F$2:$F$601,'Stock Outflow'!$A$2:$A$601,$A502,'Stock Outflow'!$D$2:$D$601,$D502)</f>
        <v>24</v>
      </c>
      <c r="I502" s="19">
        <f>SUMIFS('Stock Outflow'!$E$2:$E$601,'Stock Outflow'!$A$2:$A$601,$A502,'Stock Outflow'!$D$2:$D$601,$D502)</f>
        <v>1</v>
      </c>
      <c r="J502" s="19">
        <f t="shared" si="42"/>
        <v>237</v>
      </c>
      <c r="K502" s="20">
        <f>INDEX('Item Master'!$F$2:$F$51,MATCH($A502,'Item Master'!$A$2:$A$51,0))</f>
        <v>750</v>
      </c>
      <c r="L502" s="20">
        <f t="shared" si="43"/>
        <v>18000</v>
      </c>
      <c r="M502" s="21">
        <f t="shared" si="44"/>
        <v>0.8</v>
      </c>
      <c r="N502" s="19">
        <f>INDEX('Item Master'!$E$2:$E$51,MATCH($A502,'Item Master'!$A$2:$A$51,0))</f>
        <v>3</v>
      </c>
      <c r="O502" s="22">
        <f>INDEX('Product Summary'!$L$2:$L$51,MATCH($A502,'Product Summary'!$A$2:$A$51,0))</f>
        <v>1.8083333333333331</v>
      </c>
      <c r="P502" s="22">
        <f>INDEX('Product Summary'!$M$2:$M$51,MATCH($A502,'Product Summary'!$A$2:$A$51,0))</f>
        <v>4.3644977168949772</v>
      </c>
      <c r="Q502" s="22">
        <f t="shared" si="45"/>
        <v>296.25</v>
      </c>
      <c r="R502" s="22">
        <f t="shared" si="46"/>
        <v>290.79437785388126</v>
      </c>
      <c r="S502" s="19" t="str">
        <f t="shared" si="47"/>
        <v>OVERSTOCK</v>
      </c>
    </row>
    <row r="503" spans="1:19" x14ac:dyDescent="0.3">
      <c r="A503" s="19" t="s">
        <v>154</v>
      </c>
      <c r="B503" s="19" t="s">
        <v>155</v>
      </c>
      <c r="C503" s="19" t="s">
        <v>46</v>
      </c>
      <c r="D503" s="19" t="s">
        <v>45</v>
      </c>
      <c r="E503" s="19">
        <f>SUMIFS('Stock Inflow'!$G$2:$G$601,'Stock Inflow'!$A$2:$A$601,$A503,'Stock Inflow'!$D$2:$D$601,$D503)</f>
        <v>237</v>
      </c>
      <c r="F503" s="19">
        <f>SUMIFS('Stock Inflow'!$F$2:$F$601,'Stock Inflow'!$A$2:$A$601,$A503,'Stock Inflow'!$D$2:$D$601,$D503)</f>
        <v>49</v>
      </c>
      <c r="G503" s="19">
        <f>SUMIFS('Stock Inflow'!$E$2:$E$601,'Stock Inflow'!$A$2:$A$601,$A503,'Stock Inflow'!$D$2:$D$601,$D503)</f>
        <v>2</v>
      </c>
      <c r="H503" s="19">
        <f>SUMIFS('Stock Outflow'!$F$2:$F$601,'Stock Outflow'!$A$2:$A$601,$A503,'Stock Outflow'!$D$2:$D$601,$D503)</f>
        <v>44</v>
      </c>
      <c r="I503" s="19">
        <f>SUMIFS('Stock Outflow'!$E$2:$E$601,'Stock Outflow'!$A$2:$A$601,$A503,'Stock Outflow'!$D$2:$D$601,$D503)</f>
        <v>0</v>
      </c>
      <c r="J503" s="19">
        <f t="shared" si="42"/>
        <v>244</v>
      </c>
      <c r="K503" s="20">
        <f>INDEX('Item Master'!$F$2:$F$51,MATCH($A503,'Item Master'!$A$2:$A$51,0))</f>
        <v>750</v>
      </c>
      <c r="L503" s="20">
        <f t="shared" si="43"/>
        <v>33000</v>
      </c>
      <c r="M503" s="21">
        <f t="shared" si="44"/>
        <v>1.4666666666666666</v>
      </c>
      <c r="N503" s="19">
        <f>INDEX('Item Master'!$E$2:$E$51,MATCH($A503,'Item Master'!$A$2:$A$51,0))</f>
        <v>3</v>
      </c>
      <c r="O503" s="22">
        <f>INDEX('Product Summary'!$L$2:$L$51,MATCH($A503,'Product Summary'!$A$2:$A$51,0))</f>
        <v>1.8083333333333331</v>
      </c>
      <c r="P503" s="22">
        <f>INDEX('Product Summary'!$M$2:$M$51,MATCH($A503,'Product Summary'!$A$2:$A$51,0))</f>
        <v>4.3644977168949772</v>
      </c>
      <c r="Q503" s="22">
        <f t="shared" si="45"/>
        <v>166.36363636363637</v>
      </c>
      <c r="R503" s="22">
        <f t="shared" si="46"/>
        <v>163.38784246575344</v>
      </c>
      <c r="S503" s="19" t="str">
        <f t="shared" si="47"/>
        <v>OVERSTOCK</v>
      </c>
    </row>
    <row r="504" spans="1:19" x14ac:dyDescent="0.3">
      <c r="A504" s="19" t="s">
        <v>154</v>
      </c>
      <c r="B504" s="19" t="s">
        <v>155</v>
      </c>
      <c r="C504" s="19" t="s">
        <v>46</v>
      </c>
      <c r="D504" s="19" t="s">
        <v>47</v>
      </c>
      <c r="E504" s="19">
        <f>SUMIFS('Stock Inflow'!$G$2:$G$601,'Stock Inflow'!$A$2:$A$601,$A504,'Stock Inflow'!$D$2:$D$601,$D504)</f>
        <v>244</v>
      </c>
      <c r="F504" s="19">
        <f>SUMIFS('Stock Inflow'!$F$2:$F$601,'Stock Inflow'!$A$2:$A$601,$A504,'Stock Inflow'!$D$2:$D$601,$D504)</f>
        <v>28</v>
      </c>
      <c r="G504" s="19">
        <f>SUMIFS('Stock Inflow'!$E$2:$E$601,'Stock Inflow'!$A$2:$A$601,$A504,'Stock Inflow'!$D$2:$D$601,$D504)</f>
        <v>0</v>
      </c>
      <c r="H504" s="19">
        <f>SUMIFS('Stock Outflow'!$F$2:$F$601,'Stock Outflow'!$A$2:$A$601,$A504,'Stock Outflow'!$D$2:$D$601,$D504)</f>
        <v>30</v>
      </c>
      <c r="I504" s="19">
        <f>SUMIFS('Stock Outflow'!$E$2:$E$601,'Stock Outflow'!$A$2:$A$601,$A504,'Stock Outflow'!$D$2:$D$601,$D504)</f>
        <v>0</v>
      </c>
      <c r="J504" s="19">
        <f t="shared" si="42"/>
        <v>242</v>
      </c>
      <c r="K504" s="20">
        <f>INDEX('Item Master'!$F$2:$F$51,MATCH($A504,'Item Master'!$A$2:$A$51,0))</f>
        <v>750</v>
      </c>
      <c r="L504" s="20">
        <f t="shared" si="43"/>
        <v>22500</v>
      </c>
      <c r="M504" s="21">
        <f t="shared" si="44"/>
        <v>1</v>
      </c>
      <c r="N504" s="19">
        <f>INDEX('Item Master'!$E$2:$E$51,MATCH($A504,'Item Master'!$A$2:$A$51,0))</f>
        <v>3</v>
      </c>
      <c r="O504" s="22">
        <f>INDEX('Product Summary'!$L$2:$L$51,MATCH($A504,'Product Summary'!$A$2:$A$51,0))</f>
        <v>1.8083333333333331</v>
      </c>
      <c r="P504" s="22">
        <f>INDEX('Product Summary'!$M$2:$M$51,MATCH($A504,'Product Summary'!$A$2:$A$51,0))</f>
        <v>4.3644977168949772</v>
      </c>
      <c r="Q504" s="22">
        <f t="shared" si="45"/>
        <v>242</v>
      </c>
      <c r="R504" s="22">
        <f t="shared" si="46"/>
        <v>237.63550228310501</v>
      </c>
      <c r="S504" s="19" t="str">
        <f t="shared" si="47"/>
        <v>OVERSTOCK</v>
      </c>
    </row>
    <row r="505" spans="1:19" x14ac:dyDescent="0.3">
      <c r="A505" s="19" t="s">
        <v>154</v>
      </c>
      <c r="B505" s="19" t="s">
        <v>155</v>
      </c>
      <c r="C505" s="19" t="s">
        <v>46</v>
      </c>
      <c r="D505" s="19" t="s">
        <v>49</v>
      </c>
      <c r="E505" s="19">
        <f>SUMIFS('Stock Inflow'!$G$2:$G$601,'Stock Inflow'!$A$2:$A$601,$A505,'Stock Inflow'!$D$2:$D$601,$D505)</f>
        <v>242</v>
      </c>
      <c r="F505" s="19">
        <f>SUMIFS('Stock Inflow'!$F$2:$F$601,'Stock Inflow'!$A$2:$A$601,$A505,'Stock Inflow'!$D$2:$D$601,$D505)</f>
        <v>23</v>
      </c>
      <c r="G505" s="19">
        <f>SUMIFS('Stock Inflow'!$E$2:$E$601,'Stock Inflow'!$A$2:$A$601,$A505,'Stock Inflow'!$D$2:$D$601,$D505)</f>
        <v>0</v>
      </c>
      <c r="H505" s="19">
        <f>SUMIFS('Stock Outflow'!$F$2:$F$601,'Stock Outflow'!$A$2:$A$601,$A505,'Stock Outflow'!$D$2:$D$601,$D505)</f>
        <v>25</v>
      </c>
      <c r="I505" s="19">
        <f>SUMIFS('Stock Outflow'!$E$2:$E$601,'Stock Outflow'!$A$2:$A$601,$A505,'Stock Outflow'!$D$2:$D$601,$D505)</f>
        <v>0</v>
      </c>
      <c r="J505" s="19">
        <f t="shared" si="42"/>
        <v>240</v>
      </c>
      <c r="K505" s="20">
        <f>INDEX('Item Master'!$F$2:$F$51,MATCH($A505,'Item Master'!$A$2:$A$51,0))</f>
        <v>750</v>
      </c>
      <c r="L505" s="20">
        <f t="shared" si="43"/>
        <v>18750</v>
      </c>
      <c r="M505" s="21">
        <f t="shared" si="44"/>
        <v>0.83333333333333337</v>
      </c>
      <c r="N505" s="19">
        <f>INDEX('Item Master'!$E$2:$E$51,MATCH($A505,'Item Master'!$A$2:$A$51,0))</f>
        <v>3</v>
      </c>
      <c r="O505" s="22">
        <f>INDEX('Product Summary'!$L$2:$L$51,MATCH($A505,'Product Summary'!$A$2:$A$51,0))</f>
        <v>1.8083333333333331</v>
      </c>
      <c r="P505" s="22">
        <f>INDEX('Product Summary'!$M$2:$M$51,MATCH($A505,'Product Summary'!$A$2:$A$51,0))</f>
        <v>4.3644977168949772</v>
      </c>
      <c r="Q505" s="22">
        <f t="shared" si="45"/>
        <v>288</v>
      </c>
      <c r="R505" s="22">
        <f t="shared" si="46"/>
        <v>282.76260273972599</v>
      </c>
      <c r="S505" s="19" t="str">
        <f t="shared" si="47"/>
        <v>OVERSTOCK</v>
      </c>
    </row>
    <row r="506" spans="1:19" x14ac:dyDescent="0.3">
      <c r="A506" s="19" t="s">
        <v>156</v>
      </c>
      <c r="B506" s="19" t="s">
        <v>157</v>
      </c>
      <c r="C506" s="19" t="s">
        <v>46</v>
      </c>
      <c r="D506" s="19" t="s">
        <v>27</v>
      </c>
      <c r="E506" s="19">
        <f>SUMIFS('Stock Inflow'!$G$2:$G$601,'Stock Inflow'!$A$2:$A$601,$A506,'Stock Inflow'!$D$2:$D$601,$D506)</f>
        <v>110</v>
      </c>
      <c r="F506" s="19">
        <f>SUMIFS('Stock Inflow'!$F$2:$F$601,'Stock Inflow'!$A$2:$A$601,$A506,'Stock Inflow'!$D$2:$D$601,$D506)</f>
        <v>34</v>
      </c>
      <c r="G506" s="19">
        <f>SUMIFS('Stock Inflow'!$E$2:$E$601,'Stock Inflow'!$A$2:$A$601,$A506,'Stock Inflow'!$D$2:$D$601,$D506)</f>
        <v>1</v>
      </c>
      <c r="H506" s="19">
        <f>SUMIFS('Stock Outflow'!$F$2:$F$601,'Stock Outflow'!$A$2:$A$601,$A506,'Stock Outflow'!$D$2:$D$601,$D506)</f>
        <v>29</v>
      </c>
      <c r="I506" s="19">
        <f>SUMIFS('Stock Outflow'!$E$2:$E$601,'Stock Outflow'!$A$2:$A$601,$A506,'Stock Outflow'!$D$2:$D$601,$D506)</f>
        <v>0</v>
      </c>
      <c r="J506" s="19">
        <f t="shared" si="42"/>
        <v>116</v>
      </c>
      <c r="K506" s="20">
        <f>INDEX('Item Master'!$F$2:$F$51,MATCH($A506,'Item Master'!$A$2:$A$51,0))</f>
        <v>300</v>
      </c>
      <c r="L506" s="20">
        <f t="shared" si="43"/>
        <v>8700</v>
      </c>
      <c r="M506" s="21">
        <f t="shared" si="44"/>
        <v>0.96666666666666667</v>
      </c>
      <c r="N506" s="19">
        <f>INDEX('Item Master'!$E$2:$E$51,MATCH($A506,'Item Master'!$A$2:$A$51,0))</f>
        <v>10</v>
      </c>
      <c r="O506" s="22">
        <f>INDEX('Product Summary'!$L$2:$L$51,MATCH($A506,'Product Summary'!$A$2:$A$51,0))</f>
        <v>5.2777777777777777</v>
      </c>
      <c r="P506" s="22">
        <f>INDEX('Product Summary'!$M$2:$M$51,MATCH($A506,'Product Summary'!$A$2:$A$51,0))</f>
        <v>15.19558599695586</v>
      </c>
      <c r="Q506" s="22">
        <f t="shared" si="45"/>
        <v>120</v>
      </c>
      <c r="R506" s="22">
        <f t="shared" si="46"/>
        <v>104.28042827901118</v>
      </c>
      <c r="S506" s="19" t="str">
        <f t="shared" si="47"/>
        <v>HEALTHY</v>
      </c>
    </row>
    <row r="507" spans="1:19" x14ac:dyDescent="0.3">
      <c r="A507" s="19" t="s">
        <v>156</v>
      </c>
      <c r="B507" s="19" t="s">
        <v>157</v>
      </c>
      <c r="C507" s="19" t="s">
        <v>46</v>
      </c>
      <c r="D507" s="19" t="s">
        <v>29</v>
      </c>
      <c r="E507" s="19">
        <f>SUMIFS('Stock Inflow'!$G$2:$G$601,'Stock Inflow'!$A$2:$A$601,$A507,'Stock Inflow'!$D$2:$D$601,$D507)</f>
        <v>116</v>
      </c>
      <c r="F507" s="19">
        <f>SUMIFS('Stock Inflow'!$F$2:$F$601,'Stock Inflow'!$A$2:$A$601,$A507,'Stock Inflow'!$D$2:$D$601,$D507)</f>
        <v>25</v>
      </c>
      <c r="G507" s="19">
        <f>SUMIFS('Stock Inflow'!$E$2:$E$601,'Stock Inflow'!$A$2:$A$601,$A507,'Stock Inflow'!$D$2:$D$601,$D507)</f>
        <v>1</v>
      </c>
      <c r="H507" s="19">
        <f>SUMIFS('Stock Outflow'!$F$2:$F$601,'Stock Outflow'!$A$2:$A$601,$A507,'Stock Outflow'!$D$2:$D$601,$D507)</f>
        <v>28</v>
      </c>
      <c r="I507" s="19">
        <f>SUMIFS('Stock Outflow'!$E$2:$E$601,'Stock Outflow'!$A$2:$A$601,$A507,'Stock Outflow'!$D$2:$D$601,$D507)</f>
        <v>0</v>
      </c>
      <c r="J507" s="19">
        <f t="shared" si="42"/>
        <v>114</v>
      </c>
      <c r="K507" s="20">
        <f>INDEX('Item Master'!$F$2:$F$51,MATCH($A507,'Item Master'!$A$2:$A$51,0))</f>
        <v>300</v>
      </c>
      <c r="L507" s="20">
        <f t="shared" si="43"/>
        <v>8400</v>
      </c>
      <c r="M507" s="21">
        <f t="shared" si="44"/>
        <v>0.93333333333333335</v>
      </c>
      <c r="N507" s="19">
        <f>INDEX('Item Master'!$E$2:$E$51,MATCH($A507,'Item Master'!$A$2:$A$51,0))</f>
        <v>10</v>
      </c>
      <c r="O507" s="22">
        <f>INDEX('Product Summary'!$L$2:$L$51,MATCH($A507,'Product Summary'!$A$2:$A$51,0))</f>
        <v>5.2777777777777777</v>
      </c>
      <c r="P507" s="22">
        <f>INDEX('Product Summary'!$M$2:$M$51,MATCH($A507,'Product Summary'!$A$2:$A$51,0))</f>
        <v>15.19558599695586</v>
      </c>
      <c r="Q507" s="22">
        <f t="shared" si="45"/>
        <v>122.14285714285714</v>
      </c>
      <c r="R507" s="22">
        <f t="shared" si="46"/>
        <v>105.86187214611873</v>
      </c>
      <c r="S507" s="19" t="str">
        <f t="shared" si="47"/>
        <v>HEALTHY</v>
      </c>
    </row>
    <row r="508" spans="1:19" x14ac:dyDescent="0.3">
      <c r="A508" s="19" t="s">
        <v>156</v>
      </c>
      <c r="B508" s="19" t="s">
        <v>157</v>
      </c>
      <c r="C508" s="19" t="s">
        <v>46</v>
      </c>
      <c r="D508" s="19" t="s">
        <v>31</v>
      </c>
      <c r="E508" s="19">
        <f>SUMIFS('Stock Inflow'!$G$2:$G$601,'Stock Inflow'!$A$2:$A$601,$A508,'Stock Inflow'!$D$2:$D$601,$D508)</f>
        <v>114</v>
      </c>
      <c r="F508" s="19">
        <f>SUMIFS('Stock Inflow'!$F$2:$F$601,'Stock Inflow'!$A$2:$A$601,$A508,'Stock Inflow'!$D$2:$D$601,$D508)</f>
        <v>28</v>
      </c>
      <c r="G508" s="19">
        <f>SUMIFS('Stock Inflow'!$E$2:$E$601,'Stock Inflow'!$A$2:$A$601,$A508,'Stock Inflow'!$D$2:$D$601,$D508)</f>
        <v>1</v>
      </c>
      <c r="H508" s="19">
        <f>SUMIFS('Stock Outflow'!$F$2:$F$601,'Stock Outflow'!$A$2:$A$601,$A508,'Stock Outflow'!$D$2:$D$601,$D508)</f>
        <v>28</v>
      </c>
      <c r="I508" s="19">
        <f>SUMIFS('Stock Outflow'!$E$2:$E$601,'Stock Outflow'!$A$2:$A$601,$A508,'Stock Outflow'!$D$2:$D$601,$D508)</f>
        <v>0</v>
      </c>
      <c r="J508" s="19">
        <f t="shared" si="42"/>
        <v>115</v>
      </c>
      <c r="K508" s="20">
        <f>INDEX('Item Master'!$F$2:$F$51,MATCH($A508,'Item Master'!$A$2:$A$51,0))</f>
        <v>300</v>
      </c>
      <c r="L508" s="20">
        <f t="shared" si="43"/>
        <v>8400</v>
      </c>
      <c r="M508" s="21">
        <f t="shared" si="44"/>
        <v>0.93333333333333335</v>
      </c>
      <c r="N508" s="19">
        <f>INDEX('Item Master'!$E$2:$E$51,MATCH($A508,'Item Master'!$A$2:$A$51,0))</f>
        <v>10</v>
      </c>
      <c r="O508" s="22">
        <f>INDEX('Product Summary'!$L$2:$L$51,MATCH($A508,'Product Summary'!$A$2:$A$51,0))</f>
        <v>5.2777777777777777</v>
      </c>
      <c r="P508" s="22">
        <f>INDEX('Product Summary'!$M$2:$M$51,MATCH($A508,'Product Summary'!$A$2:$A$51,0))</f>
        <v>15.19558599695586</v>
      </c>
      <c r="Q508" s="22">
        <f t="shared" si="45"/>
        <v>123.21428571428571</v>
      </c>
      <c r="R508" s="22">
        <f t="shared" si="46"/>
        <v>106.9333007175473</v>
      </c>
      <c r="S508" s="19" t="str">
        <f t="shared" si="47"/>
        <v>HEALTHY</v>
      </c>
    </row>
    <row r="509" spans="1:19" x14ac:dyDescent="0.3">
      <c r="A509" s="19" t="s">
        <v>156</v>
      </c>
      <c r="B509" s="19" t="s">
        <v>157</v>
      </c>
      <c r="C509" s="19" t="s">
        <v>46</v>
      </c>
      <c r="D509" s="19" t="s">
        <v>33</v>
      </c>
      <c r="E509" s="19">
        <f>SUMIFS('Stock Inflow'!$G$2:$G$601,'Stock Inflow'!$A$2:$A$601,$A509,'Stock Inflow'!$D$2:$D$601,$D509)</f>
        <v>115</v>
      </c>
      <c r="F509" s="19">
        <f>SUMIFS('Stock Inflow'!$F$2:$F$601,'Stock Inflow'!$A$2:$A$601,$A509,'Stock Inflow'!$D$2:$D$601,$D509)</f>
        <v>36</v>
      </c>
      <c r="G509" s="19">
        <f>SUMIFS('Stock Inflow'!$E$2:$E$601,'Stock Inflow'!$A$2:$A$601,$A509,'Stock Inflow'!$D$2:$D$601,$D509)</f>
        <v>1</v>
      </c>
      <c r="H509" s="19">
        <f>SUMIFS('Stock Outflow'!$F$2:$F$601,'Stock Outflow'!$A$2:$A$601,$A509,'Stock Outflow'!$D$2:$D$601,$D509)</f>
        <v>31</v>
      </c>
      <c r="I509" s="19">
        <f>SUMIFS('Stock Outflow'!$E$2:$E$601,'Stock Outflow'!$A$2:$A$601,$A509,'Stock Outflow'!$D$2:$D$601,$D509)</f>
        <v>1</v>
      </c>
      <c r="J509" s="19">
        <f t="shared" si="42"/>
        <v>120</v>
      </c>
      <c r="K509" s="20">
        <f>INDEX('Item Master'!$F$2:$F$51,MATCH($A509,'Item Master'!$A$2:$A$51,0))</f>
        <v>300</v>
      </c>
      <c r="L509" s="20">
        <f t="shared" si="43"/>
        <v>9300</v>
      </c>
      <c r="M509" s="21">
        <f t="shared" si="44"/>
        <v>1.0333333333333334</v>
      </c>
      <c r="N509" s="19">
        <f>INDEX('Item Master'!$E$2:$E$51,MATCH($A509,'Item Master'!$A$2:$A$51,0))</f>
        <v>10</v>
      </c>
      <c r="O509" s="22">
        <f>INDEX('Product Summary'!$L$2:$L$51,MATCH($A509,'Product Summary'!$A$2:$A$51,0))</f>
        <v>5.2777777777777777</v>
      </c>
      <c r="P509" s="22">
        <f>INDEX('Product Summary'!$M$2:$M$51,MATCH($A509,'Product Summary'!$A$2:$A$51,0))</f>
        <v>15.19558599695586</v>
      </c>
      <c r="Q509" s="22">
        <f t="shared" si="45"/>
        <v>116.1290322580645</v>
      </c>
      <c r="R509" s="22">
        <f t="shared" si="46"/>
        <v>101.42362645455884</v>
      </c>
      <c r="S509" s="19" t="str">
        <f t="shared" si="47"/>
        <v>HEALTHY</v>
      </c>
    </row>
    <row r="510" spans="1:19" x14ac:dyDescent="0.3">
      <c r="A510" s="19" t="s">
        <v>156</v>
      </c>
      <c r="B510" s="19" t="s">
        <v>157</v>
      </c>
      <c r="C510" s="19" t="s">
        <v>46</v>
      </c>
      <c r="D510" s="19" t="s">
        <v>35</v>
      </c>
      <c r="E510" s="19">
        <f>SUMIFS('Stock Inflow'!$G$2:$G$601,'Stock Inflow'!$A$2:$A$601,$A510,'Stock Inflow'!$D$2:$D$601,$D510)</f>
        <v>120</v>
      </c>
      <c r="F510" s="19">
        <f>SUMIFS('Stock Inflow'!$F$2:$F$601,'Stock Inflow'!$A$2:$A$601,$A510,'Stock Inflow'!$D$2:$D$601,$D510)</f>
        <v>23</v>
      </c>
      <c r="G510" s="19">
        <f>SUMIFS('Stock Inflow'!$E$2:$E$601,'Stock Inflow'!$A$2:$A$601,$A510,'Stock Inflow'!$D$2:$D$601,$D510)</f>
        <v>0</v>
      </c>
      <c r="H510" s="19">
        <f>SUMIFS('Stock Outflow'!$F$2:$F$601,'Stock Outflow'!$A$2:$A$601,$A510,'Stock Outflow'!$D$2:$D$601,$D510)</f>
        <v>25</v>
      </c>
      <c r="I510" s="19">
        <f>SUMIFS('Stock Outflow'!$E$2:$E$601,'Stock Outflow'!$A$2:$A$601,$A510,'Stock Outflow'!$D$2:$D$601,$D510)</f>
        <v>0</v>
      </c>
      <c r="J510" s="19">
        <f t="shared" si="42"/>
        <v>118</v>
      </c>
      <c r="K510" s="20">
        <f>INDEX('Item Master'!$F$2:$F$51,MATCH($A510,'Item Master'!$A$2:$A$51,0))</f>
        <v>300</v>
      </c>
      <c r="L510" s="20">
        <f t="shared" si="43"/>
        <v>7500</v>
      </c>
      <c r="M510" s="21">
        <f t="shared" si="44"/>
        <v>0.83333333333333337</v>
      </c>
      <c r="N510" s="19">
        <f>INDEX('Item Master'!$E$2:$E$51,MATCH($A510,'Item Master'!$A$2:$A$51,0))</f>
        <v>10</v>
      </c>
      <c r="O510" s="22">
        <f>INDEX('Product Summary'!$L$2:$L$51,MATCH($A510,'Product Summary'!$A$2:$A$51,0))</f>
        <v>5.2777777777777777</v>
      </c>
      <c r="P510" s="22">
        <f>INDEX('Product Summary'!$M$2:$M$51,MATCH($A510,'Product Summary'!$A$2:$A$51,0))</f>
        <v>15.19558599695586</v>
      </c>
      <c r="Q510" s="22">
        <f t="shared" si="45"/>
        <v>141.6</v>
      </c>
      <c r="R510" s="22">
        <f t="shared" si="46"/>
        <v>123.36529680365297</v>
      </c>
      <c r="S510" s="19" t="str">
        <f t="shared" si="47"/>
        <v>HEALTHY</v>
      </c>
    </row>
    <row r="511" spans="1:19" x14ac:dyDescent="0.3">
      <c r="A511" s="19" t="s">
        <v>156</v>
      </c>
      <c r="B511" s="19" t="s">
        <v>157</v>
      </c>
      <c r="C511" s="19" t="s">
        <v>46</v>
      </c>
      <c r="D511" s="19" t="s">
        <v>37</v>
      </c>
      <c r="E511" s="19">
        <f>SUMIFS('Stock Inflow'!$G$2:$G$601,'Stock Inflow'!$A$2:$A$601,$A511,'Stock Inflow'!$D$2:$D$601,$D511)</f>
        <v>118</v>
      </c>
      <c r="F511" s="19">
        <f>SUMIFS('Stock Inflow'!$F$2:$F$601,'Stock Inflow'!$A$2:$A$601,$A511,'Stock Inflow'!$D$2:$D$601,$D511)</f>
        <v>34</v>
      </c>
      <c r="G511" s="19">
        <f>SUMIFS('Stock Inflow'!$E$2:$E$601,'Stock Inflow'!$A$2:$A$601,$A511,'Stock Inflow'!$D$2:$D$601,$D511)</f>
        <v>1</v>
      </c>
      <c r="H511" s="19">
        <f>SUMIFS('Stock Outflow'!$F$2:$F$601,'Stock Outflow'!$A$2:$A$601,$A511,'Stock Outflow'!$D$2:$D$601,$D511)</f>
        <v>28</v>
      </c>
      <c r="I511" s="19">
        <f>SUMIFS('Stock Outflow'!$E$2:$E$601,'Stock Outflow'!$A$2:$A$601,$A511,'Stock Outflow'!$D$2:$D$601,$D511)</f>
        <v>0</v>
      </c>
      <c r="J511" s="19">
        <f t="shared" si="42"/>
        <v>125</v>
      </c>
      <c r="K511" s="20">
        <f>INDEX('Item Master'!$F$2:$F$51,MATCH($A511,'Item Master'!$A$2:$A$51,0))</f>
        <v>300</v>
      </c>
      <c r="L511" s="20">
        <f t="shared" si="43"/>
        <v>8400</v>
      </c>
      <c r="M511" s="21">
        <f t="shared" si="44"/>
        <v>0.93333333333333335</v>
      </c>
      <c r="N511" s="19">
        <f>INDEX('Item Master'!$E$2:$E$51,MATCH($A511,'Item Master'!$A$2:$A$51,0))</f>
        <v>10</v>
      </c>
      <c r="O511" s="22">
        <f>INDEX('Product Summary'!$L$2:$L$51,MATCH($A511,'Product Summary'!$A$2:$A$51,0))</f>
        <v>5.2777777777777777</v>
      </c>
      <c r="P511" s="22">
        <f>INDEX('Product Summary'!$M$2:$M$51,MATCH($A511,'Product Summary'!$A$2:$A$51,0))</f>
        <v>15.19558599695586</v>
      </c>
      <c r="Q511" s="22">
        <f t="shared" si="45"/>
        <v>133.92857142857142</v>
      </c>
      <c r="R511" s="22">
        <f t="shared" si="46"/>
        <v>117.64758643183301</v>
      </c>
      <c r="S511" s="19" t="str">
        <f t="shared" si="47"/>
        <v>HEALTHY</v>
      </c>
    </row>
    <row r="512" spans="1:19" x14ac:dyDescent="0.3">
      <c r="A512" s="19" t="s">
        <v>156</v>
      </c>
      <c r="B512" s="19" t="s">
        <v>157</v>
      </c>
      <c r="C512" s="19" t="s">
        <v>46</v>
      </c>
      <c r="D512" s="19" t="s">
        <v>39</v>
      </c>
      <c r="E512" s="19">
        <f>SUMIFS('Stock Inflow'!$G$2:$G$601,'Stock Inflow'!$A$2:$A$601,$A512,'Stock Inflow'!$D$2:$D$601,$D512)</f>
        <v>125</v>
      </c>
      <c r="F512" s="19">
        <f>SUMIFS('Stock Inflow'!$F$2:$F$601,'Stock Inflow'!$A$2:$A$601,$A512,'Stock Inflow'!$D$2:$D$601,$D512)</f>
        <v>29</v>
      </c>
      <c r="G512" s="19">
        <f>SUMIFS('Stock Inflow'!$E$2:$E$601,'Stock Inflow'!$A$2:$A$601,$A512,'Stock Inflow'!$D$2:$D$601,$D512)</f>
        <v>1</v>
      </c>
      <c r="H512" s="19">
        <f>SUMIFS('Stock Outflow'!$F$2:$F$601,'Stock Outflow'!$A$2:$A$601,$A512,'Stock Outflow'!$D$2:$D$601,$D512)</f>
        <v>27</v>
      </c>
      <c r="I512" s="19">
        <f>SUMIFS('Stock Outflow'!$E$2:$E$601,'Stock Outflow'!$A$2:$A$601,$A512,'Stock Outflow'!$D$2:$D$601,$D512)</f>
        <v>1</v>
      </c>
      <c r="J512" s="19">
        <f t="shared" si="42"/>
        <v>127</v>
      </c>
      <c r="K512" s="20">
        <f>INDEX('Item Master'!$F$2:$F$51,MATCH($A512,'Item Master'!$A$2:$A$51,0))</f>
        <v>300</v>
      </c>
      <c r="L512" s="20">
        <f t="shared" si="43"/>
        <v>8100</v>
      </c>
      <c r="M512" s="21">
        <f t="shared" si="44"/>
        <v>0.9</v>
      </c>
      <c r="N512" s="19">
        <f>INDEX('Item Master'!$E$2:$E$51,MATCH($A512,'Item Master'!$A$2:$A$51,0))</f>
        <v>10</v>
      </c>
      <c r="O512" s="22">
        <f>INDEX('Product Summary'!$L$2:$L$51,MATCH($A512,'Product Summary'!$A$2:$A$51,0))</f>
        <v>5.2777777777777777</v>
      </c>
      <c r="P512" s="22">
        <f>INDEX('Product Summary'!$M$2:$M$51,MATCH($A512,'Product Summary'!$A$2:$A$51,0))</f>
        <v>15.19558599695586</v>
      </c>
      <c r="Q512" s="22">
        <f t="shared" si="45"/>
        <v>141.11111111111111</v>
      </c>
      <c r="R512" s="22">
        <f t="shared" si="46"/>
        <v>124.22712667004905</v>
      </c>
      <c r="S512" s="19" t="str">
        <f t="shared" si="47"/>
        <v>HEALTHY</v>
      </c>
    </row>
    <row r="513" spans="1:19" x14ac:dyDescent="0.3">
      <c r="A513" s="19" t="s">
        <v>156</v>
      </c>
      <c r="B513" s="19" t="s">
        <v>157</v>
      </c>
      <c r="C513" s="19" t="s">
        <v>46</v>
      </c>
      <c r="D513" s="19" t="s">
        <v>41</v>
      </c>
      <c r="E513" s="19">
        <f>SUMIFS('Stock Inflow'!$G$2:$G$601,'Stock Inflow'!$A$2:$A$601,$A513,'Stock Inflow'!$D$2:$D$601,$D513)</f>
        <v>127</v>
      </c>
      <c r="F513" s="19">
        <f>SUMIFS('Stock Inflow'!$F$2:$F$601,'Stock Inflow'!$A$2:$A$601,$A513,'Stock Inflow'!$D$2:$D$601,$D513)</f>
        <v>31</v>
      </c>
      <c r="G513" s="19">
        <f>SUMIFS('Stock Inflow'!$E$2:$E$601,'Stock Inflow'!$A$2:$A$601,$A513,'Stock Inflow'!$D$2:$D$601,$D513)</f>
        <v>1</v>
      </c>
      <c r="H513" s="19">
        <f>SUMIFS('Stock Outflow'!$F$2:$F$601,'Stock Outflow'!$A$2:$A$601,$A513,'Stock Outflow'!$D$2:$D$601,$D513)</f>
        <v>26</v>
      </c>
      <c r="I513" s="19">
        <f>SUMIFS('Stock Outflow'!$E$2:$E$601,'Stock Outflow'!$A$2:$A$601,$A513,'Stock Outflow'!$D$2:$D$601,$D513)</f>
        <v>1</v>
      </c>
      <c r="J513" s="19">
        <f t="shared" si="42"/>
        <v>132</v>
      </c>
      <c r="K513" s="20">
        <f>INDEX('Item Master'!$F$2:$F$51,MATCH($A513,'Item Master'!$A$2:$A$51,0))</f>
        <v>300</v>
      </c>
      <c r="L513" s="20">
        <f t="shared" si="43"/>
        <v>7800</v>
      </c>
      <c r="M513" s="21">
        <f t="shared" si="44"/>
        <v>0.8666666666666667</v>
      </c>
      <c r="N513" s="19">
        <f>INDEX('Item Master'!$E$2:$E$51,MATCH($A513,'Item Master'!$A$2:$A$51,0))</f>
        <v>10</v>
      </c>
      <c r="O513" s="22">
        <f>INDEX('Product Summary'!$L$2:$L$51,MATCH($A513,'Product Summary'!$A$2:$A$51,0))</f>
        <v>5.2777777777777777</v>
      </c>
      <c r="P513" s="22">
        <f>INDEX('Product Summary'!$M$2:$M$51,MATCH($A513,'Product Summary'!$A$2:$A$51,0))</f>
        <v>15.19558599695586</v>
      </c>
      <c r="Q513" s="22">
        <f t="shared" si="45"/>
        <v>152.30769230769229</v>
      </c>
      <c r="R513" s="22">
        <f t="shared" si="46"/>
        <v>134.7743238496663</v>
      </c>
      <c r="S513" s="19" t="str">
        <f t="shared" si="47"/>
        <v>OVERSTOCK</v>
      </c>
    </row>
    <row r="514" spans="1:19" x14ac:dyDescent="0.3">
      <c r="A514" s="19" t="s">
        <v>156</v>
      </c>
      <c r="B514" s="19" t="s">
        <v>157</v>
      </c>
      <c r="C514" s="19" t="s">
        <v>46</v>
      </c>
      <c r="D514" s="19" t="s">
        <v>43</v>
      </c>
      <c r="E514" s="19">
        <f>SUMIFS('Stock Inflow'!$G$2:$G$601,'Stock Inflow'!$A$2:$A$601,$A514,'Stock Inflow'!$D$2:$D$601,$D514)</f>
        <v>132</v>
      </c>
      <c r="F514" s="19">
        <f>SUMIFS('Stock Inflow'!$F$2:$F$601,'Stock Inflow'!$A$2:$A$601,$A514,'Stock Inflow'!$D$2:$D$601,$D514)</f>
        <v>37</v>
      </c>
      <c r="G514" s="19">
        <f>SUMIFS('Stock Inflow'!$E$2:$E$601,'Stock Inflow'!$A$2:$A$601,$A514,'Stock Inflow'!$D$2:$D$601,$D514)</f>
        <v>0</v>
      </c>
      <c r="H514" s="19">
        <f>SUMIFS('Stock Outflow'!$F$2:$F$601,'Stock Outflow'!$A$2:$A$601,$A514,'Stock Outflow'!$D$2:$D$601,$D514)</f>
        <v>31</v>
      </c>
      <c r="I514" s="19">
        <f>SUMIFS('Stock Outflow'!$E$2:$E$601,'Stock Outflow'!$A$2:$A$601,$A514,'Stock Outflow'!$D$2:$D$601,$D514)</f>
        <v>0</v>
      </c>
      <c r="J514" s="19">
        <f t="shared" ref="J514:J577" si="48">E514+F514+G514-H514-I514</f>
        <v>138</v>
      </c>
      <c r="K514" s="20">
        <f>INDEX('Item Master'!$F$2:$F$51,MATCH($A514,'Item Master'!$A$2:$A$51,0))</f>
        <v>300</v>
      </c>
      <c r="L514" s="20">
        <f t="shared" ref="L514:L577" si="49">H514*K514</f>
        <v>9300</v>
      </c>
      <c r="M514" s="21">
        <f t="shared" ref="M514:M577" si="50">H514/30</f>
        <v>1.0333333333333334</v>
      </c>
      <c r="N514" s="19">
        <f>INDEX('Item Master'!$E$2:$E$51,MATCH($A514,'Item Master'!$A$2:$A$51,0))</f>
        <v>10</v>
      </c>
      <c r="O514" s="22">
        <f>INDEX('Product Summary'!$L$2:$L$51,MATCH($A514,'Product Summary'!$A$2:$A$51,0))</f>
        <v>5.2777777777777777</v>
      </c>
      <c r="P514" s="22">
        <f>INDEX('Product Summary'!$M$2:$M$51,MATCH($A514,'Product Summary'!$A$2:$A$51,0))</f>
        <v>15.19558599695586</v>
      </c>
      <c r="Q514" s="22">
        <f t="shared" ref="Q514:Q577" si="51">IF(M514=0,"",J514/M514)</f>
        <v>133.54838709677418</v>
      </c>
      <c r="R514" s="22">
        <f t="shared" ref="R514:R577" si="52">IF(M514=0,"",IF(J514&lt;=P514,0,(J514-P514)/M514))</f>
        <v>118.84298129326851</v>
      </c>
      <c r="S514" s="19" t="str">
        <f t="shared" ref="S514:S577" si="53">IF(J514&lt;=P514,"REORDER NOW",IF(IFERROR(Q514,0)&gt;150,"OVERSTOCK","HEALTHY"))</f>
        <v>HEALTHY</v>
      </c>
    </row>
    <row r="515" spans="1:19" x14ac:dyDescent="0.3">
      <c r="A515" s="19" t="s">
        <v>156</v>
      </c>
      <c r="B515" s="19" t="s">
        <v>157</v>
      </c>
      <c r="C515" s="19" t="s">
        <v>46</v>
      </c>
      <c r="D515" s="19" t="s">
        <v>45</v>
      </c>
      <c r="E515" s="19">
        <f>SUMIFS('Stock Inflow'!$G$2:$G$601,'Stock Inflow'!$A$2:$A$601,$A515,'Stock Inflow'!$D$2:$D$601,$D515)</f>
        <v>138</v>
      </c>
      <c r="F515" s="19">
        <f>SUMIFS('Stock Inflow'!$F$2:$F$601,'Stock Inflow'!$A$2:$A$601,$A515,'Stock Inflow'!$D$2:$D$601,$D515)</f>
        <v>42</v>
      </c>
      <c r="G515" s="19">
        <f>SUMIFS('Stock Inflow'!$E$2:$E$601,'Stock Inflow'!$A$2:$A$601,$A515,'Stock Inflow'!$D$2:$D$601,$D515)</f>
        <v>0</v>
      </c>
      <c r="H515" s="19">
        <f>SUMIFS('Stock Outflow'!$F$2:$F$601,'Stock Outflow'!$A$2:$A$601,$A515,'Stock Outflow'!$D$2:$D$601,$D515)</f>
        <v>46</v>
      </c>
      <c r="I515" s="19">
        <f>SUMIFS('Stock Outflow'!$E$2:$E$601,'Stock Outflow'!$A$2:$A$601,$A515,'Stock Outflow'!$D$2:$D$601,$D515)</f>
        <v>0</v>
      </c>
      <c r="J515" s="19">
        <f t="shared" si="48"/>
        <v>134</v>
      </c>
      <c r="K515" s="20">
        <f>INDEX('Item Master'!$F$2:$F$51,MATCH($A515,'Item Master'!$A$2:$A$51,0))</f>
        <v>300</v>
      </c>
      <c r="L515" s="20">
        <f t="shared" si="49"/>
        <v>13800</v>
      </c>
      <c r="M515" s="21">
        <f t="shared" si="50"/>
        <v>1.5333333333333334</v>
      </c>
      <c r="N515" s="19">
        <f>INDEX('Item Master'!$E$2:$E$51,MATCH($A515,'Item Master'!$A$2:$A$51,0))</f>
        <v>10</v>
      </c>
      <c r="O515" s="22">
        <f>INDEX('Product Summary'!$L$2:$L$51,MATCH($A515,'Product Summary'!$A$2:$A$51,0))</f>
        <v>5.2777777777777777</v>
      </c>
      <c r="P515" s="22">
        <f>INDEX('Product Summary'!$M$2:$M$51,MATCH($A515,'Product Summary'!$A$2:$A$51,0))</f>
        <v>15.19558599695586</v>
      </c>
      <c r="Q515" s="22">
        <f t="shared" si="51"/>
        <v>87.391304347826079</v>
      </c>
      <c r="R515" s="22">
        <f t="shared" si="52"/>
        <v>77.481139567202703</v>
      </c>
      <c r="S515" s="19" t="str">
        <f t="shared" si="53"/>
        <v>HEALTHY</v>
      </c>
    </row>
    <row r="516" spans="1:19" x14ac:dyDescent="0.3">
      <c r="A516" s="19" t="s">
        <v>156</v>
      </c>
      <c r="B516" s="19" t="s">
        <v>157</v>
      </c>
      <c r="C516" s="19" t="s">
        <v>46</v>
      </c>
      <c r="D516" s="19" t="s">
        <v>47</v>
      </c>
      <c r="E516" s="19">
        <f>SUMIFS('Stock Inflow'!$G$2:$G$601,'Stock Inflow'!$A$2:$A$601,$A516,'Stock Inflow'!$D$2:$D$601,$D516)</f>
        <v>134</v>
      </c>
      <c r="F516" s="19">
        <f>SUMIFS('Stock Inflow'!$F$2:$F$601,'Stock Inflow'!$A$2:$A$601,$A516,'Stock Inflow'!$D$2:$D$601,$D516)</f>
        <v>34</v>
      </c>
      <c r="G516" s="19">
        <f>SUMIFS('Stock Inflow'!$E$2:$E$601,'Stock Inflow'!$A$2:$A$601,$A516,'Stock Inflow'!$D$2:$D$601,$D516)</f>
        <v>1</v>
      </c>
      <c r="H516" s="19">
        <f>SUMIFS('Stock Outflow'!$F$2:$F$601,'Stock Outflow'!$A$2:$A$601,$A516,'Stock Outflow'!$D$2:$D$601,$D516)</f>
        <v>32</v>
      </c>
      <c r="I516" s="19">
        <f>SUMIFS('Stock Outflow'!$E$2:$E$601,'Stock Outflow'!$A$2:$A$601,$A516,'Stock Outflow'!$D$2:$D$601,$D516)</f>
        <v>1</v>
      </c>
      <c r="J516" s="19">
        <f t="shared" si="48"/>
        <v>136</v>
      </c>
      <c r="K516" s="20">
        <f>INDEX('Item Master'!$F$2:$F$51,MATCH($A516,'Item Master'!$A$2:$A$51,0))</f>
        <v>300</v>
      </c>
      <c r="L516" s="20">
        <f t="shared" si="49"/>
        <v>9600</v>
      </c>
      <c r="M516" s="21">
        <f t="shared" si="50"/>
        <v>1.0666666666666667</v>
      </c>
      <c r="N516" s="19">
        <f>INDEX('Item Master'!$E$2:$E$51,MATCH($A516,'Item Master'!$A$2:$A$51,0))</f>
        <v>10</v>
      </c>
      <c r="O516" s="22">
        <f>INDEX('Product Summary'!$L$2:$L$51,MATCH($A516,'Product Summary'!$A$2:$A$51,0))</f>
        <v>5.2777777777777777</v>
      </c>
      <c r="P516" s="22">
        <f>INDEX('Product Summary'!$M$2:$M$51,MATCH($A516,'Product Summary'!$A$2:$A$51,0))</f>
        <v>15.19558599695586</v>
      </c>
      <c r="Q516" s="22">
        <f t="shared" si="51"/>
        <v>127.5</v>
      </c>
      <c r="R516" s="22">
        <f t="shared" si="52"/>
        <v>113.25413812785389</v>
      </c>
      <c r="S516" s="19" t="str">
        <f t="shared" si="53"/>
        <v>HEALTHY</v>
      </c>
    </row>
    <row r="517" spans="1:19" x14ac:dyDescent="0.3">
      <c r="A517" s="19" t="s">
        <v>156</v>
      </c>
      <c r="B517" s="19" t="s">
        <v>157</v>
      </c>
      <c r="C517" s="19" t="s">
        <v>46</v>
      </c>
      <c r="D517" s="19" t="s">
        <v>49</v>
      </c>
      <c r="E517" s="19">
        <f>SUMIFS('Stock Inflow'!$G$2:$G$601,'Stock Inflow'!$A$2:$A$601,$A517,'Stock Inflow'!$D$2:$D$601,$D517)</f>
        <v>136</v>
      </c>
      <c r="F517" s="19">
        <f>SUMIFS('Stock Inflow'!$F$2:$F$601,'Stock Inflow'!$A$2:$A$601,$A517,'Stock Inflow'!$D$2:$D$601,$D517)</f>
        <v>29</v>
      </c>
      <c r="G517" s="19">
        <f>SUMIFS('Stock Inflow'!$E$2:$E$601,'Stock Inflow'!$A$2:$A$601,$A517,'Stock Inflow'!$D$2:$D$601,$D517)</f>
        <v>1</v>
      </c>
      <c r="H517" s="19">
        <f>SUMIFS('Stock Outflow'!$F$2:$F$601,'Stock Outflow'!$A$2:$A$601,$A517,'Stock Outflow'!$D$2:$D$601,$D517)</f>
        <v>31</v>
      </c>
      <c r="I517" s="19">
        <f>SUMIFS('Stock Outflow'!$E$2:$E$601,'Stock Outflow'!$A$2:$A$601,$A517,'Stock Outflow'!$D$2:$D$601,$D517)</f>
        <v>0</v>
      </c>
      <c r="J517" s="19">
        <f t="shared" si="48"/>
        <v>135</v>
      </c>
      <c r="K517" s="20">
        <f>INDEX('Item Master'!$F$2:$F$51,MATCH($A517,'Item Master'!$A$2:$A$51,0))</f>
        <v>300</v>
      </c>
      <c r="L517" s="20">
        <f t="shared" si="49"/>
        <v>9300</v>
      </c>
      <c r="M517" s="21">
        <f t="shared" si="50"/>
        <v>1.0333333333333334</v>
      </c>
      <c r="N517" s="19">
        <f>INDEX('Item Master'!$E$2:$E$51,MATCH($A517,'Item Master'!$A$2:$A$51,0))</f>
        <v>10</v>
      </c>
      <c r="O517" s="22">
        <f>INDEX('Product Summary'!$L$2:$L$51,MATCH($A517,'Product Summary'!$A$2:$A$51,0))</f>
        <v>5.2777777777777777</v>
      </c>
      <c r="P517" s="22">
        <f>INDEX('Product Summary'!$M$2:$M$51,MATCH($A517,'Product Summary'!$A$2:$A$51,0))</f>
        <v>15.19558599695586</v>
      </c>
      <c r="Q517" s="22">
        <f t="shared" si="51"/>
        <v>130.64516129032256</v>
      </c>
      <c r="R517" s="22">
        <f t="shared" si="52"/>
        <v>115.93975548681691</v>
      </c>
      <c r="S517" s="19" t="str">
        <f t="shared" si="53"/>
        <v>HEALTHY</v>
      </c>
    </row>
    <row r="518" spans="1:19" x14ac:dyDescent="0.3">
      <c r="A518" s="19" t="s">
        <v>158</v>
      </c>
      <c r="B518" s="19" t="s">
        <v>159</v>
      </c>
      <c r="C518" s="19" t="s">
        <v>46</v>
      </c>
      <c r="D518" s="19" t="s">
        <v>27</v>
      </c>
      <c r="E518" s="19">
        <f>SUMIFS('Stock Inflow'!$G$2:$G$601,'Stock Inflow'!$A$2:$A$601,$A518,'Stock Inflow'!$D$2:$D$601,$D518)</f>
        <v>218</v>
      </c>
      <c r="F518" s="19">
        <f>SUMIFS('Stock Inflow'!$F$2:$F$601,'Stock Inflow'!$A$2:$A$601,$A518,'Stock Inflow'!$D$2:$D$601,$D518)</f>
        <v>28</v>
      </c>
      <c r="G518" s="19">
        <f>SUMIFS('Stock Inflow'!$E$2:$E$601,'Stock Inflow'!$A$2:$A$601,$A518,'Stock Inflow'!$D$2:$D$601,$D518)</f>
        <v>1</v>
      </c>
      <c r="H518" s="19">
        <f>SUMIFS('Stock Outflow'!$F$2:$F$601,'Stock Outflow'!$A$2:$A$601,$A518,'Stock Outflow'!$D$2:$D$601,$D518)</f>
        <v>30</v>
      </c>
      <c r="I518" s="19">
        <f>SUMIFS('Stock Outflow'!$E$2:$E$601,'Stock Outflow'!$A$2:$A$601,$A518,'Stock Outflow'!$D$2:$D$601,$D518)</f>
        <v>1</v>
      </c>
      <c r="J518" s="19">
        <f t="shared" si="48"/>
        <v>216</v>
      </c>
      <c r="K518" s="20">
        <f>INDEX('Item Master'!$F$2:$F$51,MATCH($A518,'Item Master'!$A$2:$A$51,0))</f>
        <v>450</v>
      </c>
      <c r="L518" s="20">
        <f t="shared" si="49"/>
        <v>13500</v>
      </c>
      <c r="M518" s="21">
        <f t="shared" si="50"/>
        <v>1</v>
      </c>
      <c r="N518" s="19">
        <f>INDEX('Item Master'!$E$2:$E$51,MATCH($A518,'Item Master'!$A$2:$A$51,0))</f>
        <v>7</v>
      </c>
      <c r="O518" s="22">
        <f>INDEX('Product Summary'!$L$2:$L$51,MATCH($A518,'Product Summary'!$A$2:$A$51,0))</f>
        <v>5.9111111111111114</v>
      </c>
      <c r="P518" s="22">
        <f>INDEX('Product Summary'!$M$2:$M$51,MATCH($A518,'Product Summary'!$A$2:$A$51,0))</f>
        <v>14.809741248097414</v>
      </c>
      <c r="Q518" s="22">
        <f t="shared" si="51"/>
        <v>216</v>
      </c>
      <c r="R518" s="22">
        <f t="shared" si="52"/>
        <v>201.19025875190258</v>
      </c>
      <c r="S518" s="19" t="str">
        <f t="shared" si="53"/>
        <v>OVERSTOCK</v>
      </c>
    </row>
    <row r="519" spans="1:19" x14ac:dyDescent="0.3">
      <c r="A519" s="19" t="s">
        <v>158</v>
      </c>
      <c r="B519" s="19" t="s">
        <v>159</v>
      </c>
      <c r="C519" s="19" t="s">
        <v>46</v>
      </c>
      <c r="D519" s="19" t="s">
        <v>29</v>
      </c>
      <c r="E519" s="19">
        <f>SUMIFS('Stock Inflow'!$G$2:$G$601,'Stock Inflow'!$A$2:$A$601,$A519,'Stock Inflow'!$D$2:$D$601,$D519)</f>
        <v>216</v>
      </c>
      <c r="F519" s="19">
        <f>SUMIFS('Stock Inflow'!$F$2:$F$601,'Stock Inflow'!$A$2:$A$601,$A519,'Stock Inflow'!$D$2:$D$601,$D519)</f>
        <v>33</v>
      </c>
      <c r="G519" s="19">
        <f>SUMIFS('Stock Inflow'!$E$2:$E$601,'Stock Inflow'!$A$2:$A$601,$A519,'Stock Inflow'!$D$2:$D$601,$D519)</f>
        <v>1</v>
      </c>
      <c r="H519" s="19">
        <f>SUMIFS('Stock Outflow'!$F$2:$F$601,'Stock Outflow'!$A$2:$A$601,$A519,'Stock Outflow'!$D$2:$D$601,$D519)</f>
        <v>36</v>
      </c>
      <c r="I519" s="19">
        <f>SUMIFS('Stock Outflow'!$E$2:$E$601,'Stock Outflow'!$A$2:$A$601,$A519,'Stock Outflow'!$D$2:$D$601,$D519)</f>
        <v>0</v>
      </c>
      <c r="J519" s="19">
        <f t="shared" si="48"/>
        <v>214</v>
      </c>
      <c r="K519" s="20">
        <f>INDEX('Item Master'!$F$2:$F$51,MATCH($A519,'Item Master'!$A$2:$A$51,0))</f>
        <v>450</v>
      </c>
      <c r="L519" s="20">
        <f t="shared" si="49"/>
        <v>16200</v>
      </c>
      <c r="M519" s="21">
        <f t="shared" si="50"/>
        <v>1.2</v>
      </c>
      <c r="N519" s="19">
        <f>INDEX('Item Master'!$E$2:$E$51,MATCH($A519,'Item Master'!$A$2:$A$51,0))</f>
        <v>7</v>
      </c>
      <c r="O519" s="22">
        <f>INDEX('Product Summary'!$L$2:$L$51,MATCH($A519,'Product Summary'!$A$2:$A$51,0))</f>
        <v>5.9111111111111114</v>
      </c>
      <c r="P519" s="22">
        <f>INDEX('Product Summary'!$M$2:$M$51,MATCH($A519,'Product Summary'!$A$2:$A$51,0))</f>
        <v>14.809741248097414</v>
      </c>
      <c r="Q519" s="22">
        <f t="shared" si="51"/>
        <v>178.33333333333334</v>
      </c>
      <c r="R519" s="22">
        <f t="shared" si="52"/>
        <v>165.99188229325216</v>
      </c>
      <c r="S519" s="19" t="str">
        <f t="shared" si="53"/>
        <v>OVERSTOCK</v>
      </c>
    </row>
    <row r="520" spans="1:19" x14ac:dyDescent="0.3">
      <c r="A520" s="19" t="s">
        <v>158</v>
      </c>
      <c r="B520" s="19" t="s">
        <v>159</v>
      </c>
      <c r="C520" s="19" t="s">
        <v>46</v>
      </c>
      <c r="D520" s="19" t="s">
        <v>31</v>
      </c>
      <c r="E520" s="19">
        <f>SUMIFS('Stock Inflow'!$G$2:$G$601,'Stock Inflow'!$A$2:$A$601,$A520,'Stock Inflow'!$D$2:$D$601,$D520)</f>
        <v>214</v>
      </c>
      <c r="F520" s="19">
        <f>SUMIFS('Stock Inflow'!$F$2:$F$601,'Stock Inflow'!$A$2:$A$601,$A520,'Stock Inflow'!$D$2:$D$601,$D520)</f>
        <v>45</v>
      </c>
      <c r="G520" s="19">
        <f>SUMIFS('Stock Inflow'!$E$2:$E$601,'Stock Inflow'!$A$2:$A$601,$A520,'Stock Inflow'!$D$2:$D$601,$D520)</f>
        <v>1</v>
      </c>
      <c r="H520" s="19">
        <f>SUMIFS('Stock Outflow'!$F$2:$F$601,'Stock Outflow'!$A$2:$A$601,$A520,'Stock Outflow'!$D$2:$D$601,$D520)</f>
        <v>40</v>
      </c>
      <c r="I520" s="19">
        <f>SUMIFS('Stock Outflow'!$E$2:$E$601,'Stock Outflow'!$A$2:$A$601,$A520,'Stock Outflow'!$D$2:$D$601,$D520)</f>
        <v>1</v>
      </c>
      <c r="J520" s="19">
        <f t="shared" si="48"/>
        <v>219</v>
      </c>
      <c r="K520" s="20">
        <f>INDEX('Item Master'!$F$2:$F$51,MATCH($A520,'Item Master'!$A$2:$A$51,0))</f>
        <v>450</v>
      </c>
      <c r="L520" s="20">
        <f t="shared" si="49"/>
        <v>18000</v>
      </c>
      <c r="M520" s="21">
        <f t="shared" si="50"/>
        <v>1.3333333333333333</v>
      </c>
      <c r="N520" s="19">
        <f>INDEX('Item Master'!$E$2:$E$51,MATCH($A520,'Item Master'!$A$2:$A$51,0))</f>
        <v>7</v>
      </c>
      <c r="O520" s="22">
        <f>INDEX('Product Summary'!$L$2:$L$51,MATCH($A520,'Product Summary'!$A$2:$A$51,0))</f>
        <v>5.9111111111111114</v>
      </c>
      <c r="P520" s="22">
        <f>INDEX('Product Summary'!$M$2:$M$51,MATCH($A520,'Product Summary'!$A$2:$A$51,0))</f>
        <v>14.809741248097414</v>
      </c>
      <c r="Q520" s="22">
        <f t="shared" si="51"/>
        <v>164.25</v>
      </c>
      <c r="R520" s="22">
        <f t="shared" si="52"/>
        <v>153.14269406392694</v>
      </c>
      <c r="S520" s="19" t="str">
        <f t="shared" si="53"/>
        <v>OVERSTOCK</v>
      </c>
    </row>
    <row r="521" spans="1:19" x14ac:dyDescent="0.3">
      <c r="A521" s="19" t="s">
        <v>158</v>
      </c>
      <c r="B521" s="19" t="s">
        <v>159</v>
      </c>
      <c r="C521" s="19" t="s">
        <v>46</v>
      </c>
      <c r="D521" s="19" t="s">
        <v>33</v>
      </c>
      <c r="E521" s="19">
        <f>SUMIFS('Stock Inflow'!$G$2:$G$601,'Stock Inflow'!$A$2:$A$601,$A521,'Stock Inflow'!$D$2:$D$601,$D521)</f>
        <v>219</v>
      </c>
      <c r="F521" s="19">
        <f>SUMIFS('Stock Inflow'!$F$2:$F$601,'Stock Inflow'!$A$2:$A$601,$A521,'Stock Inflow'!$D$2:$D$601,$D521)</f>
        <v>32</v>
      </c>
      <c r="G521" s="19">
        <f>SUMIFS('Stock Inflow'!$E$2:$E$601,'Stock Inflow'!$A$2:$A$601,$A521,'Stock Inflow'!$D$2:$D$601,$D521)</f>
        <v>1</v>
      </c>
      <c r="H521" s="19">
        <f>SUMIFS('Stock Outflow'!$F$2:$F$601,'Stock Outflow'!$A$2:$A$601,$A521,'Stock Outflow'!$D$2:$D$601,$D521)</f>
        <v>34</v>
      </c>
      <c r="I521" s="19">
        <f>SUMIFS('Stock Outflow'!$E$2:$E$601,'Stock Outflow'!$A$2:$A$601,$A521,'Stock Outflow'!$D$2:$D$601,$D521)</f>
        <v>0</v>
      </c>
      <c r="J521" s="19">
        <f t="shared" si="48"/>
        <v>218</v>
      </c>
      <c r="K521" s="20">
        <f>INDEX('Item Master'!$F$2:$F$51,MATCH($A521,'Item Master'!$A$2:$A$51,0))</f>
        <v>450</v>
      </c>
      <c r="L521" s="20">
        <f t="shared" si="49"/>
        <v>15300</v>
      </c>
      <c r="M521" s="21">
        <f t="shared" si="50"/>
        <v>1.1333333333333333</v>
      </c>
      <c r="N521" s="19">
        <f>INDEX('Item Master'!$E$2:$E$51,MATCH($A521,'Item Master'!$A$2:$A$51,0))</f>
        <v>7</v>
      </c>
      <c r="O521" s="22">
        <f>INDEX('Product Summary'!$L$2:$L$51,MATCH($A521,'Product Summary'!$A$2:$A$51,0))</f>
        <v>5.9111111111111114</v>
      </c>
      <c r="P521" s="22">
        <f>INDEX('Product Summary'!$M$2:$M$51,MATCH($A521,'Product Summary'!$A$2:$A$51,0))</f>
        <v>14.809741248097414</v>
      </c>
      <c r="Q521" s="22">
        <f t="shared" si="51"/>
        <v>192.35294117647058</v>
      </c>
      <c r="R521" s="22">
        <f t="shared" si="52"/>
        <v>179.28552242814933</v>
      </c>
      <c r="S521" s="19" t="str">
        <f t="shared" si="53"/>
        <v>OVERSTOCK</v>
      </c>
    </row>
    <row r="522" spans="1:19" x14ac:dyDescent="0.3">
      <c r="A522" s="19" t="s">
        <v>158</v>
      </c>
      <c r="B522" s="19" t="s">
        <v>159</v>
      </c>
      <c r="C522" s="19" t="s">
        <v>46</v>
      </c>
      <c r="D522" s="19" t="s">
        <v>35</v>
      </c>
      <c r="E522" s="19">
        <f>SUMIFS('Stock Inflow'!$G$2:$G$601,'Stock Inflow'!$A$2:$A$601,$A522,'Stock Inflow'!$D$2:$D$601,$D522)</f>
        <v>218</v>
      </c>
      <c r="F522" s="19">
        <f>SUMIFS('Stock Inflow'!$F$2:$F$601,'Stock Inflow'!$A$2:$A$601,$A522,'Stock Inflow'!$D$2:$D$601,$D522)</f>
        <v>41</v>
      </c>
      <c r="G522" s="19">
        <f>SUMIFS('Stock Inflow'!$E$2:$E$601,'Stock Inflow'!$A$2:$A$601,$A522,'Stock Inflow'!$D$2:$D$601,$D522)</f>
        <v>1</v>
      </c>
      <c r="H522" s="19">
        <f>SUMIFS('Stock Outflow'!$F$2:$F$601,'Stock Outflow'!$A$2:$A$601,$A522,'Stock Outflow'!$D$2:$D$601,$D522)</f>
        <v>39</v>
      </c>
      <c r="I522" s="19">
        <f>SUMIFS('Stock Outflow'!$E$2:$E$601,'Stock Outflow'!$A$2:$A$601,$A522,'Stock Outflow'!$D$2:$D$601,$D522)</f>
        <v>0</v>
      </c>
      <c r="J522" s="19">
        <f t="shared" si="48"/>
        <v>221</v>
      </c>
      <c r="K522" s="20">
        <f>INDEX('Item Master'!$F$2:$F$51,MATCH($A522,'Item Master'!$A$2:$A$51,0))</f>
        <v>450</v>
      </c>
      <c r="L522" s="20">
        <f t="shared" si="49"/>
        <v>17550</v>
      </c>
      <c r="M522" s="21">
        <f t="shared" si="50"/>
        <v>1.3</v>
      </c>
      <c r="N522" s="19">
        <f>INDEX('Item Master'!$E$2:$E$51,MATCH($A522,'Item Master'!$A$2:$A$51,0))</f>
        <v>7</v>
      </c>
      <c r="O522" s="22">
        <f>INDEX('Product Summary'!$L$2:$L$51,MATCH($A522,'Product Summary'!$A$2:$A$51,0))</f>
        <v>5.9111111111111114</v>
      </c>
      <c r="P522" s="22">
        <f>INDEX('Product Summary'!$M$2:$M$51,MATCH($A522,'Product Summary'!$A$2:$A$51,0))</f>
        <v>14.809741248097414</v>
      </c>
      <c r="Q522" s="22">
        <f t="shared" si="51"/>
        <v>170</v>
      </c>
      <c r="R522" s="22">
        <f t="shared" si="52"/>
        <v>158.60789134761737</v>
      </c>
      <c r="S522" s="19" t="str">
        <f t="shared" si="53"/>
        <v>OVERSTOCK</v>
      </c>
    </row>
    <row r="523" spans="1:19" x14ac:dyDescent="0.3">
      <c r="A523" s="19" t="s">
        <v>158</v>
      </c>
      <c r="B523" s="19" t="s">
        <v>159</v>
      </c>
      <c r="C523" s="19" t="s">
        <v>46</v>
      </c>
      <c r="D523" s="19" t="s">
        <v>37</v>
      </c>
      <c r="E523" s="19">
        <f>SUMIFS('Stock Inflow'!$G$2:$G$601,'Stock Inflow'!$A$2:$A$601,$A523,'Stock Inflow'!$D$2:$D$601,$D523)</f>
        <v>221</v>
      </c>
      <c r="F523" s="19">
        <f>SUMIFS('Stock Inflow'!$F$2:$F$601,'Stock Inflow'!$A$2:$A$601,$A523,'Stock Inflow'!$D$2:$D$601,$D523)</f>
        <v>36</v>
      </c>
      <c r="G523" s="19">
        <f>SUMIFS('Stock Inflow'!$E$2:$E$601,'Stock Inflow'!$A$2:$A$601,$A523,'Stock Inflow'!$D$2:$D$601,$D523)</f>
        <v>2</v>
      </c>
      <c r="H523" s="19">
        <f>SUMIFS('Stock Outflow'!$F$2:$F$601,'Stock Outflow'!$A$2:$A$601,$A523,'Stock Outflow'!$D$2:$D$601,$D523)</f>
        <v>38</v>
      </c>
      <c r="I523" s="19">
        <f>SUMIFS('Stock Outflow'!$E$2:$E$601,'Stock Outflow'!$A$2:$A$601,$A523,'Stock Outflow'!$D$2:$D$601,$D523)</f>
        <v>1</v>
      </c>
      <c r="J523" s="19">
        <f t="shared" si="48"/>
        <v>220</v>
      </c>
      <c r="K523" s="20">
        <f>INDEX('Item Master'!$F$2:$F$51,MATCH($A523,'Item Master'!$A$2:$A$51,0))</f>
        <v>450</v>
      </c>
      <c r="L523" s="20">
        <f t="shared" si="49"/>
        <v>17100</v>
      </c>
      <c r="M523" s="21">
        <f t="shared" si="50"/>
        <v>1.2666666666666666</v>
      </c>
      <c r="N523" s="19">
        <f>INDEX('Item Master'!$E$2:$E$51,MATCH($A523,'Item Master'!$A$2:$A$51,0))</f>
        <v>7</v>
      </c>
      <c r="O523" s="22">
        <f>INDEX('Product Summary'!$L$2:$L$51,MATCH($A523,'Product Summary'!$A$2:$A$51,0))</f>
        <v>5.9111111111111114</v>
      </c>
      <c r="P523" s="22">
        <f>INDEX('Product Summary'!$M$2:$M$51,MATCH($A523,'Product Summary'!$A$2:$A$51,0))</f>
        <v>14.809741248097414</v>
      </c>
      <c r="Q523" s="22">
        <f t="shared" si="51"/>
        <v>173.68421052631581</v>
      </c>
      <c r="R523" s="22">
        <f t="shared" si="52"/>
        <v>161.99230954097573</v>
      </c>
      <c r="S523" s="19" t="str">
        <f t="shared" si="53"/>
        <v>OVERSTOCK</v>
      </c>
    </row>
    <row r="524" spans="1:19" x14ac:dyDescent="0.3">
      <c r="A524" s="19" t="s">
        <v>158</v>
      </c>
      <c r="B524" s="19" t="s">
        <v>159</v>
      </c>
      <c r="C524" s="19" t="s">
        <v>46</v>
      </c>
      <c r="D524" s="19" t="s">
        <v>39</v>
      </c>
      <c r="E524" s="19">
        <f>SUMIFS('Stock Inflow'!$G$2:$G$601,'Stock Inflow'!$A$2:$A$601,$A524,'Stock Inflow'!$D$2:$D$601,$D524)</f>
        <v>220</v>
      </c>
      <c r="F524" s="19">
        <f>SUMIFS('Stock Inflow'!$F$2:$F$601,'Stock Inflow'!$A$2:$A$601,$A524,'Stock Inflow'!$D$2:$D$601,$D524)</f>
        <v>45</v>
      </c>
      <c r="G524" s="19">
        <f>SUMIFS('Stock Inflow'!$E$2:$E$601,'Stock Inflow'!$A$2:$A$601,$A524,'Stock Inflow'!$D$2:$D$601,$D524)</f>
        <v>0</v>
      </c>
      <c r="H524" s="19">
        <f>SUMIFS('Stock Outflow'!$F$2:$F$601,'Stock Outflow'!$A$2:$A$601,$A524,'Stock Outflow'!$D$2:$D$601,$D524)</f>
        <v>35</v>
      </c>
      <c r="I524" s="19">
        <f>SUMIFS('Stock Outflow'!$E$2:$E$601,'Stock Outflow'!$A$2:$A$601,$A524,'Stock Outflow'!$D$2:$D$601,$D524)</f>
        <v>1</v>
      </c>
      <c r="J524" s="19">
        <f t="shared" si="48"/>
        <v>229</v>
      </c>
      <c r="K524" s="20">
        <f>INDEX('Item Master'!$F$2:$F$51,MATCH($A524,'Item Master'!$A$2:$A$51,0))</f>
        <v>450</v>
      </c>
      <c r="L524" s="20">
        <f t="shared" si="49"/>
        <v>15750</v>
      </c>
      <c r="M524" s="21">
        <f t="shared" si="50"/>
        <v>1.1666666666666667</v>
      </c>
      <c r="N524" s="19">
        <f>INDEX('Item Master'!$E$2:$E$51,MATCH($A524,'Item Master'!$A$2:$A$51,0))</f>
        <v>7</v>
      </c>
      <c r="O524" s="22">
        <f>INDEX('Product Summary'!$L$2:$L$51,MATCH($A524,'Product Summary'!$A$2:$A$51,0))</f>
        <v>5.9111111111111114</v>
      </c>
      <c r="P524" s="22">
        <f>INDEX('Product Summary'!$M$2:$M$51,MATCH($A524,'Product Summary'!$A$2:$A$51,0))</f>
        <v>14.809741248097414</v>
      </c>
      <c r="Q524" s="22">
        <f t="shared" si="51"/>
        <v>196.28571428571428</v>
      </c>
      <c r="R524" s="22">
        <f t="shared" si="52"/>
        <v>183.59165035877362</v>
      </c>
      <c r="S524" s="19" t="str">
        <f t="shared" si="53"/>
        <v>OVERSTOCK</v>
      </c>
    </row>
    <row r="525" spans="1:19" x14ac:dyDescent="0.3">
      <c r="A525" s="19" t="s">
        <v>158</v>
      </c>
      <c r="B525" s="19" t="s">
        <v>159</v>
      </c>
      <c r="C525" s="19" t="s">
        <v>46</v>
      </c>
      <c r="D525" s="19" t="s">
        <v>41</v>
      </c>
      <c r="E525" s="19">
        <f>SUMIFS('Stock Inflow'!$G$2:$G$601,'Stock Inflow'!$A$2:$A$601,$A525,'Stock Inflow'!$D$2:$D$601,$D525)</f>
        <v>229</v>
      </c>
      <c r="F525" s="19">
        <f>SUMIFS('Stock Inflow'!$F$2:$F$601,'Stock Inflow'!$A$2:$A$601,$A525,'Stock Inflow'!$D$2:$D$601,$D525)</f>
        <v>40</v>
      </c>
      <c r="G525" s="19">
        <f>SUMIFS('Stock Inflow'!$E$2:$E$601,'Stock Inflow'!$A$2:$A$601,$A525,'Stock Inflow'!$D$2:$D$601,$D525)</f>
        <v>1</v>
      </c>
      <c r="H525" s="19">
        <f>SUMIFS('Stock Outflow'!$F$2:$F$601,'Stock Outflow'!$A$2:$A$601,$A525,'Stock Outflow'!$D$2:$D$601,$D525)</f>
        <v>39</v>
      </c>
      <c r="I525" s="19">
        <f>SUMIFS('Stock Outflow'!$E$2:$E$601,'Stock Outflow'!$A$2:$A$601,$A525,'Stock Outflow'!$D$2:$D$601,$D525)</f>
        <v>1</v>
      </c>
      <c r="J525" s="19">
        <f t="shared" si="48"/>
        <v>230</v>
      </c>
      <c r="K525" s="20">
        <f>INDEX('Item Master'!$F$2:$F$51,MATCH($A525,'Item Master'!$A$2:$A$51,0))</f>
        <v>450</v>
      </c>
      <c r="L525" s="20">
        <f t="shared" si="49"/>
        <v>17550</v>
      </c>
      <c r="M525" s="21">
        <f t="shared" si="50"/>
        <v>1.3</v>
      </c>
      <c r="N525" s="19">
        <f>INDEX('Item Master'!$E$2:$E$51,MATCH($A525,'Item Master'!$A$2:$A$51,0))</f>
        <v>7</v>
      </c>
      <c r="O525" s="22">
        <f>INDEX('Product Summary'!$L$2:$L$51,MATCH($A525,'Product Summary'!$A$2:$A$51,0))</f>
        <v>5.9111111111111114</v>
      </c>
      <c r="P525" s="22">
        <f>INDEX('Product Summary'!$M$2:$M$51,MATCH($A525,'Product Summary'!$A$2:$A$51,0))</f>
        <v>14.809741248097414</v>
      </c>
      <c r="Q525" s="22">
        <f t="shared" si="51"/>
        <v>176.92307692307691</v>
      </c>
      <c r="R525" s="22">
        <f t="shared" si="52"/>
        <v>165.53096827069427</v>
      </c>
      <c r="S525" s="19" t="str">
        <f t="shared" si="53"/>
        <v>OVERSTOCK</v>
      </c>
    </row>
    <row r="526" spans="1:19" x14ac:dyDescent="0.3">
      <c r="A526" s="19" t="s">
        <v>158</v>
      </c>
      <c r="B526" s="19" t="s">
        <v>159</v>
      </c>
      <c r="C526" s="19" t="s">
        <v>46</v>
      </c>
      <c r="D526" s="19" t="s">
        <v>43</v>
      </c>
      <c r="E526" s="19">
        <f>SUMIFS('Stock Inflow'!$G$2:$G$601,'Stock Inflow'!$A$2:$A$601,$A526,'Stock Inflow'!$D$2:$D$601,$D526)</f>
        <v>230</v>
      </c>
      <c r="F526" s="19">
        <f>SUMIFS('Stock Inflow'!$F$2:$F$601,'Stock Inflow'!$A$2:$A$601,$A526,'Stock Inflow'!$D$2:$D$601,$D526)</f>
        <v>41</v>
      </c>
      <c r="G526" s="19">
        <f>SUMIFS('Stock Inflow'!$E$2:$E$601,'Stock Inflow'!$A$2:$A$601,$A526,'Stock Inflow'!$D$2:$D$601,$D526)</f>
        <v>0</v>
      </c>
      <c r="H526" s="19">
        <f>SUMIFS('Stock Outflow'!$F$2:$F$601,'Stock Outflow'!$A$2:$A$601,$A526,'Stock Outflow'!$D$2:$D$601,$D526)</f>
        <v>34</v>
      </c>
      <c r="I526" s="19">
        <f>SUMIFS('Stock Outflow'!$E$2:$E$601,'Stock Outflow'!$A$2:$A$601,$A526,'Stock Outflow'!$D$2:$D$601,$D526)</f>
        <v>0</v>
      </c>
      <c r="J526" s="19">
        <f t="shared" si="48"/>
        <v>237</v>
      </c>
      <c r="K526" s="20">
        <f>INDEX('Item Master'!$F$2:$F$51,MATCH($A526,'Item Master'!$A$2:$A$51,0))</f>
        <v>450</v>
      </c>
      <c r="L526" s="20">
        <f t="shared" si="49"/>
        <v>15300</v>
      </c>
      <c r="M526" s="21">
        <f t="shared" si="50"/>
        <v>1.1333333333333333</v>
      </c>
      <c r="N526" s="19">
        <f>INDEX('Item Master'!$E$2:$E$51,MATCH($A526,'Item Master'!$A$2:$A$51,0))</f>
        <v>7</v>
      </c>
      <c r="O526" s="22">
        <f>INDEX('Product Summary'!$L$2:$L$51,MATCH($A526,'Product Summary'!$A$2:$A$51,0))</f>
        <v>5.9111111111111114</v>
      </c>
      <c r="P526" s="22">
        <f>INDEX('Product Summary'!$M$2:$M$51,MATCH($A526,'Product Summary'!$A$2:$A$51,0))</f>
        <v>14.809741248097414</v>
      </c>
      <c r="Q526" s="22">
        <f t="shared" si="51"/>
        <v>209.11764705882354</v>
      </c>
      <c r="R526" s="22">
        <f t="shared" si="52"/>
        <v>196.05022831050229</v>
      </c>
      <c r="S526" s="19" t="str">
        <f t="shared" si="53"/>
        <v>OVERSTOCK</v>
      </c>
    </row>
    <row r="527" spans="1:19" x14ac:dyDescent="0.3">
      <c r="A527" s="19" t="s">
        <v>158</v>
      </c>
      <c r="B527" s="19" t="s">
        <v>159</v>
      </c>
      <c r="C527" s="19" t="s">
        <v>46</v>
      </c>
      <c r="D527" s="19" t="s">
        <v>45</v>
      </c>
      <c r="E527" s="19">
        <f>SUMIFS('Stock Inflow'!$G$2:$G$601,'Stock Inflow'!$A$2:$A$601,$A527,'Stock Inflow'!$D$2:$D$601,$D527)</f>
        <v>237</v>
      </c>
      <c r="F527" s="19">
        <f>SUMIFS('Stock Inflow'!$F$2:$F$601,'Stock Inflow'!$A$2:$A$601,$A527,'Stock Inflow'!$D$2:$D$601,$D527)</f>
        <v>70</v>
      </c>
      <c r="G527" s="19">
        <f>SUMIFS('Stock Inflow'!$E$2:$E$601,'Stock Inflow'!$A$2:$A$601,$A527,'Stock Inflow'!$D$2:$D$601,$D527)</f>
        <v>1</v>
      </c>
      <c r="H527" s="19">
        <f>SUMIFS('Stock Outflow'!$F$2:$F$601,'Stock Outflow'!$A$2:$A$601,$A527,'Stock Outflow'!$D$2:$D$601,$D527)</f>
        <v>64</v>
      </c>
      <c r="I527" s="19">
        <f>SUMIFS('Stock Outflow'!$E$2:$E$601,'Stock Outflow'!$A$2:$A$601,$A527,'Stock Outflow'!$D$2:$D$601,$D527)</f>
        <v>2</v>
      </c>
      <c r="J527" s="19">
        <f t="shared" si="48"/>
        <v>242</v>
      </c>
      <c r="K527" s="20">
        <f>INDEX('Item Master'!$F$2:$F$51,MATCH($A527,'Item Master'!$A$2:$A$51,0))</f>
        <v>450</v>
      </c>
      <c r="L527" s="20">
        <f t="shared" si="49"/>
        <v>28800</v>
      </c>
      <c r="M527" s="21">
        <f t="shared" si="50"/>
        <v>2.1333333333333333</v>
      </c>
      <c r="N527" s="19">
        <f>INDEX('Item Master'!$E$2:$E$51,MATCH($A527,'Item Master'!$A$2:$A$51,0))</f>
        <v>7</v>
      </c>
      <c r="O527" s="22">
        <f>INDEX('Product Summary'!$L$2:$L$51,MATCH($A527,'Product Summary'!$A$2:$A$51,0))</f>
        <v>5.9111111111111114</v>
      </c>
      <c r="P527" s="22">
        <f>INDEX('Product Summary'!$M$2:$M$51,MATCH($A527,'Product Summary'!$A$2:$A$51,0))</f>
        <v>14.809741248097414</v>
      </c>
      <c r="Q527" s="22">
        <f t="shared" si="51"/>
        <v>113.4375</v>
      </c>
      <c r="R527" s="22">
        <f t="shared" si="52"/>
        <v>106.49543378995433</v>
      </c>
      <c r="S527" s="19" t="str">
        <f t="shared" si="53"/>
        <v>HEALTHY</v>
      </c>
    </row>
    <row r="528" spans="1:19" x14ac:dyDescent="0.3">
      <c r="A528" s="19" t="s">
        <v>158</v>
      </c>
      <c r="B528" s="19" t="s">
        <v>159</v>
      </c>
      <c r="C528" s="19" t="s">
        <v>46</v>
      </c>
      <c r="D528" s="19" t="s">
        <v>47</v>
      </c>
      <c r="E528" s="19">
        <f>SUMIFS('Stock Inflow'!$G$2:$G$601,'Stock Inflow'!$A$2:$A$601,$A528,'Stock Inflow'!$D$2:$D$601,$D528)</f>
        <v>242</v>
      </c>
      <c r="F528" s="19">
        <f>SUMIFS('Stock Inflow'!$F$2:$F$601,'Stock Inflow'!$A$2:$A$601,$A528,'Stock Inflow'!$D$2:$D$601,$D528)</f>
        <v>46</v>
      </c>
      <c r="G528" s="19">
        <f>SUMIFS('Stock Inflow'!$E$2:$E$601,'Stock Inflow'!$A$2:$A$601,$A528,'Stock Inflow'!$D$2:$D$601,$D528)</f>
        <v>1</v>
      </c>
      <c r="H528" s="19">
        <f>SUMIFS('Stock Outflow'!$F$2:$F$601,'Stock Outflow'!$A$2:$A$601,$A528,'Stock Outflow'!$D$2:$D$601,$D528)</f>
        <v>39</v>
      </c>
      <c r="I528" s="19">
        <f>SUMIFS('Stock Outflow'!$E$2:$E$601,'Stock Outflow'!$A$2:$A$601,$A528,'Stock Outflow'!$D$2:$D$601,$D528)</f>
        <v>0</v>
      </c>
      <c r="J528" s="19">
        <f t="shared" si="48"/>
        <v>250</v>
      </c>
      <c r="K528" s="20">
        <f>INDEX('Item Master'!$F$2:$F$51,MATCH($A528,'Item Master'!$A$2:$A$51,0))</f>
        <v>450</v>
      </c>
      <c r="L528" s="20">
        <f t="shared" si="49"/>
        <v>17550</v>
      </c>
      <c r="M528" s="21">
        <f t="shared" si="50"/>
        <v>1.3</v>
      </c>
      <c r="N528" s="19">
        <f>INDEX('Item Master'!$E$2:$E$51,MATCH($A528,'Item Master'!$A$2:$A$51,0))</f>
        <v>7</v>
      </c>
      <c r="O528" s="22">
        <f>INDEX('Product Summary'!$L$2:$L$51,MATCH($A528,'Product Summary'!$A$2:$A$51,0))</f>
        <v>5.9111111111111114</v>
      </c>
      <c r="P528" s="22">
        <f>INDEX('Product Summary'!$M$2:$M$51,MATCH($A528,'Product Summary'!$A$2:$A$51,0))</f>
        <v>14.809741248097414</v>
      </c>
      <c r="Q528" s="22">
        <f t="shared" si="51"/>
        <v>192.30769230769229</v>
      </c>
      <c r="R528" s="22">
        <f t="shared" si="52"/>
        <v>180.91558365530966</v>
      </c>
      <c r="S528" s="19" t="str">
        <f t="shared" si="53"/>
        <v>OVERSTOCK</v>
      </c>
    </row>
    <row r="529" spans="1:19" x14ac:dyDescent="0.3">
      <c r="A529" s="19" t="s">
        <v>158</v>
      </c>
      <c r="B529" s="19" t="s">
        <v>159</v>
      </c>
      <c r="C529" s="19" t="s">
        <v>46</v>
      </c>
      <c r="D529" s="19" t="s">
        <v>49</v>
      </c>
      <c r="E529" s="19">
        <f>SUMIFS('Stock Inflow'!$G$2:$G$601,'Stock Inflow'!$A$2:$A$601,$A529,'Stock Inflow'!$D$2:$D$601,$D529)</f>
        <v>250</v>
      </c>
      <c r="F529" s="19">
        <f>SUMIFS('Stock Inflow'!$F$2:$F$601,'Stock Inflow'!$A$2:$A$601,$A529,'Stock Inflow'!$D$2:$D$601,$D529)</f>
        <v>44</v>
      </c>
      <c r="G529" s="19">
        <f>SUMIFS('Stock Inflow'!$E$2:$E$601,'Stock Inflow'!$A$2:$A$601,$A529,'Stock Inflow'!$D$2:$D$601,$D529)</f>
        <v>1</v>
      </c>
      <c r="H529" s="19">
        <f>SUMIFS('Stock Outflow'!$F$2:$F$601,'Stock Outflow'!$A$2:$A$601,$A529,'Stock Outflow'!$D$2:$D$601,$D529)</f>
        <v>36</v>
      </c>
      <c r="I529" s="19">
        <f>SUMIFS('Stock Outflow'!$E$2:$E$601,'Stock Outflow'!$A$2:$A$601,$A529,'Stock Outflow'!$D$2:$D$601,$D529)</f>
        <v>0</v>
      </c>
      <c r="J529" s="19">
        <f t="shared" si="48"/>
        <v>259</v>
      </c>
      <c r="K529" s="20">
        <f>INDEX('Item Master'!$F$2:$F$51,MATCH($A529,'Item Master'!$A$2:$A$51,0))</f>
        <v>450</v>
      </c>
      <c r="L529" s="20">
        <f t="shared" si="49"/>
        <v>16200</v>
      </c>
      <c r="M529" s="21">
        <f t="shared" si="50"/>
        <v>1.2</v>
      </c>
      <c r="N529" s="19">
        <f>INDEX('Item Master'!$E$2:$E$51,MATCH($A529,'Item Master'!$A$2:$A$51,0))</f>
        <v>7</v>
      </c>
      <c r="O529" s="22">
        <f>INDEX('Product Summary'!$L$2:$L$51,MATCH($A529,'Product Summary'!$A$2:$A$51,0))</f>
        <v>5.9111111111111114</v>
      </c>
      <c r="P529" s="22">
        <f>INDEX('Product Summary'!$M$2:$M$51,MATCH($A529,'Product Summary'!$A$2:$A$51,0))</f>
        <v>14.809741248097414</v>
      </c>
      <c r="Q529" s="22">
        <f t="shared" si="51"/>
        <v>215.83333333333334</v>
      </c>
      <c r="R529" s="22">
        <f t="shared" si="52"/>
        <v>203.49188229325216</v>
      </c>
      <c r="S529" s="19" t="str">
        <f t="shared" si="53"/>
        <v>OVERSTOCK</v>
      </c>
    </row>
    <row r="530" spans="1:19" x14ac:dyDescent="0.3">
      <c r="A530" s="19" t="s">
        <v>160</v>
      </c>
      <c r="B530" s="19" t="s">
        <v>161</v>
      </c>
      <c r="C530" s="19" t="s">
        <v>46</v>
      </c>
      <c r="D530" s="19" t="s">
        <v>27</v>
      </c>
      <c r="E530" s="19">
        <f>SUMIFS('Stock Inflow'!$G$2:$G$601,'Stock Inflow'!$A$2:$A$601,$A530,'Stock Inflow'!$D$2:$D$601,$D530)</f>
        <v>158</v>
      </c>
      <c r="F530" s="19">
        <f>SUMIFS('Stock Inflow'!$F$2:$F$601,'Stock Inflow'!$A$2:$A$601,$A530,'Stock Inflow'!$D$2:$D$601,$D530)</f>
        <v>32</v>
      </c>
      <c r="G530" s="19">
        <f>SUMIFS('Stock Inflow'!$E$2:$E$601,'Stock Inflow'!$A$2:$A$601,$A530,'Stock Inflow'!$D$2:$D$601,$D530)</f>
        <v>0</v>
      </c>
      <c r="H530" s="19">
        <f>SUMIFS('Stock Outflow'!$F$2:$F$601,'Stock Outflow'!$A$2:$A$601,$A530,'Stock Outflow'!$D$2:$D$601,$D530)</f>
        <v>31</v>
      </c>
      <c r="I530" s="19">
        <f>SUMIFS('Stock Outflow'!$E$2:$E$601,'Stock Outflow'!$A$2:$A$601,$A530,'Stock Outflow'!$D$2:$D$601,$D530)</f>
        <v>0</v>
      </c>
      <c r="J530" s="19">
        <f t="shared" si="48"/>
        <v>159</v>
      </c>
      <c r="K530" s="20">
        <f>INDEX('Item Master'!$F$2:$F$51,MATCH($A530,'Item Master'!$A$2:$A$51,0))</f>
        <v>3200</v>
      </c>
      <c r="L530" s="20">
        <f t="shared" si="49"/>
        <v>99200</v>
      </c>
      <c r="M530" s="21">
        <f t="shared" si="50"/>
        <v>1.0333333333333334</v>
      </c>
      <c r="N530" s="19">
        <f>INDEX('Item Master'!$E$2:$E$51,MATCH($A530,'Item Master'!$A$2:$A$51,0))</f>
        <v>7</v>
      </c>
      <c r="O530" s="22">
        <f>INDEX('Product Summary'!$L$2:$L$51,MATCH($A530,'Product Summary'!$A$2:$A$51,0))</f>
        <v>3.2666666666666666</v>
      </c>
      <c r="P530" s="22">
        <f>INDEX('Product Summary'!$M$2:$M$51,MATCH($A530,'Product Summary'!$A$2:$A$51,0))</f>
        <v>9.9406392694063932</v>
      </c>
      <c r="Q530" s="22">
        <f t="shared" si="51"/>
        <v>153.87096774193546</v>
      </c>
      <c r="R530" s="22">
        <f t="shared" si="52"/>
        <v>144.25099425541313</v>
      </c>
      <c r="S530" s="19" t="str">
        <f t="shared" si="53"/>
        <v>OVERSTOCK</v>
      </c>
    </row>
    <row r="531" spans="1:19" x14ac:dyDescent="0.3">
      <c r="A531" s="19" t="s">
        <v>160</v>
      </c>
      <c r="B531" s="19" t="s">
        <v>161</v>
      </c>
      <c r="C531" s="19" t="s">
        <v>46</v>
      </c>
      <c r="D531" s="19" t="s">
        <v>29</v>
      </c>
      <c r="E531" s="19">
        <f>SUMIFS('Stock Inflow'!$G$2:$G$601,'Stock Inflow'!$A$2:$A$601,$A531,'Stock Inflow'!$D$2:$D$601,$D531)</f>
        <v>159</v>
      </c>
      <c r="F531" s="19">
        <f>SUMIFS('Stock Inflow'!$F$2:$F$601,'Stock Inflow'!$A$2:$A$601,$A531,'Stock Inflow'!$D$2:$D$601,$D531)</f>
        <v>28</v>
      </c>
      <c r="G531" s="19">
        <f>SUMIFS('Stock Inflow'!$E$2:$E$601,'Stock Inflow'!$A$2:$A$601,$A531,'Stock Inflow'!$D$2:$D$601,$D531)</f>
        <v>0</v>
      </c>
      <c r="H531" s="19">
        <f>SUMIFS('Stock Outflow'!$F$2:$F$601,'Stock Outflow'!$A$2:$A$601,$A531,'Stock Outflow'!$D$2:$D$601,$D531)</f>
        <v>27</v>
      </c>
      <c r="I531" s="19">
        <f>SUMIFS('Stock Outflow'!$E$2:$E$601,'Stock Outflow'!$A$2:$A$601,$A531,'Stock Outflow'!$D$2:$D$601,$D531)</f>
        <v>0</v>
      </c>
      <c r="J531" s="19">
        <f t="shared" si="48"/>
        <v>160</v>
      </c>
      <c r="K531" s="20">
        <f>INDEX('Item Master'!$F$2:$F$51,MATCH($A531,'Item Master'!$A$2:$A$51,0))</f>
        <v>3200</v>
      </c>
      <c r="L531" s="20">
        <f t="shared" si="49"/>
        <v>86400</v>
      </c>
      <c r="M531" s="21">
        <f t="shared" si="50"/>
        <v>0.9</v>
      </c>
      <c r="N531" s="19">
        <f>INDEX('Item Master'!$E$2:$E$51,MATCH($A531,'Item Master'!$A$2:$A$51,0))</f>
        <v>7</v>
      </c>
      <c r="O531" s="22">
        <f>INDEX('Product Summary'!$L$2:$L$51,MATCH($A531,'Product Summary'!$A$2:$A$51,0))</f>
        <v>3.2666666666666666</v>
      </c>
      <c r="P531" s="22">
        <f>INDEX('Product Summary'!$M$2:$M$51,MATCH($A531,'Product Summary'!$A$2:$A$51,0))</f>
        <v>9.9406392694063932</v>
      </c>
      <c r="Q531" s="22">
        <f t="shared" si="51"/>
        <v>177.77777777777777</v>
      </c>
      <c r="R531" s="22">
        <f t="shared" si="52"/>
        <v>166.73262303399289</v>
      </c>
      <c r="S531" s="19" t="str">
        <f t="shared" si="53"/>
        <v>OVERSTOCK</v>
      </c>
    </row>
    <row r="532" spans="1:19" x14ac:dyDescent="0.3">
      <c r="A532" s="19" t="s">
        <v>160</v>
      </c>
      <c r="B532" s="19" t="s">
        <v>161</v>
      </c>
      <c r="C532" s="19" t="s">
        <v>46</v>
      </c>
      <c r="D532" s="19" t="s">
        <v>31</v>
      </c>
      <c r="E532" s="19">
        <f>SUMIFS('Stock Inflow'!$G$2:$G$601,'Stock Inflow'!$A$2:$A$601,$A532,'Stock Inflow'!$D$2:$D$601,$D532)</f>
        <v>160</v>
      </c>
      <c r="F532" s="19">
        <f>SUMIFS('Stock Inflow'!$F$2:$F$601,'Stock Inflow'!$A$2:$A$601,$A532,'Stock Inflow'!$D$2:$D$601,$D532)</f>
        <v>28</v>
      </c>
      <c r="G532" s="19">
        <f>SUMIFS('Stock Inflow'!$E$2:$E$601,'Stock Inflow'!$A$2:$A$601,$A532,'Stock Inflow'!$D$2:$D$601,$D532)</f>
        <v>1</v>
      </c>
      <c r="H532" s="19">
        <f>SUMIFS('Stock Outflow'!$F$2:$F$601,'Stock Outflow'!$A$2:$A$601,$A532,'Stock Outflow'!$D$2:$D$601,$D532)</f>
        <v>26</v>
      </c>
      <c r="I532" s="19">
        <f>SUMIFS('Stock Outflow'!$E$2:$E$601,'Stock Outflow'!$A$2:$A$601,$A532,'Stock Outflow'!$D$2:$D$601,$D532)</f>
        <v>0</v>
      </c>
      <c r="J532" s="19">
        <f t="shared" si="48"/>
        <v>163</v>
      </c>
      <c r="K532" s="20">
        <f>INDEX('Item Master'!$F$2:$F$51,MATCH($A532,'Item Master'!$A$2:$A$51,0))</f>
        <v>3200</v>
      </c>
      <c r="L532" s="20">
        <f t="shared" si="49"/>
        <v>83200</v>
      </c>
      <c r="M532" s="21">
        <f t="shared" si="50"/>
        <v>0.8666666666666667</v>
      </c>
      <c r="N532" s="19">
        <f>INDEX('Item Master'!$E$2:$E$51,MATCH($A532,'Item Master'!$A$2:$A$51,0))</f>
        <v>7</v>
      </c>
      <c r="O532" s="22">
        <f>INDEX('Product Summary'!$L$2:$L$51,MATCH($A532,'Product Summary'!$A$2:$A$51,0))</f>
        <v>3.2666666666666666</v>
      </c>
      <c r="P532" s="22">
        <f>INDEX('Product Summary'!$M$2:$M$51,MATCH($A532,'Product Summary'!$A$2:$A$51,0))</f>
        <v>9.9406392694063932</v>
      </c>
      <c r="Q532" s="22">
        <f t="shared" si="51"/>
        <v>188.07692307692307</v>
      </c>
      <c r="R532" s="22">
        <f t="shared" si="52"/>
        <v>176.60695468914645</v>
      </c>
      <c r="S532" s="19" t="str">
        <f t="shared" si="53"/>
        <v>OVERSTOCK</v>
      </c>
    </row>
    <row r="533" spans="1:19" x14ac:dyDescent="0.3">
      <c r="A533" s="19" t="s">
        <v>160</v>
      </c>
      <c r="B533" s="19" t="s">
        <v>161</v>
      </c>
      <c r="C533" s="19" t="s">
        <v>46</v>
      </c>
      <c r="D533" s="19" t="s">
        <v>33</v>
      </c>
      <c r="E533" s="19">
        <f>SUMIFS('Stock Inflow'!$G$2:$G$601,'Stock Inflow'!$A$2:$A$601,$A533,'Stock Inflow'!$D$2:$D$601,$D533)</f>
        <v>163</v>
      </c>
      <c r="F533" s="19">
        <f>SUMIFS('Stock Inflow'!$F$2:$F$601,'Stock Inflow'!$A$2:$A$601,$A533,'Stock Inflow'!$D$2:$D$601,$D533)</f>
        <v>26</v>
      </c>
      <c r="G533" s="19">
        <f>SUMIFS('Stock Inflow'!$E$2:$E$601,'Stock Inflow'!$A$2:$A$601,$A533,'Stock Inflow'!$D$2:$D$601,$D533)</f>
        <v>0</v>
      </c>
      <c r="H533" s="19">
        <f>SUMIFS('Stock Outflow'!$F$2:$F$601,'Stock Outflow'!$A$2:$A$601,$A533,'Stock Outflow'!$D$2:$D$601,$D533)</f>
        <v>25</v>
      </c>
      <c r="I533" s="19">
        <f>SUMIFS('Stock Outflow'!$E$2:$E$601,'Stock Outflow'!$A$2:$A$601,$A533,'Stock Outflow'!$D$2:$D$601,$D533)</f>
        <v>0</v>
      </c>
      <c r="J533" s="19">
        <f t="shared" si="48"/>
        <v>164</v>
      </c>
      <c r="K533" s="20">
        <f>INDEX('Item Master'!$F$2:$F$51,MATCH($A533,'Item Master'!$A$2:$A$51,0))</f>
        <v>3200</v>
      </c>
      <c r="L533" s="20">
        <f t="shared" si="49"/>
        <v>80000</v>
      </c>
      <c r="M533" s="21">
        <f t="shared" si="50"/>
        <v>0.83333333333333337</v>
      </c>
      <c r="N533" s="19">
        <f>INDEX('Item Master'!$E$2:$E$51,MATCH($A533,'Item Master'!$A$2:$A$51,0))</f>
        <v>7</v>
      </c>
      <c r="O533" s="22">
        <f>INDEX('Product Summary'!$L$2:$L$51,MATCH($A533,'Product Summary'!$A$2:$A$51,0))</f>
        <v>3.2666666666666666</v>
      </c>
      <c r="P533" s="22">
        <f>INDEX('Product Summary'!$M$2:$M$51,MATCH($A533,'Product Summary'!$A$2:$A$51,0))</f>
        <v>9.9406392694063932</v>
      </c>
      <c r="Q533" s="22">
        <f t="shared" si="51"/>
        <v>196.79999999999998</v>
      </c>
      <c r="R533" s="22">
        <f t="shared" si="52"/>
        <v>184.8712328767123</v>
      </c>
      <c r="S533" s="19" t="str">
        <f t="shared" si="53"/>
        <v>OVERSTOCK</v>
      </c>
    </row>
    <row r="534" spans="1:19" x14ac:dyDescent="0.3">
      <c r="A534" s="19" t="s">
        <v>160</v>
      </c>
      <c r="B534" s="19" t="s">
        <v>161</v>
      </c>
      <c r="C534" s="19" t="s">
        <v>46</v>
      </c>
      <c r="D534" s="19" t="s">
        <v>35</v>
      </c>
      <c r="E534" s="19">
        <f>SUMIFS('Stock Inflow'!$G$2:$G$601,'Stock Inflow'!$A$2:$A$601,$A534,'Stock Inflow'!$D$2:$D$601,$D534)</f>
        <v>164</v>
      </c>
      <c r="F534" s="19">
        <f>SUMIFS('Stock Inflow'!$F$2:$F$601,'Stock Inflow'!$A$2:$A$601,$A534,'Stock Inflow'!$D$2:$D$601,$D534)</f>
        <v>28</v>
      </c>
      <c r="G534" s="19">
        <f>SUMIFS('Stock Inflow'!$E$2:$E$601,'Stock Inflow'!$A$2:$A$601,$A534,'Stock Inflow'!$D$2:$D$601,$D534)</f>
        <v>1</v>
      </c>
      <c r="H534" s="19">
        <f>SUMIFS('Stock Outflow'!$F$2:$F$601,'Stock Outflow'!$A$2:$A$601,$A534,'Stock Outflow'!$D$2:$D$601,$D534)</f>
        <v>27</v>
      </c>
      <c r="I534" s="19">
        <f>SUMIFS('Stock Outflow'!$E$2:$E$601,'Stock Outflow'!$A$2:$A$601,$A534,'Stock Outflow'!$D$2:$D$601,$D534)</f>
        <v>0</v>
      </c>
      <c r="J534" s="19">
        <f t="shared" si="48"/>
        <v>166</v>
      </c>
      <c r="K534" s="20">
        <f>INDEX('Item Master'!$F$2:$F$51,MATCH($A534,'Item Master'!$A$2:$A$51,0))</f>
        <v>3200</v>
      </c>
      <c r="L534" s="20">
        <f t="shared" si="49"/>
        <v>86400</v>
      </c>
      <c r="M534" s="21">
        <f t="shared" si="50"/>
        <v>0.9</v>
      </c>
      <c r="N534" s="19">
        <f>INDEX('Item Master'!$E$2:$E$51,MATCH($A534,'Item Master'!$A$2:$A$51,0))</f>
        <v>7</v>
      </c>
      <c r="O534" s="22">
        <f>INDEX('Product Summary'!$L$2:$L$51,MATCH($A534,'Product Summary'!$A$2:$A$51,0))</f>
        <v>3.2666666666666666</v>
      </c>
      <c r="P534" s="22">
        <f>INDEX('Product Summary'!$M$2:$M$51,MATCH($A534,'Product Summary'!$A$2:$A$51,0))</f>
        <v>9.9406392694063932</v>
      </c>
      <c r="Q534" s="22">
        <f t="shared" si="51"/>
        <v>184.44444444444443</v>
      </c>
      <c r="R534" s="22">
        <f t="shared" si="52"/>
        <v>173.39928970065955</v>
      </c>
      <c r="S534" s="19" t="str">
        <f t="shared" si="53"/>
        <v>OVERSTOCK</v>
      </c>
    </row>
    <row r="535" spans="1:19" x14ac:dyDescent="0.3">
      <c r="A535" s="19" t="s">
        <v>160</v>
      </c>
      <c r="B535" s="19" t="s">
        <v>161</v>
      </c>
      <c r="C535" s="19" t="s">
        <v>46</v>
      </c>
      <c r="D535" s="19" t="s">
        <v>37</v>
      </c>
      <c r="E535" s="19">
        <f>SUMIFS('Stock Inflow'!$G$2:$G$601,'Stock Inflow'!$A$2:$A$601,$A535,'Stock Inflow'!$D$2:$D$601,$D535)</f>
        <v>166</v>
      </c>
      <c r="F535" s="19">
        <f>SUMIFS('Stock Inflow'!$F$2:$F$601,'Stock Inflow'!$A$2:$A$601,$A535,'Stock Inflow'!$D$2:$D$601,$D535)</f>
        <v>32</v>
      </c>
      <c r="G535" s="19">
        <f>SUMIFS('Stock Inflow'!$E$2:$E$601,'Stock Inflow'!$A$2:$A$601,$A535,'Stock Inflow'!$D$2:$D$601,$D535)</f>
        <v>1</v>
      </c>
      <c r="H535" s="19">
        <f>SUMIFS('Stock Outflow'!$F$2:$F$601,'Stock Outflow'!$A$2:$A$601,$A535,'Stock Outflow'!$D$2:$D$601,$D535)</f>
        <v>25</v>
      </c>
      <c r="I535" s="19">
        <f>SUMIFS('Stock Outflow'!$E$2:$E$601,'Stock Outflow'!$A$2:$A$601,$A535,'Stock Outflow'!$D$2:$D$601,$D535)</f>
        <v>1</v>
      </c>
      <c r="J535" s="19">
        <f t="shared" si="48"/>
        <v>173</v>
      </c>
      <c r="K535" s="20">
        <f>INDEX('Item Master'!$F$2:$F$51,MATCH($A535,'Item Master'!$A$2:$A$51,0))</f>
        <v>3200</v>
      </c>
      <c r="L535" s="20">
        <f t="shared" si="49"/>
        <v>80000</v>
      </c>
      <c r="M535" s="21">
        <f t="shared" si="50"/>
        <v>0.83333333333333337</v>
      </c>
      <c r="N535" s="19">
        <f>INDEX('Item Master'!$E$2:$E$51,MATCH($A535,'Item Master'!$A$2:$A$51,0))</f>
        <v>7</v>
      </c>
      <c r="O535" s="22">
        <f>INDEX('Product Summary'!$L$2:$L$51,MATCH($A535,'Product Summary'!$A$2:$A$51,0))</f>
        <v>3.2666666666666666</v>
      </c>
      <c r="P535" s="22">
        <f>INDEX('Product Summary'!$M$2:$M$51,MATCH($A535,'Product Summary'!$A$2:$A$51,0))</f>
        <v>9.9406392694063932</v>
      </c>
      <c r="Q535" s="22">
        <f t="shared" si="51"/>
        <v>207.6</v>
      </c>
      <c r="R535" s="22">
        <f t="shared" si="52"/>
        <v>195.67123287671231</v>
      </c>
      <c r="S535" s="19" t="str">
        <f t="shared" si="53"/>
        <v>OVERSTOCK</v>
      </c>
    </row>
    <row r="536" spans="1:19" x14ac:dyDescent="0.3">
      <c r="A536" s="19" t="s">
        <v>160</v>
      </c>
      <c r="B536" s="19" t="s">
        <v>161</v>
      </c>
      <c r="C536" s="19" t="s">
        <v>46</v>
      </c>
      <c r="D536" s="19" t="s">
        <v>39</v>
      </c>
      <c r="E536" s="19">
        <f>SUMIFS('Stock Inflow'!$G$2:$G$601,'Stock Inflow'!$A$2:$A$601,$A536,'Stock Inflow'!$D$2:$D$601,$D536)</f>
        <v>173</v>
      </c>
      <c r="F536" s="19">
        <f>SUMIFS('Stock Inflow'!$F$2:$F$601,'Stock Inflow'!$A$2:$A$601,$A536,'Stock Inflow'!$D$2:$D$601,$D536)</f>
        <v>29</v>
      </c>
      <c r="G536" s="19">
        <f>SUMIFS('Stock Inflow'!$E$2:$E$601,'Stock Inflow'!$A$2:$A$601,$A536,'Stock Inflow'!$D$2:$D$601,$D536)</f>
        <v>1</v>
      </c>
      <c r="H536" s="19">
        <f>SUMIFS('Stock Outflow'!$F$2:$F$601,'Stock Outflow'!$A$2:$A$601,$A536,'Stock Outflow'!$D$2:$D$601,$D536)</f>
        <v>30</v>
      </c>
      <c r="I536" s="19">
        <f>SUMIFS('Stock Outflow'!$E$2:$E$601,'Stock Outflow'!$A$2:$A$601,$A536,'Stock Outflow'!$D$2:$D$601,$D536)</f>
        <v>0</v>
      </c>
      <c r="J536" s="19">
        <f t="shared" si="48"/>
        <v>173</v>
      </c>
      <c r="K536" s="20">
        <f>INDEX('Item Master'!$F$2:$F$51,MATCH($A536,'Item Master'!$A$2:$A$51,0))</f>
        <v>3200</v>
      </c>
      <c r="L536" s="20">
        <f t="shared" si="49"/>
        <v>96000</v>
      </c>
      <c r="M536" s="21">
        <f t="shared" si="50"/>
        <v>1</v>
      </c>
      <c r="N536" s="19">
        <f>INDEX('Item Master'!$E$2:$E$51,MATCH($A536,'Item Master'!$A$2:$A$51,0))</f>
        <v>7</v>
      </c>
      <c r="O536" s="22">
        <f>INDEX('Product Summary'!$L$2:$L$51,MATCH($A536,'Product Summary'!$A$2:$A$51,0))</f>
        <v>3.2666666666666666</v>
      </c>
      <c r="P536" s="22">
        <f>INDEX('Product Summary'!$M$2:$M$51,MATCH($A536,'Product Summary'!$A$2:$A$51,0))</f>
        <v>9.9406392694063932</v>
      </c>
      <c r="Q536" s="22">
        <f t="shared" si="51"/>
        <v>173</v>
      </c>
      <c r="R536" s="22">
        <f t="shared" si="52"/>
        <v>163.0593607305936</v>
      </c>
      <c r="S536" s="19" t="str">
        <f t="shared" si="53"/>
        <v>OVERSTOCK</v>
      </c>
    </row>
    <row r="537" spans="1:19" x14ac:dyDescent="0.3">
      <c r="A537" s="19" t="s">
        <v>160</v>
      </c>
      <c r="B537" s="19" t="s">
        <v>161</v>
      </c>
      <c r="C537" s="19" t="s">
        <v>46</v>
      </c>
      <c r="D537" s="19" t="s">
        <v>41</v>
      </c>
      <c r="E537" s="19">
        <f>SUMIFS('Stock Inflow'!$G$2:$G$601,'Stock Inflow'!$A$2:$A$601,$A537,'Stock Inflow'!$D$2:$D$601,$D537)</f>
        <v>173</v>
      </c>
      <c r="F537" s="19">
        <f>SUMIFS('Stock Inflow'!$F$2:$F$601,'Stock Inflow'!$A$2:$A$601,$A537,'Stock Inflow'!$D$2:$D$601,$D537)</f>
        <v>30</v>
      </c>
      <c r="G537" s="19">
        <f>SUMIFS('Stock Inflow'!$E$2:$E$601,'Stock Inflow'!$A$2:$A$601,$A537,'Stock Inflow'!$D$2:$D$601,$D537)</f>
        <v>0</v>
      </c>
      <c r="H537" s="19">
        <f>SUMIFS('Stock Outflow'!$F$2:$F$601,'Stock Outflow'!$A$2:$A$601,$A537,'Stock Outflow'!$D$2:$D$601,$D537)</f>
        <v>27</v>
      </c>
      <c r="I537" s="19">
        <f>SUMIFS('Stock Outflow'!$E$2:$E$601,'Stock Outflow'!$A$2:$A$601,$A537,'Stock Outflow'!$D$2:$D$601,$D537)</f>
        <v>0</v>
      </c>
      <c r="J537" s="19">
        <f t="shared" si="48"/>
        <v>176</v>
      </c>
      <c r="K537" s="20">
        <f>INDEX('Item Master'!$F$2:$F$51,MATCH($A537,'Item Master'!$A$2:$A$51,0))</f>
        <v>3200</v>
      </c>
      <c r="L537" s="20">
        <f t="shared" si="49"/>
        <v>86400</v>
      </c>
      <c r="M537" s="21">
        <f t="shared" si="50"/>
        <v>0.9</v>
      </c>
      <c r="N537" s="19">
        <f>INDEX('Item Master'!$E$2:$E$51,MATCH($A537,'Item Master'!$A$2:$A$51,0))</f>
        <v>7</v>
      </c>
      <c r="O537" s="22">
        <f>INDEX('Product Summary'!$L$2:$L$51,MATCH($A537,'Product Summary'!$A$2:$A$51,0))</f>
        <v>3.2666666666666666</v>
      </c>
      <c r="P537" s="22">
        <f>INDEX('Product Summary'!$M$2:$M$51,MATCH($A537,'Product Summary'!$A$2:$A$51,0))</f>
        <v>9.9406392694063932</v>
      </c>
      <c r="Q537" s="22">
        <f t="shared" si="51"/>
        <v>195.55555555555554</v>
      </c>
      <c r="R537" s="22">
        <f t="shared" si="52"/>
        <v>184.51040081177067</v>
      </c>
      <c r="S537" s="19" t="str">
        <f t="shared" si="53"/>
        <v>OVERSTOCK</v>
      </c>
    </row>
    <row r="538" spans="1:19" x14ac:dyDescent="0.3">
      <c r="A538" s="19" t="s">
        <v>160</v>
      </c>
      <c r="B538" s="19" t="s">
        <v>161</v>
      </c>
      <c r="C538" s="19" t="s">
        <v>46</v>
      </c>
      <c r="D538" s="19" t="s">
        <v>43</v>
      </c>
      <c r="E538" s="19">
        <f>SUMIFS('Stock Inflow'!$G$2:$G$601,'Stock Inflow'!$A$2:$A$601,$A538,'Stock Inflow'!$D$2:$D$601,$D538)</f>
        <v>176</v>
      </c>
      <c r="F538" s="19">
        <f>SUMIFS('Stock Inflow'!$F$2:$F$601,'Stock Inflow'!$A$2:$A$601,$A538,'Stock Inflow'!$D$2:$D$601,$D538)</f>
        <v>31</v>
      </c>
      <c r="G538" s="19">
        <f>SUMIFS('Stock Inflow'!$E$2:$E$601,'Stock Inflow'!$A$2:$A$601,$A538,'Stock Inflow'!$D$2:$D$601,$D538)</f>
        <v>0</v>
      </c>
      <c r="H538" s="19">
        <f>SUMIFS('Stock Outflow'!$F$2:$F$601,'Stock Outflow'!$A$2:$A$601,$A538,'Stock Outflow'!$D$2:$D$601,$D538)</f>
        <v>28</v>
      </c>
      <c r="I538" s="19">
        <f>SUMIFS('Stock Outflow'!$E$2:$E$601,'Stock Outflow'!$A$2:$A$601,$A538,'Stock Outflow'!$D$2:$D$601,$D538)</f>
        <v>0</v>
      </c>
      <c r="J538" s="19">
        <f t="shared" si="48"/>
        <v>179</v>
      </c>
      <c r="K538" s="20">
        <f>INDEX('Item Master'!$F$2:$F$51,MATCH($A538,'Item Master'!$A$2:$A$51,0))</f>
        <v>3200</v>
      </c>
      <c r="L538" s="20">
        <f t="shared" si="49"/>
        <v>89600</v>
      </c>
      <c r="M538" s="21">
        <f t="shared" si="50"/>
        <v>0.93333333333333335</v>
      </c>
      <c r="N538" s="19">
        <f>INDEX('Item Master'!$E$2:$E$51,MATCH($A538,'Item Master'!$A$2:$A$51,0))</f>
        <v>7</v>
      </c>
      <c r="O538" s="22">
        <f>INDEX('Product Summary'!$L$2:$L$51,MATCH($A538,'Product Summary'!$A$2:$A$51,0))</f>
        <v>3.2666666666666666</v>
      </c>
      <c r="P538" s="22">
        <f>INDEX('Product Summary'!$M$2:$M$51,MATCH($A538,'Product Summary'!$A$2:$A$51,0))</f>
        <v>9.9406392694063932</v>
      </c>
      <c r="Q538" s="22">
        <f t="shared" si="51"/>
        <v>191.78571428571428</v>
      </c>
      <c r="R538" s="22">
        <f t="shared" si="52"/>
        <v>181.13502935420743</v>
      </c>
      <c r="S538" s="19" t="str">
        <f t="shared" si="53"/>
        <v>OVERSTOCK</v>
      </c>
    </row>
    <row r="539" spans="1:19" x14ac:dyDescent="0.3">
      <c r="A539" s="19" t="s">
        <v>160</v>
      </c>
      <c r="B539" s="19" t="s">
        <v>161</v>
      </c>
      <c r="C539" s="19" t="s">
        <v>46</v>
      </c>
      <c r="D539" s="19" t="s">
        <v>45</v>
      </c>
      <c r="E539" s="19">
        <f>SUMIFS('Stock Inflow'!$G$2:$G$601,'Stock Inflow'!$A$2:$A$601,$A539,'Stock Inflow'!$D$2:$D$601,$D539)</f>
        <v>179</v>
      </c>
      <c r="F539" s="19">
        <f>SUMIFS('Stock Inflow'!$F$2:$F$601,'Stock Inflow'!$A$2:$A$601,$A539,'Stock Inflow'!$D$2:$D$601,$D539)</f>
        <v>49</v>
      </c>
      <c r="G539" s="19">
        <f>SUMIFS('Stock Inflow'!$E$2:$E$601,'Stock Inflow'!$A$2:$A$601,$A539,'Stock Inflow'!$D$2:$D$601,$D539)</f>
        <v>1</v>
      </c>
      <c r="H539" s="19">
        <f>SUMIFS('Stock Outflow'!$F$2:$F$601,'Stock Outflow'!$A$2:$A$601,$A539,'Stock Outflow'!$D$2:$D$601,$D539)</f>
        <v>43</v>
      </c>
      <c r="I539" s="19">
        <f>SUMIFS('Stock Outflow'!$E$2:$E$601,'Stock Outflow'!$A$2:$A$601,$A539,'Stock Outflow'!$D$2:$D$601,$D539)</f>
        <v>0</v>
      </c>
      <c r="J539" s="19">
        <f t="shared" si="48"/>
        <v>186</v>
      </c>
      <c r="K539" s="20">
        <f>INDEX('Item Master'!$F$2:$F$51,MATCH($A539,'Item Master'!$A$2:$A$51,0))</f>
        <v>3200</v>
      </c>
      <c r="L539" s="20">
        <f t="shared" si="49"/>
        <v>137600</v>
      </c>
      <c r="M539" s="21">
        <f t="shared" si="50"/>
        <v>1.4333333333333333</v>
      </c>
      <c r="N539" s="19">
        <f>INDEX('Item Master'!$E$2:$E$51,MATCH($A539,'Item Master'!$A$2:$A$51,0))</f>
        <v>7</v>
      </c>
      <c r="O539" s="22">
        <f>INDEX('Product Summary'!$L$2:$L$51,MATCH($A539,'Product Summary'!$A$2:$A$51,0))</f>
        <v>3.2666666666666666</v>
      </c>
      <c r="P539" s="22">
        <f>INDEX('Product Summary'!$M$2:$M$51,MATCH($A539,'Product Summary'!$A$2:$A$51,0))</f>
        <v>9.9406392694063932</v>
      </c>
      <c r="Q539" s="22">
        <f t="shared" si="51"/>
        <v>129.76744186046511</v>
      </c>
      <c r="R539" s="22">
        <f t="shared" si="52"/>
        <v>122.83211213762344</v>
      </c>
      <c r="S539" s="19" t="str">
        <f t="shared" si="53"/>
        <v>HEALTHY</v>
      </c>
    </row>
    <row r="540" spans="1:19" x14ac:dyDescent="0.3">
      <c r="A540" s="19" t="s">
        <v>160</v>
      </c>
      <c r="B540" s="19" t="s">
        <v>161</v>
      </c>
      <c r="C540" s="19" t="s">
        <v>46</v>
      </c>
      <c r="D540" s="19" t="s">
        <v>47</v>
      </c>
      <c r="E540" s="19">
        <f>SUMIFS('Stock Inflow'!$G$2:$G$601,'Stock Inflow'!$A$2:$A$601,$A540,'Stock Inflow'!$D$2:$D$601,$D540)</f>
        <v>186</v>
      </c>
      <c r="F540" s="19">
        <f>SUMIFS('Stock Inflow'!$F$2:$F$601,'Stock Inflow'!$A$2:$A$601,$A540,'Stock Inflow'!$D$2:$D$601,$D540)</f>
        <v>30</v>
      </c>
      <c r="G540" s="19">
        <f>SUMIFS('Stock Inflow'!$E$2:$E$601,'Stock Inflow'!$A$2:$A$601,$A540,'Stock Inflow'!$D$2:$D$601,$D540)</f>
        <v>1</v>
      </c>
      <c r="H540" s="19">
        <f>SUMIFS('Stock Outflow'!$F$2:$F$601,'Stock Outflow'!$A$2:$A$601,$A540,'Stock Outflow'!$D$2:$D$601,$D540)</f>
        <v>29</v>
      </c>
      <c r="I540" s="19">
        <f>SUMIFS('Stock Outflow'!$E$2:$E$601,'Stock Outflow'!$A$2:$A$601,$A540,'Stock Outflow'!$D$2:$D$601,$D540)</f>
        <v>0</v>
      </c>
      <c r="J540" s="19">
        <f t="shared" si="48"/>
        <v>188</v>
      </c>
      <c r="K540" s="20">
        <f>INDEX('Item Master'!$F$2:$F$51,MATCH($A540,'Item Master'!$A$2:$A$51,0))</f>
        <v>3200</v>
      </c>
      <c r="L540" s="20">
        <f t="shared" si="49"/>
        <v>92800</v>
      </c>
      <c r="M540" s="21">
        <f t="shared" si="50"/>
        <v>0.96666666666666667</v>
      </c>
      <c r="N540" s="19">
        <f>INDEX('Item Master'!$E$2:$E$51,MATCH($A540,'Item Master'!$A$2:$A$51,0))</f>
        <v>7</v>
      </c>
      <c r="O540" s="22">
        <f>INDEX('Product Summary'!$L$2:$L$51,MATCH($A540,'Product Summary'!$A$2:$A$51,0))</f>
        <v>3.2666666666666666</v>
      </c>
      <c r="P540" s="22">
        <f>INDEX('Product Summary'!$M$2:$M$51,MATCH($A540,'Product Summary'!$A$2:$A$51,0))</f>
        <v>9.9406392694063932</v>
      </c>
      <c r="Q540" s="22">
        <f t="shared" si="51"/>
        <v>194.48275862068965</v>
      </c>
      <c r="R540" s="22">
        <f t="shared" si="52"/>
        <v>184.19933868682097</v>
      </c>
      <c r="S540" s="19" t="str">
        <f t="shared" si="53"/>
        <v>OVERSTOCK</v>
      </c>
    </row>
    <row r="541" spans="1:19" x14ac:dyDescent="0.3">
      <c r="A541" s="19" t="s">
        <v>160</v>
      </c>
      <c r="B541" s="19" t="s">
        <v>161</v>
      </c>
      <c r="C541" s="19" t="s">
        <v>46</v>
      </c>
      <c r="D541" s="19" t="s">
        <v>49</v>
      </c>
      <c r="E541" s="19">
        <f>SUMIFS('Stock Inflow'!$G$2:$G$601,'Stock Inflow'!$A$2:$A$601,$A541,'Stock Inflow'!$D$2:$D$601,$D541)</f>
        <v>188</v>
      </c>
      <c r="F541" s="19">
        <f>SUMIFS('Stock Inflow'!$F$2:$F$601,'Stock Inflow'!$A$2:$A$601,$A541,'Stock Inflow'!$D$2:$D$601,$D541)</f>
        <v>37</v>
      </c>
      <c r="G541" s="19">
        <f>SUMIFS('Stock Inflow'!$E$2:$E$601,'Stock Inflow'!$A$2:$A$601,$A541,'Stock Inflow'!$D$2:$D$601,$D541)</f>
        <v>1</v>
      </c>
      <c r="H541" s="19">
        <f>SUMIFS('Stock Outflow'!$F$2:$F$601,'Stock Outflow'!$A$2:$A$601,$A541,'Stock Outflow'!$D$2:$D$601,$D541)</f>
        <v>30</v>
      </c>
      <c r="I541" s="19">
        <f>SUMIFS('Stock Outflow'!$E$2:$E$601,'Stock Outflow'!$A$2:$A$601,$A541,'Stock Outflow'!$D$2:$D$601,$D541)</f>
        <v>0</v>
      </c>
      <c r="J541" s="19">
        <f t="shared" si="48"/>
        <v>196</v>
      </c>
      <c r="K541" s="20">
        <f>INDEX('Item Master'!$F$2:$F$51,MATCH($A541,'Item Master'!$A$2:$A$51,0))</f>
        <v>3200</v>
      </c>
      <c r="L541" s="20">
        <f t="shared" si="49"/>
        <v>96000</v>
      </c>
      <c r="M541" s="21">
        <f t="shared" si="50"/>
        <v>1</v>
      </c>
      <c r="N541" s="19">
        <f>INDEX('Item Master'!$E$2:$E$51,MATCH($A541,'Item Master'!$A$2:$A$51,0))</f>
        <v>7</v>
      </c>
      <c r="O541" s="22">
        <f>INDEX('Product Summary'!$L$2:$L$51,MATCH($A541,'Product Summary'!$A$2:$A$51,0))</f>
        <v>3.2666666666666666</v>
      </c>
      <c r="P541" s="22">
        <f>INDEX('Product Summary'!$M$2:$M$51,MATCH($A541,'Product Summary'!$A$2:$A$51,0))</f>
        <v>9.9406392694063932</v>
      </c>
      <c r="Q541" s="22">
        <f t="shared" si="51"/>
        <v>196</v>
      </c>
      <c r="R541" s="22">
        <f t="shared" si="52"/>
        <v>186.0593607305936</v>
      </c>
      <c r="S541" s="19" t="str">
        <f t="shared" si="53"/>
        <v>OVERSTOCK</v>
      </c>
    </row>
    <row r="542" spans="1:19" x14ac:dyDescent="0.3">
      <c r="A542" s="19" t="s">
        <v>162</v>
      </c>
      <c r="B542" s="19" t="s">
        <v>163</v>
      </c>
      <c r="C542" s="19" t="s">
        <v>38</v>
      </c>
      <c r="D542" s="19" t="s">
        <v>27</v>
      </c>
      <c r="E542" s="19">
        <f>SUMIFS('Stock Inflow'!$G$2:$G$601,'Stock Inflow'!$A$2:$A$601,$A542,'Stock Inflow'!$D$2:$D$601,$D542)</f>
        <v>233</v>
      </c>
      <c r="F542" s="19">
        <f>SUMIFS('Stock Inflow'!$F$2:$F$601,'Stock Inflow'!$A$2:$A$601,$A542,'Stock Inflow'!$D$2:$D$601,$D542)</f>
        <v>15</v>
      </c>
      <c r="G542" s="19">
        <f>SUMIFS('Stock Inflow'!$E$2:$E$601,'Stock Inflow'!$A$2:$A$601,$A542,'Stock Inflow'!$D$2:$D$601,$D542)</f>
        <v>0</v>
      </c>
      <c r="H542" s="19">
        <f>SUMIFS('Stock Outflow'!$F$2:$F$601,'Stock Outflow'!$A$2:$A$601,$A542,'Stock Outflow'!$D$2:$D$601,$D542)</f>
        <v>12</v>
      </c>
      <c r="I542" s="19">
        <f>SUMIFS('Stock Outflow'!$E$2:$E$601,'Stock Outflow'!$A$2:$A$601,$A542,'Stock Outflow'!$D$2:$D$601,$D542)</f>
        <v>0</v>
      </c>
      <c r="J542" s="19">
        <f t="shared" si="48"/>
        <v>236</v>
      </c>
      <c r="K542" s="20">
        <f>INDEX('Item Master'!$F$2:$F$51,MATCH($A542,'Item Master'!$A$2:$A$51,0))</f>
        <v>900</v>
      </c>
      <c r="L542" s="20">
        <f t="shared" si="49"/>
        <v>10800</v>
      </c>
      <c r="M542" s="21">
        <f t="shared" si="50"/>
        <v>0.4</v>
      </c>
      <c r="N542" s="19">
        <f>INDEX('Item Master'!$E$2:$E$51,MATCH($A542,'Item Master'!$A$2:$A$51,0))</f>
        <v>14</v>
      </c>
      <c r="O542" s="22">
        <f>INDEX('Product Summary'!$L$2:$L$51,MATCH($A542,'Product Summary'!$A$2:$A$51,0))</f>
        <v>4.4333333333333336</v>
      </c>
      <c r="P542" s="22">
        <f>INDEX('Product Summary'!$M$2:$M$51,MATCH($A542,'Product Summary'!$A$2:$A$51,0))</f>
        <v>11.107305936073059</v>
      </c>
      <c r="Q542" s="22">
        <f t="shared" si="51"/>
        <v>590</v>
      </c>
      <c r="R542" s="22">
        <f t="shared" si="52"/>
        <v>562.23173515981728</v>
      </c>
      <c r="S542" s="19" t="str">
        <f t="shared" si="53"/>
        <v>OVERSTOCK</v>
      </c>
    </row>
    <row r="543" spans="1:19" x14ac:dyDescent="0.3">
      <c r="A543" s="19" t="s">
        <v>162</v>
      </c>
      <c r="B543" s="19" t="s">
        <v>163</v>
      </c>
      <c r="C543" s="19" t="s">
        <v>38</v>
      </c>
      <c r="D543" s="19" t="s">
        <v>29</v>
      </c>
      <c r="E543" s="19">
        <f>SUMIFS('Stock Inflow'!$G$2:$G$601,'Stock Inflow'!$A$2:$A$601,$A543,'Stock Inflow'!$D$2:$D$601,$D543)</f>
        <v>236</v>
      </c>
      <c r="F543" s="19">
        <f>SUMIFS('Stock Inflow'!$F$2:$F$601,'Stock Inflow'!$A$2:$A$601,$A543,'Stock Inflow'!$D$2:$D$601,$D543)</f>
        <v>19</v>
      </c>
      <c r="G543" s="19">
        <f>SUMIFS('Stock Inflow'!$E$2:$E$601,'Stock Inflow'!$A$2:$A$601,$A543,'Stock Inflow'!$D$2:$D$601,$D543)</f>
        <v>0</v>
      </c>
      <c r="H543" s="19">
        <f>SUMIFS('Stock Outflow'!$F$2:$F$601,'Stock Outflow'!$A$2:$A$601,$A543,'Stock Outflow'!$D$2:$D$601,$D543)</f>
        <v>15</v>
      </c>
      <c r="I543" s="19">
        <f>SUMIFS('Stock Outflow'!$E$2:$E$601,'Stock Outflow'!$A$2:$A$601,$A543,'Stock Outflow'!$D$2:$D$601,$D543)</f>
        <v>0</v>
      </c>
      <c r="J543" s="19">
        <f t="shared" si="48"/>
        <v>240</v>
      </c>
      <c r="K543" s="20">
        <f>INDEX('Item Master'!$F$2:$F$51,MATCH($A543,'Item Master'!$A$2:$A$51,0))</f>
        <v>900</v>
      </c>
      <c r="L543" s="20">
        <f t="shared" si="49"/>
        <v>13500</v>
      </c>
      <c r="M543" s="21">
        <f t="shared" si="50"/>
        <v>0.5</v>
      </c>
      <c r="N543" s="19">
        <f>INDEX('Item Master'!$E$2:$E$51,MATCH($A543,'Item Master'!$A$2:$A$51,0))</f>
        <v>14</v>
      </c>
      <c r="O543" s="22">
        <f>INDEX('Product Summary'!$L$2:$L$51,MATCH($A543,'Product Summary'!$A$2:$A$51,0))</f>
        <v>4.4333333333333336</v>
      </c>
      <c r="P543" s="22">
        <f>INDEX('Product Summary'!$M$2:$M$51,MATCH($A543,'Product Summary'!$A$2:$A$51,0))</f>
        <v>11.107305936073059</v>
      </c>
      <c r="Q543" s="22">
        <f t="shared" si="51"/>
        <v>480</v>
      </c>
      <c r="R543" s="22">
        <f t="shared" si="52"/>
        <v>457.78538812785388</v>
      </c>
      <c r="S543" s="19" t="str">
        <f t="shared" si="53"/>
        <v>OVERSTOCK</v>
      </c>
    </row>
    <row r="544" spans="1:19" x14ac:dyDescent="0.3">
      <c r="A544" s="19" t="s">
        <v>162</v>
      </c>
      <c r="B544" s="19" t="s">
        <v>163</v>
      </c>
      <c r="C544" s="19" t="s">
        <v>38</v>
      </c>
      <c r="D544" s="19" t="s">
        <v>31</v>
      </c>
      <c r="E544" s="19">
        <f>SUMIFS('Stock Inflow'!$G$2:$G$601,'Stock Inflow'!$A$2:$A$601,$A544,'Stock Inflow'!$D$2:$D$601,$D544)</f>
        <v>240</v>
      </c>
      <c r="F544" s="19">
        <f>SUMIFS('Stock Inflow'!$F$2:$F$601,'Stock Inflow'!$A$2:$A$601,$A544,'Stock Inflow'!$D$2:$D$601,$D544)</f>
        <v>15</v>
      </c>
      <c r="G544" s="19">
        <f>SUMIFS('Stock Inflow'!$E$2:$E$601,'Stock Inflow'!$A$2:$A$601,$A544,'Stock Inflow'!$D$2:$D$601,$D544)</f>
        <v>0</v>
      </c>
      <c r="H544" s="19">
        <f>SUMIFS('Stock Outflow'!$F$2:$F$601,'Stock Outflow'!$A$2:$A$601,$A544,'Stock Outflow'!$D$2:$D$601,$D544)</f>
        <v>13</v>
      </c>
      <c r="I544" s="19">
        <f>SUMIFS('Stock Outflow'!$E$2:$E$601,'Stock Outflow'!$A$2:$A$601,$A544,'Stock Outflow'!$D$2:$D$601,$D544)</f>
        <v>0</v>
      </c>
      <c r="J544" s="19">
        <f t="shared" si="48"/>
        <v>242</v>
      </c>
      <c r="K544" s="20">
        <f>INDEX('Item Master'!$F$2:$F$51,MATCH($A544,'Item Master'!$A$2:$A$51,0))</f>
        <v>900</v>
      </c>
      <c r="L544" s="20">
        <f t="shared" si="49"/>
        <v>11700</v>
      </c>
      <c r="M544" s="21">
        <f t="shared" si="50"/>
        <v>0.43333333333333335</v>
      </c>
      <c r="N544" s="19">
        <f>INDEX('Item Master'!$E$2:$E$51,MATCH($A544,'Item Master'!$A$2:$A$51,0))</f>
        <v>14</v>
      </c>
      <c r="O544" s="22">
        <f>INDEX('Product Summary'!$L$2:$L$51,MATCH($A544,'Product Summary'!$A$2:$A$51,0))</f>
        <v>4.4333333333333336</v>
      </c>
      <c r="P544" s="22">
        <f>INDEX('Product Summary'!$M$2:$M$51,MATCH($A544,'Product Summary'!$A$2:$A$51,0))</f>
        <v>11.107305936073059</v>
      </c>
      <c r="Q544" s="22">
        <f t="shared" si="51"/>
        <v>558.46153846153845</v>
      </c>
      <c r="R544" s="22">
        <f t="shared" si="52"/>
        <v>532.82929399367754</v>
      </c>
      <c r="S544" s="19" t="str">
        <f t="shared" si="53"/>
        <v>OVERSTOCK</v>
      </c>
    </row>
    <row r="545" spans="1:19" x14ac:dyDescent="0.3">
      <c r="A545" s="19" t="s">
        <v>162</v>
      </c>
      <c r="B545" s="19" t="s">
        <v>163</v>
      </c>
      <c r="C545" s="19" t="s">
        <v>38</v>
      </c>
      <c r="D545" s="19" t="s">
        <v>33</v>
      </c>
      <c r="E545" s="19">
        <f>SUMIFS('Stock Inflow'!$G$2:$G$601,'Stock Inflow'!$A$2:$A$601,$A545,'Stock Inflow'!$D$2:$D$601,$D545)</f>
        <v>242</v>
      </c>
      <c r="F545" s="19">
        <f>SUMIFS('Stock Inflow'!$F$2:$F$601,'Stock Inflow'!$A$2:$A$601,$A545,'Stock Inflow'!$D$2:$D$601,$D545)</f>
        <v>15</v>
      </c>
      <c r="G545" s="19">
        <f>SUMIFS('Stock Inflow'!$E$2:$E$601,'Stock Inflow'!$A$2:$A$601,$A545,'Stock Inflow'!$D$2:$D$601,$D545)</f>
        <v>0</v>
      </c>
      <c r="H545" s="19">
        <f>SUMIFS('Stock Outflow'!$F$2:$F$601,'Stock Outflow'!$A$2:$A$601,$A545,'Stock Outflow'!$D$2:$D$601,$D545)</f>
        <v>14</v>
      </c>
      <c r="I545" s="19">
        <f>SUMIFS('Stock Outflow'!$E$2:$E$601,'Stock Outflow'!$A$2:$A$601,$A545,'Stock Outflow'!$D$2:$D$601,$D545)</f>
        <v>0</v>
      </c>
      <c r="J545" s="19">
        <f t="shared" si="48"/>
        <v>243</v>
      </c>
      <c r="K545" s="20">
        <f>INDEX('Item Master'!$F$2:$F$51,MATCH($A545,'Item Master'!$A$2:$A$51,0))</f>
        <v>900</v>
      </c>
      <c r="L545" s="20">
        <f t="shared" si="49"/>
        <v>12600</v>
      </c>
      <c r="M545" s="21">
        <f t="shared" si="50"/>
        <v>0.46666666666666667</v>
      </c>
      <c r="N545" s="19">
        <f>INDEX('Item Master'!$E$2:$E$51,MATCH($A545,'Item Master'!$A$2:$A$51,0))</f>
        <v>14</v>
      </c>
      <c r="O545" s="22">
        <f>INDEX('Product Summary'!$L$2:$L$51,MATCH($A545,'Product Summary'!$A$2:$A$51,0))</f>
        <v>4.4333333333333336</v>
      </c>
      <c r="P545" s="22">
        <f>INDEX('Product Summary'!$M$2:$M$51,MATCH($A545,'Product Summary'!$A$2:$A$51,0))</f>
        <v>11.107305936073059</v>
      </c>
      <c r="Q545" s="22">
        <f t="shared" si="51"/>
        <v>520.71428571428567</v>
      </c>
      <c r="R545" s="22">
        <f t="shared" si="52"/>
        <v>496.91291585127203</v>
      </c>
      <c r="S545" s="19" t="str">
        <f t="shared" si="53"/>
        <v>OVERSTOCK</v>
      </c>
    </row>
    <row r="546" spans="1:19" x14ac:dyDescent="0.3">
      <c r="A546" s="19" t="s">
        <v>162</v>
      </c>
      <c r="B546" s="19" t="s">
        <v>163</v>
      </c>
      <c r="C546" s="19" t="s">
        <v>38</v>
      </c>
      <c r="D546" s="19" t="s">
        <v>35</v>
      </c>
      <c r="E546" s="19">
        <f>SUMIFS('Stock Inflow'!$G$2:$G$601,'Stock Inflow'!$A$2:$A$601,$A546,'Stock Inflow'!$D$2:$D$601,$D546)</f>
        <v>243</v>
      </c>
      <c r="F546" s="19">
        <f>SUMIFS('Stock Inflow'!$F$2:$F$601,'Stock Inflow'!$A$2:$A$601,$A546,'Stock Inflow'!$D$2:$D$601,$D546)</f>
        <v>15</v>
      </c>
      <c r="G546" s="19">
        <f>SUMIFS('Stock Inflow'!$E$2:$E$601,'Stock Inflow'!$A$2:$A$601,$A546,'Stock Inflow'!$D$2:$D$601,$D546)</f>
        <v>0</v>
      </c>
      <c r="H546" s="19">
        <f>SUMIFS('Stock Outflow'!$F$2:$F$601,'Stock Outflow'!$A$2:$A$601,$A546,'Stock Outflow'!$D$2:$D$601,$D546)</f>
        <v>13</v>
      </c>
      <c r="I546" s="19">
        <f>SUMIFS('Stock Outflow'!$E$2:$E$601,'Stock Outflow'!$A$2:$A$601,$A546,'Stock Outflow'!$D$2:$D$601,$D546)</f>
        <v>0</v>
      </c>
      <c r="J546" s="19">
        <f t="shared" si="48"/>
        <v>245</v>
      </c>
      <c r="K546" s="20">
        <f>INDEX('Item Master'!$F$2:$F$51,MATCH($A546,'Item Master'!$A$2:$A$51,0))</f>
        <v>900</v>
      </c>
      <c r="L546" s="20">
        <f t="shared" si="49"/>
        <v>11700</v>
      </c>
      <c r="M546" s="21">
        <f t="shared" si="50"/>
        <v>0.43333333333333335</v>
      </c>
      <c r="N546" s="19">
        <f>INDEX('Item Master'!$E$2:$E$51,MATCH($A546,'Item Master'!$A$2:$A$51,0))</f>
        <v>14</v>
      </c>
      <c r="O546" s="22">
        <f>INDEX('Product Summary'!$L$2:$L$51,MATCH($A546,'Product Summary'!$A$2:$A$51,0))</f>
        <v>4.4333333333333336</v>
      </c>
      <c r="P546" s="22">
        <f>INDEX('Product Summary'!$M$2:$M$51,MATCH($A546,'Product Summary'!$A$2:$A$51,0))</f>
        <v>11.107305936073059</v>
      </c>
      <c r="Q546" s="22">
        <f t="shared" si="51"/>
        <v>565.38461538461536</v>
      </c>
      <c r="R546" s="22">
        <f t="shared" si="52"/>
        <v>539.75237091675444</v>
      </c>
      <c r="S546" s="19" t="str">
        <f t="shared" si="53"/>
        <v>OVERSTOCK</v>
      </c>
    </row>
    <row r="547" spans="1:19" x14ac:dyDescent="0.3">
      <c r="A547" s="19" t="s">
        <v>162</v>
      </c>
      <c r="B547" s="19" t="s">
        <v>163</v>
      </c>
      <c r="C547" s="19" t="s">
        <v>38</v>
      </c>
      <c r="D547" s="19" t="s">
        <v>37</v>
      </c>
      <c r="E547" s="19">
        <f>SUMIFS('Stock Inflow'!$G$2:$G$601,'Stock Inflow'!$A$2:$A$601,$A547,'Stock Inflow'!$D$2:$D$601,$D547)</f>
        <v>245</v>
      </c>
      <c r="F547" s="19">
        <f>SUMIFS('Stock Inflow'!$F$2:$F$601,'Stock Inflow'!$A$2:$A$601,$A547,'Stock Inflow'!$D$2:$D$601,$D547)</f>
        <v>16</v>
      </c>
      <c r="G547" s="19">
        <f>SUMIFS('Stock Inflow'!$E$2:$E$601,'Stock Inflow'!$A$2:$A$601,$A547,'Stock Inflow'!$D$2:$D$601,$D547)</f>
        <v>0</v>
      </c>
      <c r="H547" s="19">
        <f>SUMIFS('Stock Outflow'!$F$2:$F$601,'Stock Outflow'!$A$2:$A$601,$A547,'Stock Outflow'!$D$2:$D$601,$D547)</f>
        <v>15</v>
      </c>
      <c r="I547" s="19">
        <f>SUMIFS('Stock Outflow'!$E$2:$E$601,'Stock Outflow'!$A$2:$A$601,$A547,'Stock Outflow'!$D$2:$D$601,$D547)</f>
        <v>0</v>
      </c>
      <c r="J547" s="19">
        <f t="shared" si="48"/>
        <v>246</v>
      </c>
      <c r="K547" s="20">
        <f>INDEX('Item Master'!$F$2:$F$51,MATCH($A547,'Item Master'!$A$2:$A$51,0))</f>
        <v>900</v>
      </c>
      <c r="L547" s="20">
        <f t="shared" si="49"/>
        <v>13500</v>
      </c>
      <c r="M547" s="21">
        <f t="shared" si="50"/>
        <v>0.5</v>
      </c>
      <c r="N547" s="19">
        <f>INDEX('Item Master'!$E$2:$E$51,MATCH($A547,'Item Master'!$A$2:$A$51,0))</f>
        <v>14</v>
      </c>
      <c r="O547" s="22">
        <f>INDEX('Product Summary'!$L$2:$L$51,MATCH($A547,'Product Summary'!$A$2:$A$51,0))</f>
        <v>4.4333333333333336</v>
      </c>
      <c r="P547" s="22">
        <f>INDEX('Product Summary'!$M$2:$M$51,MATCH($A547,'Product Summary'!$A$2:$A$51,0))</f>
        <v>11.107305936073059</v>
      </c>
      <c r="Q547" s="22">
        <f t="shared" si="51"/>
        <v>492</v>
      </c>
      <c r="R547" s="22">
        <f t="shared" si="52"/>
        <v>469.78538812785388</v>
      </c>
      <c r="S547" s="19" t="str">
        <f t="shared" si="53"/>
        <v>OVERSTOCK</v>
      </c>
    </row>
    <row r="548" spans="1:19" x14ac:dyDescent="0.3">
      <c r="A548" s="19" t="s">
        <v>162</v>
      </c>
      <c r="B548" s="19" t="s">
        <v>163</v>
      </c>
      <c r="C548" s="19" t="s">
        <v>38</v>
      </c>
      <c r="D548" s="19" t="s">
        <v>39</v>
      </c>
      <c r="E548" s="19">
        <f>SUMIFS('Stock Inflow'!$G$2:$G$601,'Stock Inflow'!$A$2:$A$601,$A548,'Stock Inflow'!$D$2:$D$601,$D548)</f>
        <v>246</v>
      </c>
      <c r="F548" s="19">
        <f>SUMIFS('Stock Inflow'!$F$2:$F$601,'Stock Inflow'!$A$2:$A$601,$A548,'Stock Inflow'!$D$2:$D$601,$D548)</f>
        <v>14</v>
      </c>
      <c r="G548" s="19">
        <f>SUMIFS('Stock Inflow'!$E$2:$E$601,'Stock Inflow'!$A$2:$A$601,$A548,'Stock Inflow'!$D$2:$D$601,$D548)</f>
        <v>0</v>
      </c>
      <c r="H548" s="19">
        <f>SUMIFS('Stock Outflow'!$F$2:$F$601,'Stock Outflow'!$A$2:$A$601,$A548,'Stock Outflow'!$D$2:$D$601,$D548)</f>
        <v>12</v>
      </c>
      <c r="I548" s="19">
        <f>SUMIFS('Stock Outflow'!$E$2:$E$601,'Stock Outflow'!$A$2:$A$601,$A548,'Stock Outflow'!$D$2:$D$601,$D548)</f>
        <v>0</v>
      </c>
      <c r="J548" s="19">
        <f t="shared" si="48"/>
        <v>248</v>
      </c>
      <c r="K548" s="20">
        <f>INDEX('Item Master'!$F$2:$F$51,MATCH($A548,'Item Master'!$A$2:$A$51,0))</f>
        <v>900</v>
      </c>
      <c r="L548" s="20">
        <f t="shared" si="49"/>
        <v>10800</v>
      </c>
      <c r="M548" s="21">
        <f t="shared" si="50"/>
        <v>0.4</v>
      </c>
      <c r="N548" s="19">
        <f>INDEX('Item Master'!$E$2:$E$51,MATCH($A548,'Item Master'!$A$2:$A$51,0))</f>
        <v>14</v>
      </c>
      <c r="O548" s="22">
        <f>INDEX('Product Summary'!$L$2:$L$51,MATCH($A548,'Product Summary'!$A$2:$A$51,0))</f>
        <v>4.4333333333333336</v>
      </c>
      <c r="P548" s="22">
        <f>INDEX('Product Summary'!$M$2:$M$51,MATCH($A548,'Product Summary'!$A$2:$A$51,0))</f>
        <v>11.107305936073059</v>
      </c>
      <c r="Q548" s="22">
        <f t="shared" si="51"/>
        <v>620</v>
      </c>
      <c r="R548" s="22">
        <f t="shared" si="52"/>
        <v>592.23173515981728</v>
      </c>
      <c r="S548" s="19" t="str">
        <f t="shared" si="53"/>
        <v>OVERSTOCK</v>
      </c>
    </row>
    <row r="549" spans="1:19" x14ac:dyDescent="0.3">
      <c r="A549" s="19" t="s">
        <v>162</v>
      </c>
      <c r="B549" s="19" t="s">
        <v>163</v>
      </c>
      <c r="C549" s="19" t="s">
        <v>38</v>
      </c>
      <c r="D549" s="19" t="s">
        <v>41</v>
      </c>
      <c r="E549" s="19">
        <f>SUMIFS('Stock Inflow'!$G$2:$G$601,'Stock Inflow'!$A$2:$A$601,$A549,'Stock Inflow'!$D$2:$D$601,$D549)</f>
        <v>248</v>
      </c>
      <c r="F549" s="19">
        <f>SUMIFS('Stock Inflow'!$F$2:$F$601,'Stock Inflow'!$A$2:$A$601,$A549,'Stock Inflow'!$D$2:$D$601,$D549)</f>
        <v>14</v>
      </c>
      <c r="G549" s="19">
        <f>SUMIFS('Stock Inflow'!$E$2:$E$601,'Stock Inflow'!$A$2:$A$601,$A549,'Stock Inflow'!$D$2:$D$601,$D549)</f>
        <v>0</v>
      </c>
      <c r="H549" s="19">
        <f>SUMIFS('Stock Outflow'!$F$2:$F$601,'Stock Outflow'!$A$2:$A$601,$A549,'Stock Outflow'!$D$2:$D$601,$D549)</f>
        <v>13</v>
      </c>
      <c r="I549" s="19">
        <f>SUMIFS('Stock Outflow'!$E$2:$E$601,'Stock Outflow'!$A$2:$A$601,$A549,'Stock Outflow'!$D$2:$D$601,$D549)</f>
        <v>0</v>
      </c>
      <c r="J549" s="19">
        <f t="shared" si="48"/>
        <v>249</v>
      </c>
      <c r="K549" s="20">
        <f>INDEX('Item Master'!$F$2:$F$51,MATCH($A549,'Item Master'!$A$2:$A$51,0))</f>
        <v>900</v>
      </c>
      <c r="L549" s="20">
        <f t="shared" si="49"/>
        <v>11700</v>
      </c>
      <c r="M549" s="21">
        <f t="shared" si="50"/>
        <v>0.43333333333333335</v>
      </c>
      <c r="N549" s="19">
        <f>INDEX('Item Master'!$E$2:$E$51,MATCH($A549,'Item Master'!$A$2:$A$51,0))</f>
        <v>14</v>
      </c>
      <c r="O549" s="22">
        <f>INDEX('Product Summary'!$L$2:$L$51,MATCH($A549,'Product Summary'!$A$2:$A$51,0))</f>
        <v>4.4333333333333336</v>
      </c>
      <c r="P549" s="22">
        <f>INDEX('Product Summary'!$M$2:$M$51,MATCH($A549,'Product Summary'!$A$2:$A$51,0))</f>
        <v>11.107305936073059</v>
      </c>
      <c r="Q549" s="22">
        <f t="shared" si="51"/>
        <v>574.61538461538464</v>
      </c>
      <c r="R549" s="22">
        <f t="shared" si="52"/>
        <v>548.98314014752373</v>
      </c>
      <c r="S549" s="19" t="str">
        <f t="shared" si="53"/>
        <v>OVERSTOCK</v>
      </c>
    </row>
    <row r="550" spans="1:19" x14ac:dyDescent="0.3">
      <c r="A550" s="19" t="s">
        <v>162</v>
      </c>
      <c r="B550" s="19" t="s">
        <v>163</v>
      </c>
      <c r="C550" s="19" t="s">
        <v>38</v>
      </c>
      <c r="D550" s="19" t="s">
        <v>43</v>
      </c>
      <c r="E550" s="19">
        <f>SUMIFS('Stock Inflow'!$G$2:$G$601,'Stock Inflow'!$A$2:$A$601,$A550,'Stock Inflow'!$D$2:$D$601,$D550)</f>
        <v>249</v>
      </c>
      <c r="F550" s="19">
        <f>SUMIFS('Stock Inflow'!$F$2:$F$601,'Stock Inflow'!$A$2:$A$601,$A550,'Stock Inflow'!$D$2:$D$601,$D550)</f>
        <v>17</v>
      </c>
      <c r="G550" s="19">
        <f>SUMIFS('Stock Inflow'!$E$2:$E$601,'Stock Inflow'!$A$2:$A$601,$A550,'Stock Inflow'!$D$2:$D$601,$D550)</f>
        <v>0</v>
      </c>
      <c r="H550" s="19">
        <f>SUMIFS('Stock Outflow'!$F$2:$F$601,'Stock Outflow'!$A$2:$A$601,$A550,'Stock Outflow'!$D$2:$D$601,$D550)</f>
        <v>14</v>
      </c>
      <c r="I550" s="19">
        <f>SUMIFS('Stock Outflow'!$E$2:$E$601,'Stock Outflow'!$A$2:$A$601,$A550,'Stock Outflow'!$D$2:$D$601,$D550)</f>
        <v>0</v>
      </c>
      <c r="J550" s="19">
        <f t="shared" si="48"/>
        <v>252</v>
      </c>
      <c r="K550" s="20">
        <f>INDEX('Item Master'!$F$2:$F$51,MATCH($A550,'Item Master'!$A$2:$A$51,0))</f>
        <v>900</v>
      </c>
      <c r="L550" s="20">
        <f t="shared" si="49"/>
        <v>12600</v>
      </c>
      <c r="M550" s="21">
        <f t="shared" si="50"/>
        <v>0.46666666666666667</v>
      </c>
      <c r="N550" s="19">
        <f>INDEX('Item Master'!$E$2:$E$51,MATCH($A550,'Item Master'!$A$2:$A$51,0))</f>
        <v>14</v>
      </c>
      <c r="O550" s="22">
        <f>INDEX('Product Summary'!$L$2:$L$51,MATCH($A550,'Product Summary'!$A$2:$A$51,0))</f>
        <v>4.4333333333333336</v>
      </c>
      <c r="P550" s="22">
        <f>INDEX('Product Summary'!$M$2:$M$51,MATCH($A550,'Product Summary'!$A$2:$A$51,0))</f>
        <v>11.107305936073059</v>
      </c>
      <c r="Q550" s="22">
        <f t="shared" si="51"/>
        <v>540</v>
      </c>
      <c r="R550" s="22">
        <f t="shared" si="52"/>
        <v>516.19863013698625</v>
      </c>
      <c r="S550" s="19" t="str">
        <f t="shared" si="53"/>
        <v>OVERSTOCK</v>
      </c>
    </row>
    <row r="551" spans="1:19" x14ac:dyDescent="0.3">
      <c r="A551" s="19" t="s">
        <v>162</v>
      </c>
      <c r="B551" s="19" t="s">
        <v>163</v>
      </c>
      <c r="C551" s="19" t="s">
        <v>38</v>
      </c>
      <c r="D551" s="19" t="s">
        <v>45</v>
      </c>
      <c r="E551" s="19">
        <f>SUMIFS('Stock Inflow'!$G$2:$G$601,'Stock Inflow'!$A$2:$A$601,$A551,'Stock Inflow'!$D$2:$D$601,$D551)</f>
        <v>252</v>
      </c>
      <c r="F551" s="19">
        <f>SUMIFS('Stock Inflow'!$F$2:$F$601,'Stock Inflow'!$A$2:$A$601,$A551,'Stock Inflow'!$D$2:$D$601,$D551)</f>
        <v>26</v>
      </c>
      <c r="G551" s="19">
        <f>SUMIFS('Stock Inflow'!$E$2:$E$601,'Stock Inflow'!$A$2:$A$601,$A551,'Stock Inflow'!$D$2:$D$601,$D551)</f>
        <v>1</v>
      </c>
      <c r="H551" s="19">
        <f>SUMIFS('Stock Outflow'!$F$2:$F$601,'Stock Outflow'!$A$2:$A$601,$A551,'Stock Outflow'!$D$2:$D$601,$D551)</f>
        <v>24</v>
      </c>
      <c r="I551" s="19">
        <f>SUMIFS('Stock Outflow'!$E$2:$E$601,'Stock Outflow'!$A$2:$A$601,$A551,'Stock Outflow'!$D$2:$D$601,$D551)</f>
        <v>0</v>
      </c>
      <c r="J551" s="19">
        <f t="shared" si="48"/>
        <v>255</v>
      </c>
      <c r="K551" s="20">
        <f>INDEX('Item Master'!$F$2:$F$51,MATCH($A551,'Item Master'!$A$2:$A$51,0))</f>
        <v>900</v>
      </c>
      <c r="L551" s="20">
        <f t="shared" si="49"/>
        <v>21600</v>
      </c>
      <c r="M551" s="21">
        <f t="shared" si="50"/>
        <v>0.8</v>
      </c>
      <c r="N551" s="19">
        <f>INDEX('Item Master'!$E$2:$E$51,MATCH($A551,'Item Master'!$A$2:$A$51,0))</f>
        <v>14</v>
      </c>
      <c r="O551" s="22">
        <f>INDEX('Product Summary'!$L$2:$L$51,MATCH($A551,'Product Summary'!$A$2:$A$51,0))</f>
        <v>4.4333333333333336</v>
      </c>
      <c r="P551" s="22">
        <f>INDEX('Product Summary'!$M$2:$M$51,MATCH($A551,'Product Summary'!$A$2:$A$51,0))</f>
        <v>11.107305936073059</v>
      </c>
      <c r="Q551" s="22">
        <f t="shared" si="51"/>
        <v>318.75</v>
      </c>
      <c r="R551" s="22">
        <f t="shared" si="52"/>
        <v>304.86586757990864</v>
      </c>
      <c r="S551" s="19" t="str">
        <f t="shared" si="53"/>
        <v>OVERSTOCK</v>
      </c>
    </row>
    <row r="552" spans="1:19" x14ac:dyDescent="0.3">
      <c r="A552" s="19" t="s">
        <v>162</v>
      </c>
      <c r="B552" s="19" t="s">
        <v>163</v>
      </c>
      <c r="C552" s="19" t="s">
        <v>38</v>
      </c>
      <c r="D552" s="19" t="s">
        <v>47</v>
      </c>
      <c r="E552" s="19">
        <f>SUMIFS('Stock Inflow'!$G$2:$G$601,'Stock Inflow'!$A$2:$A$601,$A552,'Stock Inflow'!$D$2:$D$601,$D552)</f>
        <v>255</v>
      </c>
      <c r="F552" s="19">
        <f>SUMIFS('Stock Inflow'!$F$2:$F$601,'Stock Inflow'!$A$2:$A$601,$A552,'Stock Inflow'!$D$2:$D$601,$D552)</f>
        <v>20</v>
      </c>
      <c r="G552" s="19">
        <f>SUMIFS('Stock Inflow'!$E$2:$E$601,'Stock Inflow'!$A$2:$A$601,$A552,'Stock Inflow'!$D$2:$D$601,$D552)</f>
        <v>0</v>
      </c>
      <c r="H552" s="19">
        <f>SUMIFS('Stock Outflow'!$F$2:$F$601,'Stock Outflow'!$A$2:$A$601,$A552,'Stock Outflow'!$D$2:$D$601,$D552)</f>
        <v>17</v>
      </c>
      <c r="I552" s="19">
        <f>SUMIFS('Stock Outflow'!$E$2:$E$601,'Stock Outflow'!$A$2:$A$601,$A552,'Stock Outflow'!$D$2:$D$601,$D552)</f>
        <v>0</v>
      </c>
      <c r="J552" s="19">
        <f t="shared" si="48"/>
        <v>258</v>
      </c>
      <c r="K552" s="20">
        <f>INDEX('Item Master'!$F$2:$F$51,MATCH($A552,'Item Master'!$A$2:$A$51,0))</f>
        <v>900</v>
      </c>
      <c r="L552" s="20">
        <f t="shared" si="49"/>
        <v>15300</v>
      </c>
      <c r="M552" s="21">
        <f t="shared" si="50"/>
        <v>0.56666666666666665</v>
      </c>
      <c r="N552" s="19">
        <f>INDEX('Item Master'!$E$2:$E$51,MATCH($A552,'Item Master'!$A$2:$A$51,0))</f>
        <v>14</v>
      </c>
      <c r="O552" s="22">
        <f>INDEX('Product Summary'!$L$2:$L$51,MATCH($A552,'Product Summary'!$A$2:$A$51,0))</f>
        <v>4.4333333333333336</v>
      </c>
      <c r="P552" s="22">
        <f>INDEX('Product Summary'!$M$2:$M$51,MATCH($A552,'Product Summary'!$A$2:$A$51,0))</f>
        <v>11.107305936073059</v>
      </c>
      <c r="Q552" s="22">
        <f t="shared" si="51"/>
        <v>455.29411764705884</v>
      </c>
      <c r="R552" s="22">
        <f t="shared" si="52"/>
        <v>435.69298952457694</v>
      </c>
      <c r="S552" s="19" t="str">
        <f t="shared" si="53"/>
        <v>OVERSTOCK</v>
      </c>
    </row>
    <row r="553" spans="1:19" x14ac:dyDescent="0.3">
      <c r="A553" s="19" t="s">
        <v>162</v>
      </c>
      <c r="B553" s="19" t="s">
        <v>163</v>
      </c>
      <c r="C553" s="19" t="s">
        <v>38</v>
      </c>
      <c r="D553" s="19" t="s">
        <v>49</v>
      </c>
      <c r="E553" s="19">
        <f>SUMIFS('Stock Inflow'!$G$2:$G$601,'Stock Inflow'!$A$2:$A$601,$A553,'Stock Inflow'!$D$2:$D$601,$D553)</f>
        <v>258</v>
      </c>
      <c r="F553" s="19">
        <f>SUMIFS('Stock Inflow'!$F$2:$F$601,'Stock Inflow'!$A$2:$A$601,$A553,'Stock Inflow'!$D$2:$D$601,$D553)</f>
        <v>15</v>
      </c>
      <c r="G553" s="19">
        <f>SUMIFS('Stock Inflow'!$E$2:$E$601,'Stock Inflow'!$A$2:$A$601,$A553,'Stock Inflow'!$D$2:$D$601,$D553)</f>
        <v>0</v>
      </c>
      <c r="H553" s="19">
        <f>SUMIFS('Stock Outflow'!$F$2:$F$601,'Stock Outflow'!$A$2:$A$601,$A553,'Stock Outflow'!$D$2:$D$601,$D553)</f>
        <v>12</v>
      </c>
      <c r="I553" s="19">
        <f>SUMIFS('Stock Outflow'!$E$2:$E$601,'Stock Outflow'!$A$2:$A$601,$A553,'Stock Outflow'!$D$2:$D$601,$D553)</f>
        <v>0</v>
      </c>
      <c r="J553" s="19">
        <f t="shared" si="48"/>
        <v>261</v>
      </c>
      <c r="K553" s="20">
        <f>INDEX('Item Master'!$F$2:$F$51,MATCH($A553,'Item Master'!$A$2:$A$51,0))</f>
        <v>900</v>
      </c>
      <c r="L553" s="20">
        <f t="shared" si="49"/>
        <v>10800</v>
      </c>
      <c r="M553" s="21">
        <f t="shared" si="50"/>
        <v>0.4</v>
      </c>
      <c r="N553" s="19">
        <f>INDEX('Item Master'!$E$2:$E$51,MATCH($A553,'Item Master'!$A$2:$A$51,0))</f>
        <v>14</v>
      </c>
      <c r="O553" s="22">
        <f>INDEX('Product Summary'!$L$2:$L$51,MATCH($A553,'Product Summary'!$A$2:$A$51,0))</f>
        <v>4.4333333333333336</v>
      </c>
      <c r="P553" s="22">
        <f>INDEX('Product Summary'!$M$2:$M$51,MATCH($A553,'Product Summary'!$A$2:$A$51,0))</f>
        <v>11.107305936073059</v>
      </c>
      <c r="Q553" s="22">
        <f t="shared" si="51"/>
        <v>652.5</v>
      </c>
      <c r="R553" s="22">
        <f t="shared" si="52"/>
        <v>624.73173515981728</v>
      </c>
      <c r="S553" s="19" t="str">
        <f t="shared" si="53"/>
        <v>OVERSTOCK</v>
      </c>
    </row>
    <row r="554" spans="1:19" x14ac:dyDescent="0.3">
      <c r="A554" s="19" t="s">
        <v>164</v>
      </c>
      <c r="B554" s="19" t="s">
        <v>165</v>
      </c>
      <c r="C554" s="19" t="s">
        <v>38</v>
      </c>
      <c r="D554" s="19" t="s">
        <v>27</v>
      </c>
      <c r="E554" s="19">
        <f>SUMIFS('Stock Inflow'!$G$2:$G$601,'Stock Inflow'!$A$2:$A$601,$A554,'Stock Inflow'!$D$2:$D$601,$D554)</f>
        <v>207</v>
      </c>
      <c r="F554" s="19">
        <f>SUMIFS('Stock Inflow'!$F$2:$F$601,'Stock Inflow'!$A$2:$A$601,$A554,'Stock Inflow'!$D$2:$D$601,$D554)</f>
        <v>13</v>
      </c>
      <c r="G554" s="19">
        <f>SUMIFS('Stock Inflow'!$E$2:$E$601,'Stock Inflow'!$A$2:$A$601,$A554,'Stock Inflow'!$D$2:$D$601,$D554)</f>
        <v>0</v>
      </c>
      <c r="H554" s="19">
        <f>SUMIFS('Stock Outflow'!$F$2:$F$601,'Stock Outflow'!$A$2:$A$601,$A554,'Stock Outflow'!$D$2:$D$601,$D554)</f>
        <v>12</v>
      </c>
      <c r="I554" s="19">
        <f>SUMIFS('Stock Outflow'!$E$2:$E$601,'Stock Outflow'!$A$2:$A$601,$A554,'Stock Outflow'!$D$2:$D$601,$D554)</f>
        <v>0</v>
      </c>
      <c r="J554" s="19">
        <f t="shared" si="48"/>
        <v>208</v>
      </c>
      <c r="K554" s="20">
        <f>INDEX('Item Master'!$F$2:$F$51,MATCH($A554,'Item Master'!$A$2:$A$51,0))</f>
        <v>1800</v>
      </c>
      <c r="L554" s="20">
        <f t="shared" si="49"/>
        <v>21600</v>
      </c>
      <c r="M554" s="21">
        <f t="shared" si="50"/>
        <v>0.4</v>
      </c>
      <c r="N554" s="19">
        <f>INDEX('Item Master'!$E$2:$E$51,MATCH($A554,'Item Master'!$A$2:$A$51,0))</f>
        <v>5</v>
      </c>
      <c r="O554" s="22">
        <f>INDEX('Product Summary'!$L$2:$L$51,MATCH($A554,'Product Summary'!$A$2:$A$51,0))</f>
        <v>0.79166666666666663</v>
      </c>
      <c r="P554" s="22">
        <f>INDEX('Product Summary'!$M$2:$M$51,MATCH($A554,'Product Summary'!$A$2:$A$51,0))</f>
        <v>2.8053652968036529</v>
      </c>
      <c r="Q554" s="22">
        <f t="shared" si="51"/>
        <v>520</v>
      </c>
      <c r="R554" s="22">
        <f t="shared" si="52"/>
        <v>512.98658675799084</v>
      </c>
      <c r="S554" s="19" t="str">
        <f t="shared" si="53"/>
        <v>OVERSTOCK</v>
      </c>
    </row>
    <row r="555" spans="1:19" x14ac:dyDescent="0.3">
      <c r="A555" s="19" t="s">
        <v>164</v>
      </c>
      <c r="B555" s="19" t="s">
        <v>165</v>
      </c>
      <c r="C555" s="19" t="s">
        <v>38</v>
      </c>
      <c r="D555" s="19" t="s">
        <v>29</v>
      </c>
      <c r="E555" s="19">
        <f>SUMIFS('Stock Inflow'!$G$2:$G$601,'Stock Inflow'!$A$2:$A$601,$A555,'Stock Inflow'!$D$2:$D$601,$D555)</f>
        <v>208</v>
      </c>
      <c r="F555" s="19">
        <f>SUMIFS('Stock Inflow'!$F$2:$F$601,'Stock Inflow'!$A$2:$A$601,$A555,'Stock Inflow'!$D$2:$D$601,$D555)</f>
        <v>15</v>
      </c>
      <c r="G555" s="19">
        <f>SUMIFS('Stock Inflow'!$E$2:$E$601,'Stock Inflow'!$A$2:$A$601,$A555,'Stock Inflow'!$D$2:$D$601,$D555)</f>
        <v>0</v>
      </c>
      <c r="H555" s="19">
        <f>SUMIFS('Stock Outflow'!$F$2:$F$601,'Stock Outflow'!$A$2:$A$601,$A555,'Stock Outflow'!$D$2:$D$601,$D555)</f>
        <v>13</v>
      </c>
      <c r="I555" s="19">
        <f>SUMIFS('Stock Outflow'!$E$2:$E$601,'Stock Outflow'!$A$2:$A$601,$A555,'Stock Outflow'!$D$2:$D$601,$D555)</f>
        <v>0</v>
      </c>
      <c r="J555" s="19">
        <f t="shared" si="48"/>
        <v>210</v>
      </c>
      <c r="K555" s="20">
        <f>INDEX('Item Master'!$F$2:$F$51,MATCH($A555,'Item Master'!$A$2:$A$51,0))</f>
        <v>1800</v>
      </c>
      <c r="L555" s="20">
        <f t="shared" si="49"/>
        <v>23400</v>
      </c>
      <c r="M555" s="21">
        <f t="shared" si="50"/>
        <v>0.43333333333333335</v>
      </c>
      <c r="N555" s="19">
        <f>INDEX('Item Master'!$E$2:$E$51,MATCH($A555,'Item Master'!$A$2:$A$51,0))</f>
        <v>5</v>
      </c>
      <c r="O555" s="22">
        <f>INDEX('Product Summary'!$L$2:$L$51,MATCH($A555,'Product Summary'!$A$2:$A$51,0))</f>
        <v>0.79166666666666663</v>
      </c>
      <c r="P555" s="22">
        <f>INDEX('Product Summary'!$M$2:$M$51,MATCH($A555,'Product Summary'!$A$2:$A$51,0))</f>
        <v>2.8053652968036529</v>
      </c>
      <c r="Q555" s="22">
        <f t="shared" si="51"/>
        <v>484.61538461538458</v>
      </c>
      <c r="R555" s="22">
        <f t="shared" si="52"/>
        <v>478.14146469968387</v>
      </c>
      <c r="S555" s="19" t="str">
        <f t="shared" si="53"/>
        <v>OVERSTOCK</v>
      </c>
    </row>
    <row r="556" spans="1:19" x14ac:dyDescent="0.3">
      <c r="A556" s="19" t="s">
        <v>164</v>
      </c>
      <c r="B556" s="19" t="s">
        <v>165</v>
      </c>
      <c r="C556" s="19" t="s">
        <v>38</v>
      </c>
      <c r="D556" s="19" t="s">
        <v>31</v>
      </c>
      <c r="E556" s="19">
        <f>SUMIFS('Stock Inflow'!$G$2:$G$601,'Stock Inflow'!$A$2:$A$601,$A556,'Stock Inflow'!$D$2:$D$601,$D556)</f>
        <v>210</v>
      </c>
      <c r="F556" s="19">
        <f>SUMIFS('Stock Inflow'!$F$2:$F$601,'Stock Inflow'!$A$2:$A$601,$A556,'Stock Inflow'!$D$2:$D$601,$D556)</f>
        <v>14</v>
      </c>
      <c r="G556" s="19">
        <f>SUMIFS('Stock Inflow'!$E$2:$E$601,'Stock Inflow'!$A$2:$A$601,$A556,'Stock Inflow'!$D$2:$D$601,$D556)</f>
        <v>0</v>
      </c>
      <c r="H556" s="19">
        <f>SUMIFS('Stock Outflow'!$F$2:$F$601,'Stock Outflow'!$A$2:$A$601,$A556,'Stock Outflow'!$D$2:$D$601,$D556)</f>
        <v>13</v>
      </c>
      <c r="I556" s="19">
        <f>SUMIFS('Stock Outflow'!$E$2:$E$601,'Stock Outflow'!$A$2:$A$601,$A556,'Stock Outflow'!$D$2:$D$601,$D556)</f>
        <v>0</v>
      </c>
      <c r="J556" s="19">
        <f t="shared" si="48"/>
        <v>211</v>
      </c>
      <c r="K556" s="20">
        <f>INDEX('Item Master'!$F$2:$F$51,MATCH($A556,'Item Master'!$A$2:$A$51,0))</f>
        <v>1800</v>
      </c>
      <c r="L556" s="20">
        <f t="shared" si="49"/>
        <v>23400</v>
      </c>
      <c r="M556" s="21">
        <f t="shared" si="50"/>
        <v>0.43333333333333335</v>
      </c>
      <c r="N556" s="19">
        <f>INDEX('Item Master'!$E$2:$E$51,MATCH($A556,'Item Master'!$A$2:$A$51,0))</f>
        <v>5</v>
      </c>
      <c r="O556" s="22">
        <f>INDEX('Product Summary'!$L$2:$L$51,MATCH($A556,'Product Summary'!$A$2:$A$51,0))</f>
        <v>0.79166666666666663</v>
      </c>
      <c r="P556" s="22">
        <f>INDEX('Product Summary'!$M$2:$M$51,MATCH($A556,'Product Summary'!$A$2:$A$51,0))</f>
        <v>2.8053652968036529</v>
      </c>
      <c r="Q556" s="22">
        <f t="shared" si="51"/>
        <v>486.92307692307691</v>
      </c>
      <c r="R556" s="22">
        <f t="shared" si="52"/>
        <v>480.44915700737619</v>
      </c>
      <c r="S556" s="19" t="str">
        <f t="shared" si="53"/>
        <v>OVERSTOCK</v>
      </c>
    </row>
    <row r="557" spans="1:19" x14ac:dyDescent="0.3">
      <c r="A557" s="19" t="s">
        <v>164</v>
      </c>
      <c r="B557" s="19" t="s">
        <v>165</v>
      </c>
      <c r="C557" s="19" t="s">
        <v>38</v>
      </c>
      <c r="D557" s="19" t="s">
        <v>33</v>
      </c>
      <c r="E557" s="19">
        <f>SUMIFS('Stock Inflow'!$G$2:$G$601,'Stock Inflow'!$A$2:$A$601,$A557,'Stock Inflow'!$D$2:$D$601,$D557)</f>
        <v>211</v>
      </c>
      <c r="F557" s="19">
        <f>SUMIFS('Stock Inflow'!$F$2:$F$601,'Stock Inflow'!$A$2:$A$601,$A557,'Stock Inflow'!$D$2:$D$601,$D557)</f>
        <v>12</v>
      </c>
      <c r="G557" s="19">
        <f>SUMIFS('Stock Inflow'!$E$2:$E$601,'Stock Inflow'!$A$2:$A$601,$A557,'Stock Inflow'!$D$2:$D$601,$D557)</f>
        <v>0</v>
      </c>
      <c r="H557" s="19">
        <f>SUMIFS('Stock Outflow'!$F$2:$F$601,'Stock Outflow'!$A$2:$A$601,$A557,'Stock Outflow'!$D$2:$D$601,$D557)</f>
        <v>11</v>
      </c>
      <c r="I557" s="19">
        <f>SUMIFS('Stock Outflow'!$E$2:$E$601,'Stock Outflow'!$A$2:$A$601,$A557,'Stock Outflow'!$D$2:$D$601,$D557)</f>
        <v>0</v>
      </c>
      <c r="J557" s="19">
        <f t="shared" si="48"/>
        <v>212</v>
      </c>
      <c r="K557" s="20">
        <f>INDEX('Item Master'!$F$2:$F$51,MATCH($A557,'Item Master'!$A$2:$A$51,0))</f>
        <v>1800</v>
      </c>
      <c r="L557" s="20">
        <f t="shared" si="49"/>
        <v>19800</v>
      </c>
      <c r="M557" s="21">
        <f t="shared" si="50"/>
        <v>0.36666666666666664</v>
      </c>
      <c r="N557" s="19">
        <f>INDEX('Item Master'!$E$2:$E$51,MATCH($A557,'Item Master'!$A$2:$A$51,0))</f>
        <v>5</v>
      </c>
      <c r="O557" s="22">
        <f>INDEX('Product Summary'!$L$2:$L$51,MATCH($A557,'Product Summary'!$A$2:$A$51,0))</f>
        <v>0.79166666666666663</v>
      </c>
      <c r="P557" s="22">
        <f>INDEX('Product Summary'!$M$2:$M$51,MATCH($A557,'Product Summary'!$A$2:$A$51,0))</f>
        <v>2.8053652968036529</v>
      </c>
      <c r="Q557" s="22">
        <f t="shared" si="51"/>
        <v>578.18181818181824</v>
      </c>
      <c r="R557" s="22">
        <f t="shared" si="52"/>
        <v>570.53082191780834</v>
      </c>
      <c r="S557" s="19" t="str">
        <f t="shared" si="53"/>
        <v>OVERSTOCK</v>
      </c>
    </row>
    <row r="558" spans="1:19" x14ac:dyDescent="0.3">
      <c r="A558" s="19" t="s">
        <v>164</v>
      </c>
      <c r="B558" s="19" t="s">
        <v>165</v>
      </c>
      <c r="C558" s="19" t="s">
        <v>38</v>
      </c>
      <c r="D558" s="19" t="s">
        <v>35</v>
      </c>
      <c r="E558" s="19">
        <f>SUMIFS('Stock Inflow'!$G$2:$G$601,'Stock Inflow'!$A$2:$A$601,$A558,'Stock Inflow'!$D$2:$D$601,$D558)</f>
        <v>212</v>
      </c>
      <c r="F558" s="19">
        <f>SUMIFS('Stock Inflow'!$F$2:$F$601,'Stock Inflow'!$A$2:$A$601,$A558,'Stock Inflow'!$D$2:$D$601,$D558)</f>
        <v>12</v>
      </c>
      <c r="G558" s="19">
        <f>SUMIFS('Stock Inflow'!$E$2:$E$601,'Stock Inflow'!$A$2:$A$601,$A558,'Stock Inflow'!$D$2:$D$601,$D558)</f>
        <v>0</v>
      </c>
      <c r="H558" s="19">
        <f>SUMIFS('Stock Outflow'!$F$2:$F$601,'Stock Outflow'!$A$2:$A$601,$A558,'Stock Outflow'!$D$2:$D$601,$D558)</f>
        <v>11</v>
      </c>
      <c r="I558" s="19">
        <f>SUMIFS('Stock Outflow'!$E$2:$E$601,'Stock Outflow'!$A$2:$A$601,$A558,'Stock Outflow'!$D$2:$D$601,$D558)</f>
        <v>0</v>
      </c>
      <c r="J558" s="19">
        <f t="shared" si="48"/>
        <v>213</v>
      </c>
      <c r="K558" s="20">
        <f>INDEX('Item Master'!$F$2:$F$51,MATCH($A558,'Item Master'!$A$2:$A$51,0))</f>
        <v>1800</v>
      </c>
      <c r="L558" s="20">
        <f t="shared" si="49"/>
        <v>19800</v>
      </c>
      <c r="M558" s="21">
        <f t="shared" si="50"/>
        <v>0.36666666666666664</v>
      </c>
      <c r="N558" s="19">
        <f>INDEX('Item Master'!$E$2:$E$51,MATCH($A558,'Item Master'!$A$2:$A$51,0))</f>
        <v>5</v>
      </c>
      <c r="O558" s="22">
        <f>INDEX('Product Summary'!$L$2:$L$51,MATCH($A558,'Product Summary'!$A$2:$A$51,0))</f>
        <v>0.79166666666666663</v>
      </c>
      <c r="P558" s="22">
        <f>INDEX('Product Summary'!$M$2:$M$51,MATCH($A558,'Product Summary'!$A$2:$A$51,0))</f>
        <v>2.8053652968036529</v>
      </c>
      <c r="Q558" s="22">
        <f t="shared" si="51"/>
        <v>580.90909090909099</v>
      </c>
      <c r="R558" s="22">
        <f t="shared" si="52"/>
        <v>573.25809464508097</v>
      </c>
      <c r="S558" s="19" t="str">
        <f t="shared" si="53"/>
        <v>OVERSTOCK</v>
      </c>
    </row>
    <row r="559" spans="1:19" x14ac:dyDescent="0.3">
      <c r="A559" s="19" t="s">
        <v>164</v>
      </c>
      <c r="B559" s="19" t="s">
        <v>165</v>
      </c>
      <c r="C559" s="19" t="s">
        <v>38</v>
      </c>
      <c r="D559" s="19" t="s">
        <v>37</v>
      </c>
      <c r="E559" s="19">
        <f>SUMIFS('Stock Inflow'!$G$2:$G$601,'Stock Inflow'!$A$2:$A$601,$A559,'Stock Inflow'!$D$2:$D$601,$D559)</f>
        <v>213</v>
      </c>
      <c r="F559" s="19">
        <f>SUMIFS('Stock Inflow'!$F$2:$F$601,'Stock Inflow'!$A$2:$A$601,$A559,'Stock Inflow'!$D$2:$D$601,$D559)</f>
        <v>11</v>
      </c>
      <c r="G559" s="19">
        <f>SUMIFS('Stock Inflow'!$E$2:$E$601,'Stock Inflow'!$A$2:$A$601,$A559,'Stock Inflow'!$D$2:$D$601,$D559)</f>
        <v>0</v>
      </c>
      <c r="H559" s="19">
        <f>SUMIFS('Stock Outflow'!$F$2:$F$601,'Stock Outflow'!$A$2:$A$601,$A559,'Stock Outflow'!$D$2:$D$601,$D559)</f>
        <v>11</v>
      </c>
      <c r="I559" s="19">
        <f>SUMIFS('Stock Outflow'!$E$2:$E$601,'Stock Outflow'!$A$2:$A$601,$A559,'Stock Outflow'!$D$2:$D$601,$D559)</f>
        <v>0</v>
      </c>
      <c r="J559" s="19">
        <f t="shared" si="48"/>
        <v>213</v>
      </c>
      <c r="K559" s="20">
        <f>INDEX('Item Master'!$F$2:$F$51,MATCH($A559,'Item Master'!$A$2:$A$51,0))</f>
        <v>1800</v>
      </c>
      <c r="L559" s="20">
        <f t="shared" si="49"/>
        <v>19800</v>
      </c>
      <c r="M559" s="21">
        <f t="shared" si="50"/>
        <v>0.36666666666666664</v>
      </c>
      <c r="N559" s="19">
        <f>INDEX('Item Master'!$E$2:$E$51,MATCH($A559,'Item Master'!$A$2:$A$51,0))</f>
        <v>5</v>
      </c>
      <c r="O559" s="22">
        <f>INDEX('Product Summary'!$L$2:$L$51,MATCH($A559,'Product Summary'!$A$2:$A$51,0))</f>
        <v>0.79166666666666663</v>
      </c>
      <c r="P559" s="22">
        <f>INDEX('Product Summary'!$M$2:$M$51,MATCH($A559,'Product Summary'!$A$2:$A$51,0))</f>
        <v>2.8053652968036529</v>
      </c>
      <c r="Q559" s="22">
        <f t="shared" si="51"/>
        <v>580.90909090909099</v>
      </c>
      <c r="R559" s="22">
        <f t="shared" si="52"/>
        <v>573.25809464508097</v>
      </c>
      <c r="S559" s="19" t="str">
        <f t="shared" si="53"/>
        <v>OVERSTOCK</v>
      </c>
    </row>
    <row r="560" spans="1:19" x14ac:dyDescent="0.3">
      <c r="A560" s="19" t="s">
        <v>164</v>
      </c>
      <c r="B560" s="19" t="s">
        <v>165</v>
      </c>
      <c r="C560" s="19" t="s">
        <v>38</v>
      </c>
      <c r="D560" s="19" t="s">
        <v>39</v>
      </c>
      <c r="E560" s="19">
        <f>SUMIFS('Stock Inflow'!$G$2:$G$601,'Stock Inflow'!$A$2:$A$601,$A560,'Stock Inflow'!$D$2:$D$601,$D560)</f>
        <v>213</v>
      </c>
      <c r="F560" s="19">
        <f>SUMIFS('Stock Inflow'!$F$2:$F$601,'Stock Inflow'!$A$2:$A$601,$A560,'Stock Inflow'!$D$2:$D$601,$D560)</f>
        <v>14</v>
      </c>
      <c r="G560" s="19">
        <f>SUMIFS('Stock Inflow'!$E$2:$E$601,'Stock Inflow'!$A$2:$A$601,$A560,'Stock Inflow'!$D$2:$D$601,$D560)</f>
        <v>0</v>
      </c>
      <c r="H560" s="19">
        <f>SUMIFS('Stock Outflow'!$F$2:$F$601,'Stock Outflow'!$A$2:$A$601,$A560,'Stock Outflow'!$D$2:$D$601,$D560)</f>
        <v>11</v>
      </c>
      <c r="I560" s="19">
        <f>SUMIFS('Stock Outflow'!$E$2:$E$601,'Stock Outflow'!$A$2:$A$601,$A560,'Stock Outflow'!$D$2:$D$601,$D560)</f>
        <v>0</v>
      </c>
      <c r="J560" s="19">
        <f t="shared" si="48"/>
        <v>216</v>
      </c>
      <c r="K560" s="20">
        <f>INDEX('Item Master'!$F$2:$F$51,MATCH($A560,'Item Master'!$A$2:$A$51,0))</f>
        <v>1800</v>
      </c>
      <c r="L560" s="20">
        <f t="shared" si="49"/>
        <v>19800</v>
      </c>
      <c r="M560" s="21">
        <f t="shared" si="50"/>
        <v>0.36666666666666664</v>
      </c>
      <c r="N560" s="19">
        <f>INDEX('Item Master'!$E$2:$E$51,MATCH($A560,'Item Master'!$A$2:$A$51,0))</f>
        <v>5</v>
      </c>
      <c r="O560" s="22">
        <f>INDEX('Product Summary'!$L$2:$L$51,MATCH($A560,'Product Summary'!$A$2:$A$51,0))</f>
        <v>0.79166666666666663</v>
      </c>
      <c r="P560" s="22">
        <f>INDEX('Product Summary'!$M$2:$M$51,MATCH($A560,'Product Summary'!$A$2:$A$51,0))</f>
        <v>2.8053652968036529</v>
      </c>
      <c r="Q560" s="22">
        <f t="shared" si="51"/>
        <v>589.09090909090912</v>
      </c>
      <c r="R560" s="22">
        <f t="shared" si="52"/>
        <v>581.43991282689922</v>
      </c>
      <c r="S560" s="19" t="str">
        <f t="shared" si="53"/>
        <v>OVERSTOCK</v>
      </c>
    </row>
    <row r="561" spans="1:19" x14ac:dyDescent="0.3">
      <c r="A561" s="19" t="s">
        <v>164</v>
      </c>
      <c r="B561" s="19" t="s">
        <v>165</v>
      </c>
      <c r="C561" s="19" t="s">
        <v>38</v>
      </c>
      <c r="D561" s="19" t="s">
        <v>41</v>
      </c>
      <c r="E561" s="19">
        <f>SUMIFS('Stock Inflow'!$G$2:$G$601,'Stock Inflow'!$A$2:$A$601,$A561,'Stock Inflow'!$D$2:$D$601,$D561)</f>
        <v>216</v>
      </c>
      <c r="F561" s="19">
        <f>SUMIFS('Stock Inflow'!$F$2:$F$601,'Stock Inflow'!$A$2:$A$601,$A561,'Stock Inflow'!$D$2:$D$601,$D561)</f>
        <v>10</v>
      </c>
      <c r="G561" s="19">
        <f>SUMIFS('Stock Inflow'!$E$2:$E$601,'Stock Inflow'!$A$2:$A$601,$A561,'Stock Inflow'!$D$2:$D$601,$D561)</f>
        <v>0</v>
      </c>
      <c r="H561" s="19">
        <f>SUMIFS('Stock Outflow'!$F$2:$F$601,'Stock Outflow'!$A$2:$A$601,$A561,'Stock Outflow'!$D$2:$D$601,$D561)</f>
        <v>10</v>
      </c>
      <c r="I561" s="19">
        <f>SUMIFS('Stock Outflow'!$E$2:$E$601,'Stock Outflow'!$A$2:$A$601,$A561,'Stock Outflow'!$D$2:$D$601,$D561)</f>
        <v>0</v>
      </c>
      <c r="J561" s="19">
        <f t="shared" si="48"/>
        <v>216</v>
      </c>
      <c r="K561" s="20">
        <f>INDEX('Item Master'!$F$2:$F$51,MATCH($A561,'Item Master'!$A$2:$A$51,0))</f>
        <v>1800</v>
      </c>
      <c r="L561" s="20">
        <f t="shared" si="49"/>
        <v>18000</v>
      </c>
      <c r="M561" s="21">
        <f t="shared" si="50"/>
        <v>0.33333333333333331</v>
      </c>
      <c r="N561" s="19">
        <f>INDEX('Item Master'!$E$2:$E$51,MATCH($A561,'Item Master'!$A$2:$A$51,0))</f>
        <v>5</v>
      </c>
      <c r="O561" s="22">
        <f>INDEX('Product Summary'!$L$2:$L$51,MATCH($A561,'Product Summary'!$A$2:$A$51,0))</f>
        <v>0.79166666666666663</v>
      </c>
      <c r="P561" s="22">
        <f>INDEX('Product Summary'!$M$2:$M$51,MATCH($A561,'Product Summary'!$A$2:$A$51,0))</f>
        <v>2.8053652968036529</v>
      </c>
      <c r="Q561" s="22">
        <f t="shared" si="51"/>
        <v>648</v>
      </c>
      <c r="R561" s="22">
        <f t="shared" si="52"/>
        <v>639.58390410958907</v>
      </c>
      <c r="S561" s="19" t="str">
        <f t="shared" si="53"/>
        <v>OVERSTOCK</v>
      </c>
    </row>
    <row r="562" spans="1:19" x14ac:dyDescent="0.3">
      <c r="A562" s="19" t="s">
        <v>164</v>
      </c>
      <c r="B562" s="19" t="s">
        <v>165</v>
      </c>
      <c r="C562" s="19" t="s">
        <v>38</v>
      </c>
      <c r="D562" s="19" t="s">
        <v>43</v>
      </c>
      <c r="E562" s="19">
        <f>SUMIFS('Stock Inflow'!$G$2:$G$601,'Stock Inflow'!$A$2:$A$601,$A562,'Stock Inflow'!$D$2:$D$601,$D562)</f>
        <v>216</v>
      </c>
      <c r="F562" s="19">
        <f>SUMIFS('Stock Inflow'!$F$2:$F$601,'Stock Inflow'!$A$2:$A$601,$A562,'Stock Inflow'!$D$2:$D$601,$D562)</f>
        <v>12</v>
      </c>
      <c r="G562" s="19">
        <f>SUMIFS('Stock Inflow'!$E$2:$E$601,'Stock Inflow'!$A$2:$A$601,$A562,'Stock Inflow'!$D$2:$D$601,$D562)</f>
        <v>0</v>
      </c>
      <c r="H562" s="19">
        <f>SUMIFS('Stock Outflow'!$F$2:$F$601,'Stock Outflow'!$A$2:$A$601,$A562,'Stock Outflow'!$D$2:$D$601,$D562)</f>
        <v>11</v>
      </c>
      <c r="I562" s="19">
        <f>SUMIFS('Stock Outflow'!$E$2:$E$601,'Stock Outflow'!$A$2:$A$601,$A562,'Stock Outflow'!$D$2:$D$601,$D562)</f>
        <v>0</v>
      </c>
      <c r="J562" s="19">
        <f t="shared" si="48"/>
        <v>217</v>
      </c>
      <c r="K562" s="20">
        <f>INDEX('Item Master'!$F$2:$F$51,MATCH($A562,'Item Master'!$A$2:$A$51,0))</f>
        <v>1800</v>
      </c>
      <c r="L562" s="20">
        <f t="shared" si="49"/>
        <v>19800</v>
      </c>
      <c r="M562" s="21">
        <f t="shared" si="50"/>
        <v>0.36666666666666664</v>
      </c>
      <c r="N562" s="19">
        <f>INDEX('Item Master'!$E$2:$E$51,MATCH($A562,'Item Master'!$A$2:$A$51,0))</f>
        <v>5</v>
      </c>
      <c r="O562" s="22">
        <f>INDEX('Product Summary'!$L$2:$L$51,MATCH($A562,'Product Summary'!$A$2:$A$51,0))</f>
        <v>0.79166666666666663</v>
      </c>
      <c r="P562" s="22">
        <f>INDEX('Product Summary'!$M$2:$M$51,MATCH($A562,'Product Summary'!$A$2:$A$51,0))</f>
        <v>2.8053652968036529</v>
      </c>
      <c r="Q562" s="22">
        <f t="shared" si="51"/>
        <v>591.81818181818187</v>
      </c>
      <c r="R562" s="22">
        <f t="shared" si="52"/>
        <v>584.16718555417197</v>
      </c>
      <c r="S562" s="19" t="str">
        <f t="shared" si="53"/>
        <v>OVERSTOCK</v>
      </c>
    </row>
    <row r="563" spans="1:19" x14ac:dyDescent="0.3">
      <c r="A563" s="19" t="s">
        <v>164</v>
      </c>
      <c r="B563" s="19" t="s">
        <v>165</v>
      </c>
      <c r="C563" s="19" t="s">
        <v>38</v>
      </c>
      <c r="D563" s="19" t="s">
        <v>45</v>
      </c>
      <c r="E563" s="19">
        <f>SUMIFS('Stock Inflow'!$G$2:$G$601,'Stock Inflow'!$A$2:$A$601,$A563,'Stock Inflow'!$D$2:$D$601,$D563)</f>
        <v>217</v>
      </c>
      <c r="F563" s="19">
        <f>SUMIFS('Stock Inflow'!$F$2:$F$601,'Stock Inflow'!$A$2:$A$601,$A563,'Stock Inflow'!$D$2:$D$601,$D563)</f>
        <v>17</v>
      </c>
      <c r="G563" s="19">
        <f>SUMIFS('Stock Inflow'!$E$2:$E$601,'Stock Inflow'!$A$2:$A$601,$A563,'Stock Inflow'!$D$2:$D$601,$D563)</f>
        <v>1</v>
      </c>
      <c r="H563" s="19">
        <f>SUMIFS('Stock Outflow'!$F$2:$F$601,'Stock Outflow'!$A$2:$A$601,$A563,'Stock Outflow'!$D$2:$D$601,$D563)</f>
        <v>17</v>
      </c>
      <c r="I563" s="19">
        <f>SUMIFS('Stock Outflow'!$E$2:$E$601,'Stock Outflow'!$A$2:$A$601,$A563,'Stock Outflow'!$D$2:$D$601,$D563)</f>
        <v>0</v>
      </c>
      <c r="J563" s="19">
        <f t="shared" si="48"/>
        <v>218</v>
      </c>
      <c r="K563" s="20">
        <f>INDEX('Item Master'!$F$2:$F$51,MATCH($A563,'Item Master'!$A$2:$A$51,0))</f>
        <v>1800</v>
      </c>
      <c r="L563" s="20">
        <f t="shared" si="49"/>
        <v>30600</v>
      </c>
      <c r="M563" s="21">
        <f t="shared" si="50"/>
        <v>0.56666666666666665</v>
      </c>
      <c r="N563" s="19">
        <f>INDEX('Item Master'!$E$2:$E$51,MATCH($A563,'Item Master'!$A$2:$A$51,0))</f>
        <v>5</v>
      </c>
      <c r="O563" s="22">
        <f>INDEX('Product Summary'!$L$2:$L$51,MATCH($A563,'Product Summary'!$A$2:$A$51,0))</f>
        <v>0.79166666666666663</v>
      </c>
      <c r="P563" s="22">
        <f>INDEX('Product Summary'!$M$2:$M$51,MATCH($A563,'Product Summary'!$A$2:$A$51,0))</f>
        <v>2.8053652968036529</v>
      </c>
      <c r="Q563" s="22">
        <f t="shared" si="51"/>
        <v>384.70588235294116</v>
      </c>
      <c r="R563" s="22">
        <f t="shared" si="52"/>
        <v>379.75523771152297</v>
      </c>
      <c r="S563" s="19" t="str">
        <f t="shared" si="53"/>
        <v>OVERSTOCK</v>
      </c>
    </row>
    <row r="564" spans="1:19" x14ac:dyDescent="0.3">
      <c r="A564" s="19" t="s">
        <v>164</v>
      </c>
      <c r="B564" s="19" t="s">
        <v>165</v>
      </c>
      <c r="C564" s="19" t="s">
        <v>38</v>
      </c>
      <c r="D564" s="19" t="s">
        <v>47</v>
      </c>
      <c r="E564" s="19">
        <f>SUMIFS('Stock Inflow'!$G$2:$G$601,'Stock Inflow'!$A$2:$A$601,$A564,'Stock Inflow'!$D$2:$D$601,$D564)</f>
        <v>218</v>
      </c>
      <c r="F564" s="19">
        <f>SUMIFS('Stock Inflow'!$F$2:$F$601,'Stock Inflow'!$A$2:$A$601,$A564,'Stock Inflow'!$D$2:$D$601,$D564)</f>
        <v>16</v>
      </c>
      <c r="G564" s="19">
        <f>SUMIFS('Stock Inflow'!$E$2:$E$601,'Stock Inflow'!$A$2:$A$601,$A564,'Stock Inflow'!$D$2:$D$601,$D564)</f>
        <v>0</v>
      </c>
      <c r="H564" s="19">
        <f>SUMIFS('Stock Outflow'!$F$2:$F$601,'Stock Outflow'!$A$2:$A$601,$A564,'Stock Outflow'!$D$2:$D$601,$D564)</f>
        <v>14</v>
      </c>
      <c r="I564" s="19">
        <f>SUMIFS('Stock Outflow'!$E$2:$E$601,'Stock Outflow'!$A$2:$A$601,$A564,'Stock Outflow'!$D$2:$D$601,$D564)</f>
        <v>0</v>
      </c>
      <c r="J564" s="19">
        <f t="shared" si="48"/>
        <v>220</v>
      </c>
      <c r="K564" s="20">
        <f>INDEX('Item Master'!$F$2:$F$51,MATCH($A564,'Item Master'!$A$2:$A$51,0))</f>
        <v>1800</v>
      </c>
      <c r="L564" s="20">
        <f t="shared" si="49"/>
        <v>25200</v>
      </c>
      <c r="M564" s="21">
        <f t="shared" si="50"/>
        <v>0.46666666666666667</v>
      </c>
      <c r="N564" s="19">
        <f>INDEX('Item Master'!$E$2:$E$51,MATCH($A564,'Item Master'!$A$2:$A$51,0))</f>
        <v>5</v>
      </c>
      <c r="O564" s="22">
        <f>INDEX('Product Summary'!$L$2:$L$51,MATCH($A564,'Product Summary'!$A$2:$A$51,0))</f>
        <v>0.79166666666666663</v>
      </c>
      <c r="P564" s="22">
        <f>INDEX('Product Summary'!$M$2:$M$51,MATCH($A564,'Product Summary'!$A$2:$A$51,0))</f>
        <v>2.8053652968036529</v>
      </c>
      <c r="Q564" s="22">
        <f t="shared" si="51"/>
        <v>471.42857142857144</v>
      </c>
      <c r="R564" s="22">
        <f t="shared" si="52"/>
        <v>465.41707436399219</v>
      </c>
      <c r="S564" s="19" t="str">
        <f t="shared" si="53"/>
        <v>OVERSTOCK</v>
      </c>
    </row>
    <row r="565" spans="1:19" x14ac:dyDescent="0.3">
      <c r="A565" s="19" t="s">
        <v>164</v>
      </c>
      <c r="B565" s="19" t="s">
        <v>165</v>
      </c>
      <c r="C565" s="19" t="s">
        <v>38</v>
      </c>
      <c r="D565" s="19" t="s">
        <v>49</v>
      </c>
      <c r="E565" s="19">
        <f>SUMIFS('Stock Inflow'!$G$2:$G$601,'Stock Inflow'!$A$2:$A$601,$A565,'Stock Inflow'!$D$2:$D$601,$D565)</f>
        <v>220</v>
      </c>
      <c r="F565" s="19">
        <f>SUMIFS('Stock Inflow'!$F$2:$F$601,'Stock Inflow'!$A$2:$A$601,$A565,'Stock Inflow'!$D$2:$D$601,$D565)</f>
        <v>13</v>
      </c>
      <c r="G565" s="19">
        <f>SUMIFS('Stock Inflow'!$E$2:$E$601,'Stock Inflow'!$A$2:$A$601,$A565,'Stock Inflow'!$D$2:$D$601,$D565)</f>
        <v>0</v>
      </c>
      <c r="H565" s="19">
        <f>SUMIFS('Stock Outflow'!$F$2:$F$601,'Stock Outflow'!$A$2:$A$601,$A565,'Stock Outflow'!$D$2:$D$601,$D565)</f>
        <v>13</v>
      </c>
      <c r="I565" s="19">
        <f>SUMIFS('Stock Outflow'!$E$2:$E$601,'Stock Outflow'!$A$2:$A$601,$A565,'Stock Outflow'!$D$2:$D$601,$D565)</f>
        <v>0</v>
      </c>
      <c r="J565" s="19">
        <f t="shared" si="48"/>
        <v>220</v>
      </c>
      <c r="K565" s="20">
        <f>INDEX('Item Master'!$F$2:$F$51,MATCH($A565,'Item Master'!$A$2:$A$51,0))</f>
        <v>1800</v>
      </c>
      <c r="L565" s="20">
        <f t="shared" si="49"/>
        <v>23400</v>
      </c>
      <c r="M565" s="21">
        <f t="shared" si="50"/>
        <v>0.43333333333333335</v>
      </c>
      <c r="N565" s="19">
        <f>INDEX('Item Master'!$E$2:$E$51,MATCH($A565,'Item Master'!$A$2:$A$51,0))</f>
        <v>5</v>
      </c>
      <c r="O565" s="22">
        <f>INDEX('Product Summary'!$L$2:$L$51,MATCH($A565,'Product Summary'!$A$2:$A$51,0))</f>
        <v>0.79166666666666663</v>
      </c>
      <c r="P565" s="22">
        <f>INDEX('Product Summary'!$M$2:$M$51,MATCH($A565,'Product Summary'!$A$2:$A$51,0))</f>
        <v>2.8053652968036529</v>
      </c>
      <c r="Q565" s="22">
        <f t="shared" si="51"/>
        <v>507.69230769230768</v>
      </c>
      <c r="R565" s="22">
        <f t="shared" si="52"/>
        <v>501.21838777660696</v>
      </c>
      <c r="S565" s="19" t="str">
        <f t="shared" si="53"/>
        <v>OVERSTOCK</v>
      </c>
    </row>
    <row r="566" spans="1:19" x14ac:dyDescent="0.3">
      <c r="A566" s="19" t="s">
        <v>166</v>
      </c>
      <c r="B566" s="19" t="s">
        <v>167</v>
      </c>
      <c r="C566" s="19" t="s">
        <v>38</v>
      </c>
      <c r="D566" s="19" t="s">
        <v>27</v>
      </c>
      <c r="E566" s="19">
        <f>SUMIFS('Stock Inflow'!$G$2:$G$601,'Stock Inflow'!$A$2:$A$601,$A566,'Stock Inflow'!$D$2:$D$601,$D566)</f>
        <v>316</v>
      </c>
      <c r="F566" s="19">
        <f>SUMIFS('Stock Inflow'!$F$2:$F$601,'Stock Inflow'!$A$2:$A$601,$A566,'Stock Inflow'!$D$2:$D$601,$D566)</f>
        <v>31</v>
      </c>
      <c r="G566" s="19">
        <f>SUMIFS('Stock Inflow'!$E$2:$E$601,'Stock Inflow'!$A$2:$A$601,$A566,'Stock Inflow'!$D$2:$D$601,$D566)</f>
        <v>0</v>
      </c>
      <c r="H566" s="19">
        <f>SUMIFS('Stock Outflow'!$F$2:$F$601,'Stock Outflow'!$A$2:$A$601,$A566,'Stock Outflow'!$D$2:$D$601,$D566)</f>
        <v>29</v>
      </c>
      <c r="I566" s="19">
        <f>SUMIFS('Stock Outflow'!$E$2:$E$601,'Stock Outflow'!$A$2:$A$601,$A566,'Stock Outflow'!$D$2:$D$601,$D566)</f>
        <v>1</v>
      </c>
      <c r="J566" s="19">
        <f t="shared" si="48"/>
        <v>317</v>
      </c>
      <c r="K566" s="20">
        <f>INDEX('Item Master'!$F$2:$F$51,MATCH($A566,'Item Master'!$A$2:$A$51,0))</f>
        <v>400</v>
      </c>
      <c r="L566" s="20">
        <f t="shared" si="49"/>
        <v>11600</v>
      </c>
      <c r="M566" s="21">
        <f t="shared" si="50"/>
        <v>0.96666666666666667</v>
      </c>
      <c r="N566" s="19">
        <f>INDEX('Item Master'!$E$2:$E$51,MATCH($A566,'Item Master'!$A$2:$A$51,0))</f>
        <v>14</v>
      </c>
      <c r="O566" s="22">
        <f>INDEX('Product Summary'!$L$2:$L$51,MATCH($A566,'Product Summary'!$A$2:$A$51,0))</f>
        <v>5.3666666666666671</v>
      </c>
      <c r="P566" s="22">
        <f>INDEX('Product Summary'!$M$2:$M$51,MATCH($A566,'Product Summary'!$A$2:$A$51,0))</f>
        <v>20.785844748858445</v>
      </c>
      <c r="Q566" s="22">
        <f t="shared" si="51"/>
        <v>327.93103448275861</v>
      </c>
      <c r="R566" s="22">
        <f t="shared" si="52"/>
        <v>306.42843646669814</v>
      </c>
      <c r="S566" s="19" t="str">
        <f t="shared" si="53"/>
        <v>OVERSTOCK</v>
      </c>
    </row>
    <row r="567" spans="1:19" x14ac:dyDescent="0.3">
      <c r="A567" s="19" t="s">
        <v>166</v>
      </c>
      <c r="B567" s="19" t="s">
        <v>167</v>
      </c>
      <c r="C567" s="19" t="s">
        <v>38</v>
      </c>
      <c r="D567" s="19" t="s">
        <v>29</v>
      </c>
      <c r="E567" s="19">
        <f>SUMIFS('Stock Inflow'!$G$2:$G$601,'Stock Inflow'!$A$2:$A$601,$A567,'Stock Inflow'!$D$2:$D$601,$D567)</f>
        <v>317</v>
      </c>
      <c r="F567" s="19">
        <f>SUMIFS('Stock Inflow'!$F$2:$F$601,'Stock Inflow'!$A$2:$A$601,$A567,'Stock Inflow'!$D$2:$D$601,$D567)</f>
        <v>28</v>
      </c>
      <c r="G567" s="19">
        <f>SUMIFS('Stock Inflow'!$E$2:$E$601,'Stock Inflow'!$A$2:$A$601,$A567,'Stock Inflow'!$D$2:$D$601,$D567)</f>
        <v>1</v>
      </c>
      <c r="H567" s="19">
        <f>SUMIFS('Stock Outflow'!$F$2:$F$601,'Stock Outflow'!$A$2:$A$601,$A567,'Stock Outflow'!$D$2:$D$601,$D567)</f>
        <v>31</v>
      </c>
      <c r="I567" s="19">
        <f>SUMIFS('Stock Outflow'!$E$2:$E$601,'Stock Outflow'!$A$2:$A$601,$A567,'Stock Outflow'!$D$2:$D$601,$D567)</f>
        <v>0</v>
      </c>
      <c r="J567" s="19">
        <f t="shared" si="48"/>
        <v>315</v>
      </c>
      <c r="K567" s="20">
        <f>INDEX('Item Master'!$F$2:$F$51,MATCH($A567,'Item Master'!$A$2:$A$51,0))</f>
        <v>400</v>
      </c>
      <c r="L567" s="20">
        <f t="shared" si="49"/>
        <v>12400</v>
      </c>
      <c r="M567" s="21">
        <f t="shared" si="50"/>
        <v>1.0333333333333334</v>
      </c>
      <c r="N567" s="19">
        <f>INDEX('Item Master'!$E$2:$E$51,MATCH($A567,'Item Master'!$A$2:$A$51,0))</f>
        <v>14</v>
      </c>
      <c r="O567" s="22">
        <f>INDEX('Product Summary'!$L$2:$L$51,MATCH($A567,'Product Summary'!$A$2:$A$51,0))</f>
        <v>5.3666666666666671</v>
      </c>
      <c r="P567" s="22">
        <f>INDEX('Product Summary'!$M$2:$M$51,MATCH($A567,'Product Summary'!$A$2:$A$51,0))</f>
        <v>20.785844748858445</v>
      </c>
      <c r="Q567" s="22">
        <f t="shared" si="51"/>
        <v>304.83870967741933</v>
      </c>
      <c r="R567" s="22">
        <f t="shared" si="52"/>
        <v>284.72337604949183</v>
      </c>
      <c r="S567" s="19" t="str">
        <f t="shared" si="53"/>
        <v>OVERSTOCK</v>
      </c>
    </row>
    <row r="568" spans="1:19" x14ac:dyDescent="0.3">
      <c r="A568" s="19" t="s">
        <v>166</v>
      </c>
      <c r="B568" s="19" t="s">
        <v>167</v>
      </c>
      <c r="C568" s="19" t="s">
        <v>38</v>
      </c>
      <c r="D568" s="19" t="s">
        <v>31</v>
      </c>
      <c r="E568" s="19">
        <f>SUMIFS('Stock Inflow'!$G$2:$G$601,'Stock Inflow'!$A$2:$A$601,$A568,'Stock Inflow'!$D$2:$D$601,$D568)</f>
        <v>315</v>
      </c>
      <c r="F568" s="19">
        <f>SUMIFS('Stock Inflow'!$F$2:$F$601,'Stock Inflow'!$A$2:$A$601,$A568,'Stock Inflow'!$D$2:$D$601,$D568)</f>
        <v>35</v>
      </c>
      <c r="G568" s="19">
        <f>SUMIFS('Stock Inflow'!$E$2:$E$601,'Stock Inflow'!$A$2:$A$601,$A568,'Stock Inflow'!$D$2:$D$601,$D568)</f>
        <v>1</v>
      </c>
      <c r="H568" s="19">
        <f>SUMIFS('Stock Outflow'!$F$2:$F$601,'Stock Outflow'!$A$2:$A$601,$A568,'Stock Outflow'!$D$2:$D$601,$D568)</f>
        <v>33</v>
      </c>
      <c r="I568" s="19">
        <f>SUMIFS('Stock Outflow'!$E$2:$E$601,'Stock Outflow'!$A$2:$A$601,$A568,'Stock Outflow'!$D$2:$D$601,$D568)</f>
        <v>0</v>
      </c>
      <c r="J568" s="19">
        <f t="shared" si="48"/>
        <v>318</v>
      </c>
      <c r="K568" s="20">
        <f>INDEX('Item Master'!$F$2:$F$51,MATCH($A568,'Item Master'!$A$2:$A$51,0))</f>
        <v>400</v>
      </c>
      <c r="L568" s="20">
        <f t="shared" si="49"/>
        <v>13200</v>
      </c>
      <c r="M568" s="21">
        <f t="shared" si="50"/>
        <v>1.1000000000000001</v>
      </c>
      <c r="N568" s="19">
        <f>INDEX('Item Master'!$E$2:$E$51,MATCH($A568,'Item Master'!$A$2:$A$51,0))</f>
        <v>14</v>
      </c>
      <c r="O568" s="22">
        <f>INDEX('Product Summary'!$L$2:$L$51,MATCH($A568,'Product Summary'!$A$2:$A$51,0))</f>
        <v>5.3666666666666671</v>
      </c>
      <c r="P568" s="22">
        <f>INDEX('Product Summary'!$M$2:$M$51,MATCH($A568,'Product Summary'!$A$2:$A$51,0))</f>
        <v>20.785844748858445</v>
      </c>
      <c r="Q568" s="22">
        <f t="shared" si="51"/>
        <v>289.09090909090907</v>
      </c>
      <c r="R568" s="22">
        <f t="shared" si="52"/>
        <v>270.19468659194683</v>
      </c>
      <c r="S568" s="19" t="str">
        <f t="shared" si="53"/>
        <v>OVERSTOCK</v>
      </c>
    </row>
    <row r="569" spans="1:19" x14ac:dyDescent="0.3">
      <c r="A569" s="19" t="s">
        <v>166</v>
      </c>
      <c r="B569" s="19" t="s">
        <v>167</v>
      </c>
      <c r="C569" s="19" t="s">
        <v>38</v>
      </c>
      <c r="D569" s="19" t="s">
        <v>33</v>
      </c>
      <c r="E569" s="19">
        <f>SUMIFS('Stock Inflow'!$G$2:$G$601,'Stock Inflow'!$A$2:$A$601,$A569,'Stock Inflow'!$D$2:$D$601,$D569)</f>
        <v>318</v>
      </c>
      <c r="F569" s="19">
        <f>SUMIFS('Stock Inflow'!$F$2:$F$601,'Stock Inflow'!$A$2:$A$601,$A569,'Stock Inflow'!$D$2:$D$601,$D569)</f>
        <v>42</v>
      </c>
      <c r="G569" s="19">
        <f>SUMIFS('Stock Inflow'!$E$2:$E$601,'Stock Inflow'!$A$2:$A$601,$A569,'Stock Inflow'!$D$2:$D$601,$D569)</f>
        <v>0</v>
      </c>
      <c r="H569" s="19">
        <f>SUMIFS('Stock Outflow'!$F$2:$F$601,'Stock Outflow'!$A$2:$A$601,$A569,'Stock Outflow'!$D$2:$D$601,$D569)</f>
        <v>34</v>
      </c>
      <c r="I569" s="19">
        <f>SUMIFS('Stock Outflow'!$E$2:$E$601,'Stock Outflow'!$A$2:$A$601,$A569,'Stock Outflow'!$D$2:$D$601,$D569)</f>
        <v>0</v>
      </c>
      <c r="J569" s="19">
        <f t="shared" si="48"/>
        <v>326</v>
      </c>
      <c r="K569" s="20">
        <f>INDEX('Item Master'!$F$2:$F$51,MATCH($A569,'Item Master'!$A$2:$A$51,0))</f>
        <v>400</v>
      </c>
      <c r="L569" s="20">
        <f t="shared" si="49"/>
        <v>13600</v>
      </c>
      <c r="M569" s="21">
        <f t="shared" si="50"/>
        <v>1.1333333333333333</v>
      </c>
      <c r="N569" s="19">
        <f>INDEX('Item Master'!$E$2:$E$51,MATCH($A569,'Item Master'!$A$2:$A$51,0))</f>
        <v>14</v>
      </c>
      <c r="O569" s="22">
        <f>INDEX('Product Summary'!$L$2:$L$51,MATCH($A569,'Product Summary'!$A$2:$A$51,0))</f>
        <v>5.3666666666666671</v>
      </c>
      <c r="P569" s="22">
        <f>INDEX('Product Summary'!$M$2:$M$51,MATCH($A569,'Product Summary'!$A$2:$A$51,0))</f>
        <v>20.785844748858445</v>
      </c>
      <c r="Q569" s="22">
        <f t="shared" si="51"/>
        <v>287.64705882352939</v>
      </c>
      <c r="R569" s="22">
        <f t="shared" si="52"/>
        <v>269.30660757453666</v>
      </c>
      <c r="S569" s="19" t="str">
        <f t="shared" si="53"/>
        <v>OVERSTOCK</v>
      </c>
    </row>
    <row r="570" spans="1:19" x14ac:dyDescent="0.3">
      <c r="A570" s="19" t="s">
        <v>166</v>
      </c>
      <c r="B570" s="19" t="s">
        <v>167</v>
      </c>
      <c r="C570" s="19" t="s">
        <v>38</v>
      </c>
      <c r="D570" s="19" t="s">
        <v>35</v>
      </c>
      <c r="E570" s="19">
        <f>SUMIFS('Stock Inflow'!$G$2:$G$601,'Stock Inflow'!$A$2:$A$601,$A570,'Stock Inflow'!$D$2:$D$601,$D570)</f>
        <v>326</v>
      </c>
      <c r="F570" s="19">
        <f>SUMIFS('Stock Inflow'!$F$2:$F$601,'Stock Inflow'!$A$2:$A$601,$A570,'Stock Inflow'!$D$2:$D$601,$D570)</f>
        <v>35</v>
      </c>
      <c r="G570" s="19">
        <f>SUMIFS('Stock Inflow'!$E$2:$E$601,'Stock Inflow'!$A$2:$A$601,$A570,'Stock Inflow'!$D$2:$D$601,$D570)</f>
        <v>1</v>
      </c>
      <c r="H570" s="19">
        <f>SUMIFS('Stock Outflow'!$F$2:$F$601,'Stock Outflow'!$A$2:$A$601,$A570,'Stock Outflow'!$D$2:$D$601,$D570)</f>
        <v>36</v>
      </c>
      <c r="I570" s="19">
        <f>SUMIFS('Stock Outflow'!$E$2:$E$601,'Stock Outflow'!$A$2:$A$601,$A570,'Stock Outflow'!$D$2:$D$601,$D570)</f>
        <v>0</v>
      </c>
      <c r="J570" s="19">
        <f t="shared" si="48"/>
        <v>326</v>
      </c>
      <c r="K570" s="20">
        <f>INDEX('Item Master'!$F$2:$F$51,MATCH($A570,'Item Master'!$A$2:$A$51,0))</f>
        <v>400</v>
      </c>
      <c r="L570" s="20">
        <f t="shared" si="49"/>
        <v>14400</v>
      </c>
      <c r="M570" s="21">
        <f t="shared" si="50"/>
        <v>1.2</v>
      </c>
      <c r="N570" s="19">
        <f>INDEX('Item Master'!$E$2:$E$51,MATCH($A570,'Item Master'!$A$2:$A$51,0))</f>
        <v>14</v>
      </c>
      <c r="O570" s="22">
        <f>INDEX('Product Summary'!$L$2:$L$51,MATCH($A570,'Product Summary'!$A$2:$A$51,0))</f>
        <v>5.3666666666666671</v>
      </c>
      <c r="P570" s="22">
        <f>INDEX('Product Summary'!$M$2:$M$51,MATCH($A570,'Product Summary'!$A$2:$A$51,0))</f>
        <v>20.785844748858445</v>
      </c>
      <c r="Q570" s="22">
        <f t="shared" si="51"/>
        <v>271.66666666666669</v>
      </c>
      <c r="R570" s="22">
        <f t="shared" si="52"/>
        <v>254.3451293759513</v>
      </c>
      <c r="S570" s="19" t="str">
        <f t="shared" si="53"/>
        <v>OVERSTOCK</v>
      </c>
    </row>
    <row r="571" spans="1:19" x14ac:dyDescent="0.3">
      <c r="A571" s="19" t="s">
        <v>166</v>
      </c>
      <c r="B571" s="19" t="s">
        <v>167</v>
      </c>
      <c r="C571" s="19" t="s">
        <v>38</v>
      </c>
      <c r="D571" s="19" t="s">
        <v>37</v>
      </c>
      <c r="E571" s="19">
        <f>SUMIFS('Stock Inflow'!$G$2:$G$601,'Stock Inflow'!$A$2:$A$601,$A571,'Stock Inflow'!$D$2:$D$601,$D571)</f>
        <v>326</v>
      </c>
      <c r="F571" s="19">
        <f>SUMIFS('Stock Inflow'!$F$2:$F$601,'Stock Inflow'!$A$2:$A$601,$A571,'Stock Inflow'!$D$2:$D$601,$D571)</f>
        <v>37</v>
      </c>
      <c r="G571" s="19">
        <f>SUMIFS('Stock Inflow'!$E$2:$E$601,'Stock Inflow'!$A$2:$A$601,$A571,'Stock Inflow'!$D$2:$D$601,$D571)</f>
        <v>1</v>
      </c>
      <c r="H571" s="19">
        <f>SUMIFS('Stock Outflow'!$F$2:$F$601,'Stock Outflow'!$A$2:$A$601,$A571,'Stock Outflow'!$D$2:$D$601,$D571)</f>
        <v>30</v>
      </c>
      <c r="I571" s="19">
        <f>SUMIFS('Stock Outflow'!$E$2:$E$601,'Stock Outflow'!$A$2:$A$601,$A571,'Stock Outflow'!$D$2:$D$601,$D571)</f>
        <v>1</v>
      </c>
      <c r="J571" s="19">
        <f t="shared" si="48"/>
        <v>333</v>
      </c>
      <c r="K571" s="20">
        <f>INDEX('Item Master'!$F$2:$F$51,MATCH($A571,'Item Master'!$A$2:$A$51,0))</f>
        <v>400</v>
      </c>
      <c r="L571" s="20">
        <f t="shared" si="49"/>
        <v>12000</v>
      </c>
      <c r="M571" s="21">
        <f t="shared" si="50"/>
        <v>1</v>
      </c>
      <c r="N571" s="19">
        <f>INDEX('Item Master'!$E$2:$E$51,MATCH($A571,'Item Master'!$A$2:$A$51,0))</f>
        <v>14</v>
      </c>
      <c r="O571" s="22">
        <f>INDEX('Product Summary'!$L$2:$L$51,MATCH($A571,'Product Summary'!$A$2:$A$51,0))</f>
        <v>5.3666666666666671</v>
      </c>
      <c r="P571" s="22">
        <f>INDEX('Product Summary'!$M$2:$M$51,MATCH($A571,'Product Summary'!$A$2:$A$51,0))</f>
        <v>20.785844748858445</v>
      </c>
      <c r="Q571" s="22">
        <f t="shared" si="51"/>
        <v>333</v>
      </c>
      <c r="R571" s="22">
        <f t="shared" si="52"/>
        <v>312.21415525114156</v>
      </c>
      <c r="S571" s="19" t="str">
        <f t="shared" si="53"/>
        <v>OVERSTOCK</v>
      </c>
    </row>
    <row r="572" spans="1:19" x14ac:dyDescent="0.3">
      <c r="A572" s="19" t="s">
        <v>166</v>
      </c>
      <c r="B572" s="19" t="s">
        <v>167</v>
      </c>
      <c r="C572" s="19" t="s">
        <v>38</v>
      </c>
      <c r="D572" s="19" t="s">
        <v>39</v>
      </c>
      <c r="E572" s="19">
        <f>SUMIFS('Stock Inflow'!$G$2:$G$601,'Stock Inflow'!$A$2:$A$601,$A572,'Stock Inflow'!$D$2:$D$601,$D572)</f>
        <v>333</v>
      </c>
      <c r="F572" s="19">
        <f>SUMIFS('Stock Inflow'!$F$2:$F$601,'Stock Inflow'!$A$2:$A$601,$A572,'Stock Inflow'!$D$2:$D$601,$D572)</f>
        <v>38</v>
      </c>
      <c r="G572" s="19">
        <f>SUMIFS('Stock Inflow'!$E$2:$E$601,'Stock Inflow'!$A$2:$A$601,$A572,'Stock Inflow'!$D$2:$D$601,$D572)</f>
        <v>1</v>
      </c>
      <c r="H572" s="19">
        <f>SUMIFS('Stock Outflow'!$F$2:$F$601,'Stock Outflow'!$A$2:$A$601,$A572,'Stock Outflow'!$D$2:$D$601,$D572)</f>
        <v>33</v>
      </c>
      <c r="I572" s="19">
        <f>SUMIFS('Stock Outflow'!$E$2:$E$601,'Stock Outflow'!$A$2:$A$601,$A572,'Stock Outflow'!$D$2:$D$601,$D572)</f>
        <v>0</v>
      </c>
      <c r="J572" s="19">
        <f t="shared" si="48"/>
        <v>339</v>
      </c>
      <c r="K572" s="20">
        <f>INDEX('Item Master'!$F$2:$F$51,MATCH($A572,'Item Master'!$A$2:$A$51,0))</f>
        <v>400</v>
      </c>
      <c r="L572" s="20">
        <f t="shared" si="49"/>
        <v>13200</v>
      </c>
      <c r="M572" s="21">
        <f t="shared" si="50"/>
        <v>1.1000000000000001</v>
      </c>
      <c r="N572" s="19">
        <f>INDEX('Item Master'!$E$2:$E$51,MATCH($A572,'Item Master'!$A$2:$A$51,0))</f>
        <v>14</v>
      </c>
      <c r="O572" s="22">
        <f>INDEX('Product Summary'!$L$2:$L$51,MATCH($A572,'Product Summary'!$A$2:$A$51,0))</f>
        <v>5.3666666666666671</v>
      </c>
      <c r="P572" s="22">
        <f>INDEX('Product Summary'!$M$2:$M$51,MATCH($A572,'Product Summary'!$A$2:$A$51,0))</f>
        <v>20.785844748858445</v>
      </c>
      <c r="Q572" s="22">
        <f t="shared" si="51"/>
        <v>308.18181818181813</v>
      </c>
      <c r="R572" s="22">
        <f t="shared" si="52"/>
        <v>289.28559568285596</v>
      </c>
      <c r="S572" s="19" t="str">
        <f t="shared" si="53"/>
        <v>OVERSTOCK</v>
      </c>
    </row>
    <row r="573" spans="1:19" x14ac:dyDescent="0.3">
      <c r="A573" s="19" t="s">
        <v>166</v>
      </c>
      <c r="B573" s="19" t="s">
        <v>167</v>
      </c>
      <c r="C573" s="19" t="s">
        <v>38</v>
      </c>
      <c r="D573" s="19" t="s">
        <v>41</v>
      </c>
      <c r="E573" s="19">
        <f>SUMIFS('Stock Inflow'!$G$2:$G$601,'Stock Inflow'!$A$2:$A$601,$A573,'Stock Inflow'!$D$2:$D$601,$D573)</f>
        <v>339</v>
      </c>
      <c r="F573" s="19">
        <f>SUMIFS('Stock Inflow'!$F$2:$F$601,'Stock Inflow'!$A$2:$A$601,$A573,'Stock Inflow'!$D$2:$D$601,$D573)</f>
        <v>40</v>
      </c>
      <c r="G573" s="19">
        <f>SUMIFS('Stock Inflow'!$E$2:$E$601,'Stock Inflow'!$A$2:$A$601,$A573,'Stock Inflow'!$D$2:$D$601,$D573)</f>
        <v>1</v>
      </c>
      <c r="H573" s="19">
        <f>SUMIFS('Stock Outflow'!$F$2:$F$601,'Stock Outflow'!$A$2:$A$601,$A573,'Stock Outflow'!$D$2:$D$601,$D573)</f>
        <v>35</v>
      </c>
      <c r="I573" s="19">
        <f>SUMIFS('Stock Outflow'!$E$2:$E$601,'Stock Outflow'!$A$2:$A$601,$A573,'Stock Outflow'!$D$2:$D$601,$D573)</f>
        <v>1</v>
      </c>
      <c r="J573" s="19">
        <f t="shared" si="48"/>
        <v>344</v>
      </c>
      <c r="K573" s="20">
        <f>INDEX('Item Master'!$F$2:$F$51,MATCH($A573,'Item Master'!$A$2:$A$51,0))</f>
        <v>400</v>
      </c>
      <c r="L573" s="20">
        <f t="shared" si="49"/>
        <v>14000</v>
      </c>
      <c r="M573" s="21">
        <f t="shared" si="50"/>
        <v>1.1666666666666667</v>
      </c>
      <c r="N573" s="19">
        <f>INDEX('Item Master'!$E$2:$E$51,MATCH($A573,'Item Master'!$A$2:$A$51,0))</f>
        <v>14</v>
      </c>
      <c r="O573" s="22">
        <f>INDEX('Product Summary'!$L$2:$L$51,MATCH($A573,'Product Summary'!$A$2:$A$51,0))</f>
        <v>5.3666666666666671</v>
      </c>
      <c r="P573" s="22">
        <f>INDEX('Product Summary'!$M$2:$M$51,MATCH($A573,'Product Summary'!$A$2:$A$51,0))</f>
        <v>20.785844748858445</v>
      </c>
      <c r="Q573" s="22">
        <f t="shared" si="51"/>
        <v>294.85714285714283</v>
      </c>
      <c r="R573" s="22">
        <f t="shared" si="52"/>
        <v>277.04070450097845</v>
      </c>
      <c r="S573" s="19" t="str">
        <f t="shared" si="53"/>
        <v>OVERSTOCK</v>
      </c>
    </row>
    <row r="574" spans="1:19" x14ac:dyDescent="0.3">
      <c r="A574" s="19" t="s">
        <v>166</v>
      </c>
      <c r="B574" s="19" t="s">
        <v>167</v>
      </c>
      <c r="C574" s="19" t="s">
        <v>38</v>
      </c>
      <c r="D574" s="19" t="s">
        <v>43</v>
      </c>
      <c r="E574" s="19">
        <f>SUMIFS('Stock Inflow'!$G$2:$G$601,'Stock Inflow'!$A$2:$A$601,$A574,'Stock Inflow'!$D$2:$D$601,$D574)</f>
        <v>344</v>
      </c>
      <c r="F574" s="19">
        <f>SUMIFS('Stock Inflow'!$F$2:$F$601,'Stock Inflow'!$A$2:$A$601,$A574,'Stock Inflow'!$D$2:$D$601,$D574)</f>
        <v>34</v>
      </c>
      <c r="G574" s="19">
        <f>SUMIFS('Stock Inflow'!$E$2:$E$601,'Stock Inflow'!$A$2:$A$601,$A574,'Stock Inflow'!$D$2:$D$601,$D574)</f>
        <v>0</v>
      </c>
      <c r="H574" s="19">
        <f>SUMIFS('Stock Outflow'!$F$2:$F$601,'Stock Outflow'!$A$2:$A$601,$A574,'Stock Outflow'!$D$2:$D$601,$D574)</f>
        <v>30</v>
      </c>
      <c r="I574" s="19">
        <f>SUMIFS('Stock Outflow'!$E$2:$E$601,'Stock Outflow'!$A$2:$A$601,$A574,'Stock Outflow'!$D$2:$D$601,$D574)</f>
        <v>0</v>
      </c>
      <c r="J574" s="19">
        <f t="shared" si="48"/>
        <v>348</v>
      </c>
      <c r="K574" s="20">
        <f>INDEX('Item Master'!$F$2:$F$51,MATCH($A574,'Item Master'!$A$2:$A$51,0))</f>
        <v>400</v>
      </c>
      <c r="L574" s="20">
        <f t="shared" si="49"/>
        <v>12000</v>
      </c>
      <c r="M574" s="21">
        <f t="shared" si="50"/>
        <v>1</v>
      </c>
      <c r="N574" s="19">
        <f>INDEX('Item Master'!$E$2:$E$51,MATCH($A574,'Item Master'!$A$2:$A$51,0))</f>
        <v>14</v>
      </c>
      <c r="O574" s="22">
        <f>INDEX('Product Summary'!$L$2:$L$51,MATCH($A574,'Product Summary'!$A$2:$A$51,0))</f>
        <v>5.3666666666666671</v>
      </c>
      <c r="P574" s="22">
        <f>INDEX('Product Summary'!$M$2:$M$51,MATCH($A574,'Product Summary'!$A$2:$A$51,0))</f>
        <v>20.785844748858445</v>
      </c>
      <c r="Q574" s="22">
        <f t="shared" si="51"/>
        <v>348</v>
      </c>
      <c r="R574" s="22">
        <f t="shared" si="52"/>
        <v>327.21415525114156</v>
      </c>
      <c r="S574" s="19" t="str">
        <f t="shared" si="53"/>
        <v>OVERSTOCK</v>
      </c>
    </row>
    <row r="575" spans="1:19" x14ac:dyDescent="0.3">
      <c r="A575" s="19" t="s">
        <v>166</v>
      </c>
      <c r="B575" s="19" t="s">
        <v>167</v>
      </c>
      <c r="C575" s="19" t="s">
        <v>38</v>
      </c>
      <c r="D575" s="19" t="s">
        <v>45</v>
      </c>
      <c r="E575" s="19">
        <f>SUMIFS('Stock Inflow'!$G$2:$G$601,'Stock Inflow'!$A$2:$A$601,$A575,'Stock Inflow'!$D$2:$D$601,$D575)</f>
        <v>348</v>
      </c>
      <c r="F575" s="19">
        <f>SUMIFS('Stock Inflow'!$F$2:$F$601,'Stock Inflow'!$A$2:$A$601,$A575,'Stock Inflow'!$D$2:$D$601,$D575)</f>
        <v>46</v>
      </c>
      <c r="G575" s="19">
        <f>SUMIFS('Stock Inflow'!$E$2:$E$601,'Stock Inflow'!$A$2:$A$601,$A575,'Stock Inflow'!$D$2:$D$601,$D575)</f>
        <v>1</v>
      </c>
      <c r="H575" s="19">
        <f>SUMIFS('Stock Outflow'!$F$2:$F$601,'Stock Outflow'!$A$2:$A$601,$A575,'Stock Outflow'!$D$2:$D$601,$D575)</f>
        <v>45</v>
      </c>
      <c r="I575" s="19">
        <f>SUMIFS('Stock Outflow'!$E$2:$E$601,'Stock Outflow'!$A$2:$A$601,$A575,'Stock Outflow'!$D$2:$D$601,$D575)</f>
        <v>1</v>
      </c>
      <c r="J575" s="19">
        <f t="shared" si="48"/>
        <v>349</v>
      </c>
      <c r="K575" s="20">
        <f>INDEX('Item Master'!$F$2:$F$51,MATCH($A575,'Item Master'!$A$2:$A$51,0))</f>
        <v>400</v>
      </c>
      <c r="L575" s="20">
        <f t="shared" si="49"/>
        <v>18000</v>
      </c>
      <c r="M575" s="21">
        <f t="shared" si="50"/>
        <v>1.5</v>
      </c>
      <c r="N575" s="19">
        <f>INDEX('Item Master'!$E$2:$E$51,MATCH($A575,'Item Master'!$A$2:$A$51,0))</f>
        <v>14</v>
      </c>
      <c r="O575" s="22">
        <f>INDEX('Product Summary'!$L$2:$L$51,MATCH($A575,'Product Summary'!$A$2:$A$51,0))</f>
        <v>5.3666666666666671</v>
      </c>
      <c r="P575" s="22">
        <f>INDEX('Product Summary'!$M$2:$M$51,MATCH($A575,'Product Summary'!$A$2:$A$51,0))</f>
        <v>20.785844748858445</v>
      </c>
      <c r="Q575" s="22">
        <f t="shared" si="51"/>
        <v>232.66666666666666</v>
      </c>
      <c r="R575" s="22">
        <f t="shared" si="52"/>
        <v>218.80943683409438</v>
      </c>
      <c r="S575" s="19" t="str">
        <f t="shared" si="53"/>
        <v>OVERSTOCK</v>
      </c>
    </row>
    <row r="576" spans="1:19" x14ac:dyDescent="0.3">
      <c r="A576" s="19" t="s">
        <v>166</v>
      </c>
      <c r="B576" s="19" t="s">
        <v>167</v>
      </c>
      <c r="C576" s="19" t="s">
        <v>38</v>
      </c>
      <c r="D576" s="19" t="s">
        <v>47</v>
      </c>
      <c r="E576" s="19">
        <f>SUMIFS('Stock Inflow'!$G$2:$G$601,'Stock Inflow'!$A$2:$A$601,$A576,'Stock Inflow'!$D$2:$D$601,$D576)</f>
        <v>349</v>
      </c>
      <c r="F576" s="19">
        <f>SUMIFS('Stock Inflow'!$F$2:$F$601,'Stock Inflow'!$A$2:$A$601,$A576,'Stock Inflow'!$D$2:$D$601,$D576)</f>
        <v>39</v>
      </c>
      <c r="G576" s="19">
        <f>SUMIFS('Stock Inflow'!$E$2:$E$601,'Stock Inflow'!$A$2:$A$601,$A576,'Stock Inflow'!$D$2:$D$601,$D576)</f>
        <v>1</v>
      </c>
      <c r="H576" s="19">
        <f>SUMIFS('Stock Outflow'!$F$2:$F$601,'Stock Outflow'!$A$2:$A$601,$A576,'Stock Outflow'!$D$2:$D$601,$D576)</f>
        <v>37</v>
      </c>
      <c r="I576" s="19">
        <f>SUMIFS('Stock Outflow'!$E$2:$E$601,'Stock Outflow'!$A$2:$A$601,$A576,'Stock Outflow'!$D$2:$D$601,$D576)</f>
        <v>0</v>
      </c>
      <c r="J576" s="19">
        <f t="shared" si="48"/>
        <v>352</v>
      </c>
      <c r="K576" s="20">
        <f>INDEX('Item Master'!$F$2:$F$51,MATCH($A576,'Item Master'!$A$2:$A$51,0))</f>
        <v>400</v>
      </c>
      <c r="L576" s="20">
        <f t="shared" si="49"/>
        <v>14800</v>
      </c>
      <c r="M576" s="21">
        <f t="shared" si="50"/>
        <v>1.2333333333333334</v>
      </c>
      <c r="N576" s="19">
        <f>INDEX('Item Master'!$E$2:$E$51,MATCH($A576,'Item Master'!$A$2:$A$51,0))</f>
        <v>14</v>
      </c>
      <c r="O576" s="22">
        <f>INDEX('Product Summary'!$L$2:$L$51,MATCH($A576,'Product Summary'!$A$2:$A$51,0))</f>
        <v>5.3666666666666671</v>
      </c>
      <c r="P576" s="22">
        <f>INDEX('Product Summary'!$M$2:$M$51,MATCH($A576,'Product Summary'!$A$2:$A$51,0))</f>
        <v>20.785844748858445</v>
      </c>
      <c r="Q576" s="22">
        <f t="shared" si="51"/>
        <v>285.40540540540542</v>
      </c>
      <c r="R576" s="22">
        <f t="shared" si="52"/>
        <v>268.55201777119584</v>
      </c>
      <c r="S576" s="19" t="str">
        <f t="shared" si="53"/>
        <v>OVERSTOCK</v>
      </c>
    </row>
    <row r="577" spans="1:19" x14ac:dyDescent="0.3">
      <c r="A577" s="19" t="s">
        <v>166</v>
      </c>
      <c r="B577" s="19" t="s">
        <v>167</v>
      </c>
      <c r="C577" s="19" t="s">
        <v>38</v>
      </c>
      <c r="D577" s="19" t="s">
        <v>49</v>
      </c>
      <c r="E577" s="19">
        <f>SUMIFS('Stock Inflow'!$G$2:$G$601,'Stock Inflow'!$A$2:$A$601,$A577,'Stock Inflow'!$D$2:$D$601,$D577)</f>
        <v>352</v>
      </c>
      <c r="F577" s="19">
        <f>SUMIFS('Stock Inflow'!$F$2:$F$601,'Stock Inflow'!$A$2:$A$601,$A577,'Stock Inflow'!$D$2:$D$601,$D577)</f>
        <v>33</v>
      </c>
      <c r="G577" s="19">
        <f>SUMIFS('Stock Inflow'!$E$2:$E$601,'Stock Inflow'!$A$2:$A$601,$A577,'Stock Inflow'!$D$2:$D$601,$D577)</f>
        <v>1</v>
      </c>
      <c r="H577" s="19">
        <f>SUMIFS('Stock Outflow'!$F$2:$F$601,'Stock Outflow'!$A$2:$A$601,$A577,'Stock Outflow'!$D$2:$D$601,$D577)</f>
        <v>29</v>
      </c>
      <c r="I577" s="19">
        <f>SUMIFS('Stock Outflow'!$E$2:$E$601,'Stock Outflow'!$A$2:$A$601,$A577,'Stock Outflow'!$D$2:$D$601,$D577)</f>
        <v>1</v>
      </c>
      <c r="J577" s="19">
        <f t="shared" si="48"/>
        <v>356</v>
      </c>
      <c r="K577" s="20">
        <f>INDEX('Item Master'!$F$2:$F$51,MATCH($A577,'Item Master'!$A$2:$A$51,0))</f>
        <v>400</v>
      </c>
      <c r="L577" s="20">
        <f t="shared" si="49"/>
        <v>11600</v>
      </c>
      <c r="M577" s="21">
        <f t="shared" si="50"/>
        <v>0.96666666666666667</v>
      </c>
      <c r="N577" s="19">
        <f>INDEX('Item Master'!$E$2:$E$51,MATCH($A577,'Item Master'!$A$2:$A$51,0))</f>
        <v>14</v>
      </c>
      <c r="O577" s="22">
        <f>INDEX('Product Summary'!$L$2:$L$51,MATCH($A577,'Product Summary'!$A$2:$A$51,0))</f>
        <v>5.3666666666666671</v>
      </c>
      <c r="P577" s="22">
        <f>INDEX('Product Summary'!$M$2:$M$51,MATCH($A577,'Product Summary'!$A$2:$A$51,0))</f>
        <v>20.785844748858445</v>
      </c>
      <c r="Q577" s="22">
        <f t="shared" si="51"/>
        <v>368.27586206896552</v>
      </c>
      <c r="R577" s="22">
        <f t="shared" si="52"/>
        <v>346.77326405290506</v>
      </c>
      <c r="S577" s="19" t="str">
        <f t="shared" si="53"/>
        <v>OVERSTOCK</v>
      </c>
    </row>
    <row r="578" spans="1:19" x14ac:dyDescent="0.3">
      <c r="A578" s="19" t="s">
        <v>168</v>
      </c>
      <c r="B578" s="19" t="s">
        <v>169</v>
      </c>
      <c r="C578" s="19" t="s">
        <v>28</v>
      </c>
      <c r="D578" s="19" t="s">
        <v>27</v>
      </c>
      <c r="E578" s="19">
        <f>SUMIFS('Stock Inflow'!$G$2:$G$601,'Stock Inflow'!$A$2:$A$601,$A578,'Stock Inflow'!$D$2:$D$601,$D578)</f>
        <v>165</v>
      </c>
      <c r="F578" s="19">
        <f>SUMIFS('Stock Inflow'!$F$2:$F$601,'Stock Inflow'!$A$2:$A$601,$A578,'Stock Inflow'!$D$2:$D$601,$D578)</f>
        <v>38</v>
      </c>
      <c r="G578" s="19">
        <f>SUMIFS('Stock Inflow'!$E$2:$E$601,'Stock Inflow'!$A$2:$A$601,$A578,'Stock Inflow'!$D$2:$D$601,$D578)</f>
        <v>1</v>
      </c>
      <c r="H578" s="19">
        <f>SUMIFS('Stock Outflow'!$F$2:$F$601,'Stock Outflow'!$A$2:$A$601,$A578,'Stock Outflow'!$D$2:$D$601,$D578)</f>
        <v>40</v>
      </c>
      <c r="I578" s="19">
        <f>SUMIFS('Stock Outflow'!$E$2:$E$601,'Stock Outflow'!$A$2:$A$601,$A578,'Stock Outflow'!$D$2:$D$601,$D578)</f>
        <v>1</v>
      </c>
      <c r="J578" s="19">
        <f t="shared" ref="J578:J641" si="54">E578+F578+G578-H578-I578</f>
        <v>163</v>
      </c>
      <c r="K578" s="20">
        <f>INDEX('Item Master'!$F$2:$F$51,MATCH($A578,'Item Master'!$A$2:$A$51,0))</f>
        <v>60</v>
      </c>
      <c r="L578" s="20">
        <f t="shared" ref="L578:L641" si="55">H578*K578</f>
        <v>2400</v>
      </c>
      <c r="M578" s="21">
        <f t="shared" ref="M578:M601" si="56">H578/30</f>
        <v>1.3333333333333333</v>
      </c>
      <c r="N578" s="19">
        <f>INDEX('Item Master'!$E$2:$E$51,MATCH($A578,'Item Master'!$A$2:$A$51,0))</f>
        <v>7</v>
      </c>
      <c r="O578" s="22">
        <f>INDEX('Product Summary'!$L$2:$L$51,MATCH($A578,'Product Summary'!$A$2:$A$51,0))</f>
        <v>7.0194444444444439</v>
      </c>
      <c r="P578" s="22">
        <f>INDEX('Product Summary'!$M$2:$M$51,MATCH($A578,'Product Summary'!$A$2:$A$51,0))</f>
        <v>16.896156773211565</v>
      </c>
      <c r="Q578" s="22">
        <f t="shared" ref="Q578:Q601" si="57">IF(M578=0,"",J578/M578)</f>
        <v>122.25</v>
      </c>
      <c r="R578" s="22">
        <f t="shared" ref="R578:R601" si="58">IF(M578=0,"",IF(J578&lt;=P578,0,(J578-P578)/M578))</f>
        <v>109.57788242009133</v>
      </c>
      <c r="S578" s="19" t="str">
        <f t="shared" ref="S578:S601" si="59">IF(J578&lt;=P578,"REORDER NOW",IF(IFERROR(Q578,0)&gt;150,"OVERSTOCK","HEALTHY"))</f>
        <v>HEALTHY</v>
      </c>
    </row>
    <row r="579" spans="1:19" x14ac:dyDescent="0.3">
      <c r="A579" s="19" t="s">
        <v>168</v>
      </c>
      <c r="B579" s="19" t="s">
        <v>169</v>
      </c>
      <c r="C579" s="19" t="s">
        <v>28</v>
      </c>
      <c r="D579" s="19" t="s">
        <v>29</v>
      </c>
      <c r="E579" s="19">
        <f>SUMIFS('Stock Inflow'!$G$2:$G$601,'Stock Inflow'!$A$2:$A$601,$A579,'Stock Inflow'!$D$2:$D$601,$D579)</f>
        <v>163</v>
      </c>
      <c r="F579" s="19">
        <f>SUMIFS('Stock Inflow'!$F$2:$F$601,'Stock Inflow'!$A$2:$A$601,$A579,'Stock Inflow'!$D$2:$D$601,$D579)</f>
        <v>37</v>
      </c>
      <c r="G579" s="19">
        <f>SUMIFS('Stock Inflow'!$E$2:$E$601,'Stock Inflow'!$A$2:$A$601,$A579,'Stock Inflow'!$D$2:$D$601,$D579)</f>
        <v>0</v>
      </c>
      <c r="H579" s="19">
        <f>SUMIFS('Stock Outflow'!$F$2:$F$601,'Stock Outflow'!$A$2:$A$601,$A579,'Stock Outflow'!$D$2:$D$601,$D579)</f>
        <v>35</v>
      </c>
      <c r="I579" s="19">
        <f>SUMIFS('Stock Outflow'!$E$2:$E$601,'Stock Outflow'!$A$2:$A$601,$A579,'Stock Outflow'!$D$2:$D$601,$D579)</f>
        <v>0</v>
      </c>
      <c r="J579" s="19">
        <f t="shared" si="54"/>
        <v>165</v>
      </c>
      <c r="K579" s="20">
        <f>INDEX('Item Master'!$F$2:$F$51,MATCH($A579,'Item Master'!$A$2:$A$51,0))</f>
        <v>60</v>
      </c>
      <c r="L579" s="20">
        <f t="shared" si="55"/>
        <v>2100</v>
      </c>
      <c r="M579" s="21">
        <f t="shared" si="56"/>
        <v>1.1666666666666667</v>
      </c>
      <c r="N579" s="19">
        <f>INDEX('Item Master'!$E$2:$E$51,MATCH($A579,'Item Master'!$A$2:$A$51,0))</f>
        <v>7</v>
      </c>
      <c r="O579" s="22">
        <f>INDEX('Product Summary'!$L$2:$L$51,MATCH($A579,'Product Summary'!$A$2:$A$51,0))</f>
        <v>7.0194444444444439</v>
      </c>
      <c r="P579" s="22">
        <f>INDEX('Product Summary'!$M$2:$M$51,MATCH($A579,'Product Summary'!$A$2:$A$51,0))</f>
        <v>16.896156773211565</v>
      </c>
      <c r="Q579" s="22">
        <f t="shared" si="57"/>
        <v>141.42857142857142</v>
      </c>
      <c r="R579" s="22">
        <f t="shared" si="58"/>
        <v>126.94615133724722</v>
      </c>
      <c r="S579" s="19" t="str">
        <f t="shared" si="59"/>
        <v>HEALTHY</v>
      </c>
    </row>
    <row r="580" spans="1:19" x14ac:dyDescent="0.3">
      <c r="A580" s="19" t="s">
        <v>168</v>
      </c>
      <c r="B580" s="19" t="s">
        <v>169</v>
      </c>
      <c r="C580" s="19" t="s">
        <v>28</v>
      </c>
      <c r="D580" s="19" t="s">
        <v>31</v>
      </c>
      <c r="E580" s="19">
        <f>SUMIFS('Stock Inflow'!$G$2:$G$601,'Stock Inflow'!$A$2:$A$601,$A580,'Stock Inflow'!$D$2:$D$601,$D580)</f>
        <v>165</v>
      </c>
      <c r="F580" s="19">
        <f>SUMIFS('Stock Inflow'!$F$2:$F$601,'Stock Inflow'!$A$2:$A$601,$A580,'Stock Inflow'!$D$2:$D$601,$D580)</f>
        <v>57</v>
      </c>
      <c r="G580" s="19">
        <f>SUMIFS('Stock Inflow'!$E$2:$E$601,'Stock Inflow'!$A$2:$A$601,$A580,'Stock Inflow'!$D$2:$D$601,$D580)</f>
        <v>1</v>
      </c>
      <c r="H580" s="19">
        <f>SUMIFS('Stock Outflow'!$F$2:$F$601,'Stock Outflow'!$A$2:$A$601,$A580,'Stock Outflow'!$D$2:$D$601,$D580)</f>
        <v>44</v>
      </c>
      <c r="I580" s="19">
        <f>SUMIFS('Stock Outflow'!$E$2:$E$601,'Stock Outflow'!$A$2:$A$601,$A580,'Stock Outflow'!$D$2:$D$601,$D580)</f>
        <v>1</v>
      </c>
      <c r="J580" s="19">
        <f t="shared" si="54"/>
        <v>178</v>
      </c>
      <c r="K580" s="20">
        <f>INDEX('Item Master'!$F$2:$F$51,MATCH($A580,'Item Master'!$A$2:$A$51,0))</f>
        <v>60</v>
      </c>
      <c r="L580" s="20">
        <f t="shared" si="55"/>
        <v>2640</v>
      </c>
      <c r="M580" s="21">
        <f t="shared" si="56"/>
        <v>1.4666666666666666</v>
      </c>
      <c r="N580" s="19">
        <f>INDEX('Item Master'!$E$2:$E$51,MATCH($A580,'Item Master'!$A$2:$A$51,0))</f>
        <v>7</v>
      </c>
      <c r="O580" s="22">
        <f>INDEX('Product Summary'!$L$2:$L$51,MATCH($A580,'Product Summary'!$A$2:$A$51,0))</f>
        <v>7.0194444444444439</v>
      </c>
      <c r="P580" s="22">
        <f>INDEX('Product Summary'!$M$2:$M$51,MATCH($A580,'Product Summary'!$A$2:$A$51,0))</f>
        <v>16.896156773211565</v>
      </c>
      <c r="Q580" s="22">
        <f t="shared" si="57"/>
        <v>121.36363636363637</v>
      </c>
      <c r="R580" s="22">
        <f t="shared" si="58"/>
        <v>109.8435294728103</v>
      </c>
      <c r="S580" s="19" t="str">
        <f t="shared" si="59"/>
        <v>HEALTHY</v>
      </c>
    </row>
    <row r="581" spans="1:19" x14ac:dyDescent="0.3">
      <c r="A581" s="19" t="s">
        <v>168</v>
      </c>
      <c r="B581" s="19" t="s">
        <v>169</v>
      </c>
      <c r="C581" s="19" t="s">
        <v>28</v>
      </c>
      <c r="D581" s="19" t="s">
        <v>33</v>
      </c>
      <c r="E581" s="19">
        <f>SUMIFS('Stock Inflow'!$G$2:$G$601,'Stock Inflow'!$A$2:$A$601,$A581,'Stock Inflow'!$D$2:$D$601,$D581)</f>
        <v>178</v>
      </c>
      <c r="F581" s="19">
        <f>SUMIFS('Stock Inflow'!$F$2:$F$601,'Stock Inflow'!$A$2:$A$601,$A581,'Stock Inflow'!$D$2:$D$601,$D581)</f>
        <v>45</v>
      </c>
      <c r="G581" s="19">
        <f>SUMIFS('Stock Inflow'!$E$2:$E$601,'Stock Inflow'!$A$2:$A$601,$A581,'Stock Inflow'!$D$2:$D$601,$D581)</f>
        <v>1</v>
      </c>
      <c r="H581" s="19">
        <f>SUMIFS('Stock Outflow'!$F$2:$F$601,'Stock Outflow'!$A$2:$A$601,$A581,'Stock Outflow'!$D$2:$D$601,$D581)</f>
        <v>42</v>
      </c>
      <c r="I581" s="19">
        <f>SUMIFS('Stock Outflow'!$E$2:$E$601,'Stock Outflow'!$A$2:$A$601,$A581,'Stock Outflow'!$D$2:$D$601,$D581)</f>
        <v>1</v>
      </c>
      <c r="J581" s="19">
        <f t="shared" si="54"/>
        <v>181</v>
      </c>
      <c r="K581" s="20">
        <f>INDEX('Item Master'!$F$2:$F$51,MATCH($A581,'Item Master'!$A$2:$A$51,0))</f>
        <v>60</v>
      </c>
      <c r="L581" s="20">
        <f t="shared" si="55"/>
        <v>2520</v>
      </c>
      <c r="M581" s="21">
        <f t="shared" si="56"/>
        <v>1.4</v>
      </c>
      <c r="N581" s="19">
        <f>INDEX('Item Master'!$E$2:$E$51,MATCH($A581,'Item Master'!$A$2:$A$51,0))</f>
        <v>7</v>
      </c>
      <c r="O581" s="22">
        <f>INDEX('Product Summary'!$L$2:$L$51,MATCH($A581,'Product Summary'!$A$2:$A$51,0))</f>
        <v>7.0194444444444439</v>
      </c>
      <c r="P581" s="22">
        <f>INDEX('Product Summary'!$M$2:$M$51,MATCH($A581,'Product Summary'!$A$2:$A$51,0))</f>
        <v>16.896156773211565</v>
      </c>
      <c r="Q581" s="22">
        <f t="shared" si="57"/>
        <v>129.28571428571431</v>
      </c>
      <c r="R581" s="22">
        <f t="shared" si="58"/>
        <v>117.21703087627746</v>
      </c>
      <c r="S581" s="19" t="str">
        <f t="shared" si="59"/>
        <v>HEALTHY</v>
      </c>
    </row>
    <row r="582" spans="1:19" x14ac:dyDescent="0.3">
      <c r="A582" s="19" t="s">
        <v>168</v>
      </c>
      <c r="B582" s="19" t="s">
        <v>169</v>
      </c>
      <c r="C582" s="19" t="s">
        <v>28</v>
      </c>
      <c r="D582" s="19" t="s">
        <v>35</v>
      </c>
      <c r="E582" s="19">
        <f>SUMIFS('Stock Inflow'!$G$2:$G$601,'Stock Inflow'!$A$2:$A$601,$A582,'Stock Inflow'!$D$2:$D$601,$D582)</f>
        <v>181</v>
      </c>
      <c r="F582" s="19">
        <f>SUMIFS('Stock Inflow'!$F$2:$F$601,'Stock Inflow'!$A$2:$A$601,$A582,'Stock Inflow'!$D$2:$D$601,$D582)</f>
        <v>32</v>
      </c>
      <c r="G582" s="19">
        <f>SUMIFS('Stock Inflow'!$E$2:$E$601,'Stock Inflow'!$A$2:$A$601,$A582,'Stock Inflow'!$D$2:$D$601,$D582)</f>
        <v>1</v>
      </c>
      <c r="H582" s="19">
        <f>SUMIFS('Stock Outflow'!$F$2:$F$601,'Stock Outflow'!$A$2:$A$601,$A582,'Stock Outflow'!$D$2:$D$601,$D582)</f>
        <v>35</v>
      </c>
      <c r="I582" s="19">
        <f>SUMIFS('Stock Outflow'!$E$2:$E$601,'Stock Outflow'!$A$2:$A$601,$A582,'Stock Outflow'!$D$2:$D$601,$D582)</f>
        <v>0</v>
      </c>
      <c r="J582" s="19">
        <f t="shared" si="54"/>
        <v>179</v>
      </c>
      <c r="K582" s="20">
        <f>INDEX('Item Master'!$F$2:$F$51,MATCH($A582,'Item Master'!$A$2:$A$51,0))</f>
        <v>60</v>
      </c>
      <c r="L582" s="20">
        <f t="shared" si="55"/>
        <v>2100</v>
      </c>
      <c r="M582" s="21">
        <f t="shared" si="56"/>
        <v>1.1666666666666667</v>
      </c>
      <c r="N582" s="19">
        <f>INDEX('Item Master'!$E$2:$E$51,MATCH($A582,'Item Master'!$A$2:$A$51,0))</f>
        <v>7</v>
      </c>
      <c r="O582" s="22">
        <f>INDEX('Product Summary'!$L$2:$L$51,MATCH($A582,'Product Summary'!$A$2:$A$51,0))</f>
        <v>7.0194444444444439</v>
      </c>
      <c r="P582" s="22">
        <f>INDEX('Product Summary'!$M$2:$M$51,MATCH($A582,'Product Summary'!$A$2:$A$51,0))</f>
        <v>16.896156773211565</v>
      </c>
      <c r="Q582" s="22">
        <f t="shared" si="57"/>
        <v>153.42857142857142</v>
      </c>
      <c r="R582" s="22">
        <f t="shared" si="58"/>
        <v>138.94615133724722</v>
      </c>
      <c r="S582" s="19" t="str">
        <f t="shared" si="59"/>
        <v>OVERSTOCK</v>
      </c>
    </row>
    <row r="583" spans="1:19" x14ac:dyDescent="0.3">
      <c r="A583" s="19" t="s">
        <v>168</v>
      </c>
      <c r="B583" s="19" t="s">
        <v>169</v>
      </c>
      <c r="C583" s="19" t="s">
        <v>28</v>
      </c>
      <c r="D583" s="19" t="s">
        <v>37</v>
      </c>
      <c r="E583" s="19">
        <f>SUMIFS('Stock Inflow'!$G$2:$G$601,'Stock Inflow'!$A$2:$A$601,$A583,'Stock Inflow'!$D$2:$D$601,$D583)</f>
        <v>179</v>
      </c>
      <c r="F583" s="19">
        <f>SUMIFS('Stock Inflow'!$F$2:$F$601,'Stock Inflow'!$A$2:$A$601,$A583,'Stock Inflow'!$D$2:$D$601,$D583)</f>
        <v>41</v>
      </c>
      <c r="G583" s="19">
        <f>SUMIFS('Stock Inflow'!$E$2:$E$601,'Stock Inflow'!$A$2:$A$601,$A583,'Stock Inflow'!$D$2:$D$601,$D583)</f>
        <v>1</v>
      </c>
      <c r="H583" s="19">
        <f>SUMIFS('Stock Outflow'!$F$2:$F$601,'Stock Outflow'!$A$2:$A$601,$A583,'Stock Outflow'!$D$2:$D$601,$D583)</f>
        <v>37</v>
      </c>
      <c r="I583" s="19">
        <f>SUMIFS('Stock Outflow'!$E$2:$E$601,'Stock Outflow'!$A$2:$A$601,$A583,'Stock Outflow'!$D$2:$D$601,$D583)</f>
        <v>1</v>
      </c>
      <c r="J583" s="19">
        <f t="shared" si="54"/>
        <v>183</v>
      </c>
      <c r="K583" s="20">
        <f>INDEX('Item Master'!$F$2:$F$51,MATCH($A583,'Item Master'!$A$2:$A$51,0))</f>
        <v>60</v>
      </c>
      <c r="L583" s="20">
        <f t="shared" si="55"/>
        <v>2220</v>
      </c>
      <c r="M583" s="21">
        <f t="shared" si="56"/>
        <v>1.2333333333333334</v>
      </c>
      <c r="N583" s="19">
        <f>INDEX('Item Master'!$E$2:$E$51,MATCH($A583,'Item Master'!$A$2:$A$51,0))</f>
        <v>7</v>
      </c>
      <c r="O583" s="22">
        <f>INDEX('Product Summary'!$L$2:$L$51,MATCH($A583,'Product Summary'!$A$2:$A$51,0))</f>
        <v>7.0194444444444439</v>
      </c>
      <c r="P583" s="22">
        <f>INDEX('Product Summary'!$M$2:$M$51,MATCH($A583,'Product Summary'!$A$2:$A$51,0))</f>
        <v>16.896156773211565</v>
      </c>
      <c r="Q583" s="22">
        <f t="shared" si="57"/>
        <v>148.37837837837836</v>
      </c>
      <c r="R583" s="22">
        <f t="shared" si="58"/>
        <v>134.67879180550412</v>
      </c>
      <c r="S583" s="19" t="str">
        <f t="shared" si="59"/>
        <v>HEALTHY</v>
      </c>
    </row>
    <row r="584" spans="1:19" x14ac:dyDescent="0.3">
      <c r="A584" s="19" t="s">
        <v>168</v>
      </c>
      <c r="B584" s="19" t="s">
        <v>169</v>
      </c>
      <c r="C584" s="19" t="s">
        <v>28</v>
      </c>
      <c r="D584" s="19" t="s">
        <v>39</v>
      </c>
      <c r="E584" s="19">
        <f>SUMIFS('Stock Inflow'!$G$2:$G$601,'Stock Inflow'!$A$2:$A$601,$A584,'Stock Inflow'!$D$2:$D$601,$D584)</f>
        <v>183</v>
      </c>
      <c r="F584" s="19">
        <f>SUMIFS('Stock Inflow'!$F$2:$F$601,'Stock Inflow'!$A$2:$A$601,$A584,'Stock Inflow'!$D$2:$D$601,$D584)</f>
        <v>52</v>
      </c>
      <c r="G584" s="19">
        <f>SUMIFS('Stock Inflow'!$E$2:$E$601,'Stock Inflow'!$A$2:$A$601,$A584,'Stock Inflow'!$D$2:$D$601,$D584)</f>
        <v>1</v>
      </c>
      <c r="H584" s="19">
        <f>SUMIFS('Stock Outflow'!$F$2:$F$601,'Stock Outflow'!$A$2:$A$601,$A584,'Stock Outflow'!$D$2:$D$601,$D584)</f>
        <v>43</v>
      </c>
      <c r="I584" s="19">
        <f>SUMIFS('Stock Outflow'!$E$2:$E$601,'Stock Outflow'!$A$2:$A$601,$A584,'Stock Outflow'!$D$2:$D$601,$D584)</f>
        <v>0</v>
      </c>
      <c r="J584" s="19">
        <f t="shared" si="54"/>
        <v>193</v>
      </c>
      <c r="K584" s="20">
        <f>INDEX('Item Master'!$F$2:$F$51,MATCH($A584,'Item Master'!$A$2:$A$51,0))</f>
        <v>60</v>
      </c>
      <c r="L584" s="20">
        <f t="shared" si="55"/>
        <v>2580</v>
      </c>
      <c r="M584" s="21">
        <f t="shared" si="56"/>
        <v>1.4333333333333333</v>
      </c>
      <c r="N584" s="19">
        <f>INDEX('Item Master'!$E$2:$E$51,MATCH($A584,'Item Master'!$A$2:$A$51,0))</f>
        <v>7</v>
      </c>
      <c r="O584" s="22">
        <f>INDEX('Product Summary'!$L$2:$L$51,MATCH($A584,'Product Summary'!$A$2:$A$51,0))</f>
        <v>7.0194444444444439</v>
      </c>
      <c r="P584" s="22">
        <f>INDEX('Product Summary'!$M$2:$M$51,MATCH($A584,'Product Summary'!$A$2:$A$51,0))</f>
        <v>16.896156773211565</v>
      </c>
      <c r="Q584" s="22">
        <f t="shared" si="57"/>
        <v>134.65116279069767</v>
      </c>
      <c r="R584" s="22">
        <f t="shared" si="58"/>
        <v>122.86314643729425</v>
      </c>
      <c r="S584" s="19" t="str">
        <f t="shared" si="59"/>
        <v>HEALTHY</v>
      </c>
    </row>
    <row r="585" spans="1:19" x14ac:dyDescent="0.3">
      <c r="A585" s="19" t="s">
        <v>168</v>
      </c>
      <c r="B585" s="19" t="s">
        <v>169</v>
      </c>
      <c r="C585" s="19" t="s">
        <v>28</v>
      </c>
      <c r="D585" s="19" t="s">
        <v>41</v>
      </c>
      <c r="E585" s="19">
        <f>SUMIFS('Stock Inflow'!$G$2:$G$601,'Stock Inflow'!$A$2:$A$601,$A585,'Stock Inflow'!$D$2:$D$601,$D585)</f>
        <v>193</v>
      </c>
      <c r="F585" s="19">
        <f>SUMIFS('Stock Inflow'!$F$2:$F$601,'Stock Inflow'!$A$2:$A$601,$A585,'Stock Inflow'!$D$2:$D$601,$D585)</f>
        <v>42</v>
      </c>
      <c r="G585" s="19">
        <f>SUMIFS('Stock Inflow'!$E$2:$E$601,'Stock Inflow'!$A$2:$A$601,$A585,'Stock Inflow'!$D$2:$D$601,$D585)</f>
        <v>1</v>
      </c>
      <c r="H585" s="19">
        <f>SUMIFS('Stock Outflow'!$F$2:$F$601,'Stock Outflow'!$A$2:$A$601,$A585,'Stock Outflow'!$D$2:$D$601,$D585)</f>
        <v>35</v>
      </c>
      <c r="I585" s="19">
        <f>SUMIFS('Stock Outflow'!$E$2:$E$601,'Stock Outflow'!$A$2:$A$601,$A585,'Stock Outflow'!$D$2:$D$601,$D585)</f>
        <v>0</v>
      </c>
      <c r="J585" s="19">
        <f t="shared" si="54"/>
        <v>201</v>
      </c>
      <c r="K585" s="20">
        <f>INDEX('Item Master'!$F$2:$F$51,MATCH($A585,'Item Master'!$A$2:$A$51,0))</f>
        <v>60</v>
      </c>
      <c r="L585" s="20">
        <f t="shared" si="55"/>
        <v>2100</v>
      </c>
      <c r="M585" s="21">
        <f t="shared" si="56"/>
        <v>1.1666666666666667</v>
      </c>
      <c r="N585" s="19">
        <f>INDEX('Item Master'!$E$2:$E$51,MATCH($A585,'Item Master'!$A$2:$A$51,0))</f>
        <v>7</v>
      </c>
      <c r="O585" s="22">
        <f>INDEX('Product Summary'!$L$2:$L$51,MATCH($A585,'Product Summary'!$A$2:$A$51,0))</f>
        <v>7.0194444444444439</v>
      </c>
      <c r="P585" s="22">
        <f>INDEX('Product Summary'!$M$2:$M$51,MATCH($A585,'Product Summary'!$A$2:$A$51,0))</f>
        <v>16.896156773211565</v>
      </c>
      <c r="Q585" s="22">
        <f t="shared" si="57"/>
        <v>172.28571428571428</v>
      </c>
      <c r="R585" s="22">
        <f t="shared" si="58"/>
        <v>157.80329419439008</v>
      </c>
      <c r="S585" s="19" t="str">
        <f t="shared" si="59"/>
        <v>OVERSTOCK</v>
      </c>
    </row>
    <row r="586" spans="1:19" x14ac:dyDescent="0.3">
      <c r="A586" s="19" t="s">
        <v>168</v>
      </c>
      <c r="B586" s="19" t="s">
        <v>169</v>
      </c>
      <c r="C586" s="19" t="s">
        <v>28</v>
      </c>
      <c r="D586" s="19" t="s">
        <v>43</v>
      </c>
      <c r="E586" s="19">
        <f>SUMIFS('Stock Inflow'!$G$2:$G$601,'Stock Inflow'!$A$2:$A$601,$A586,'Stock Inflow'!$D$2:$D$601,$D586)</f>
        <v>201</v>
      </c>
      <c r="F586" s="19">
        <f>SUMIFS('Stock Inflow'!$F$2:$F$601,'Stock Inflow'!$A$2:$A$601,$A586,'Stock Inflow'!$D$2:$D$601,$D586)</f>
        <v>40</v>
      </c>
      <c r="G586" s="19">
        <f>SUMIFS('Stock Inflow'!$E$2:$E$601,'Stock Inflow'!$A$2:$A$601,$A586,'Stock Inflow'!$D$2:$D$601,$D586)</f>
        <v>1</v>
      </c>
      <c r="H586" s="19">
        <f>SUMIFS('Stock Outflow'!$F$2:$F$601,'Stock Outflow'!$A$2:$A$601,$A586,'Stock Outflow'!$D$2:$D$601,$D586)</f>
        <v>44</v>
      </c>
      <c r="I586" s="19">
        <f>SUMIFS('Stock Outflow'!$E$2:$E$601,'Stock Outflow'!$A$2:$A$601,$A586,'Stock Outflow'!$D$2:$D$601,$D586)</f>
        <v>1</v>
      </c>
      <c r="J586" s="19">
        <f t="shared" si="54"/>
        <v>197</v>
      </c>
      <c r="K586" s="20">
        <f>INDEX('Item Master'!$F$2:$F$51,MATCH($A586,'Item Master'!$A$2:$A$51,0))</f>
        <v>60</v>
      </c>
      <c r="L586" s="20">
        <f t="shared" si="55"/>
        <v>2640</v>
      </c>
      <c r="M586" s="21">
        <f t="shared" si="56"/>
        <v>1.4666666666666666</v>
      </c>
      <c r="N586" s="19">
        <f>INDEX('Item Master'!$E$2:$E$51,MATCH($A586,'Item Master'!$A$2:$A$51,0))</f>
        <v>7</v>
      </c>
      <c r="O586" s="22">
        <f>INDEX('Product Summary'!$L$2:$L$51,MATCH($A586,'Product Summary'!$A$2:$A$51,0))</f>
        <v>7.0194444444444439</v>
      </c>
      <c r="P586" s="22">
        <f>INDEX('Product Summary'!$M$2:$M$51,MATCH($A586,'Product Summary'!$A$2:$A$51,0))</f>
        <v>16.896156773211565</v>
      </c>
      <c r="Q586" s="22">
        <f t="shared" si="57"/>
        <v>134.31818181818184</v>
      </c>
      <c r="R586" s="22">
        <f t="shared" si="58"/>
        <v>122.79807492735576</v>
      </c>
      <c r="S586" s="19" t="str">
        <f t="shared" si="59"/>
        <v>HEALTHY</v>
      </c>
    </row>
    <row r="587" spans="1:19" x14ac:dyDescent="0.3">
      <c r="A587" s="19" t="s">
        <v>168</v>
      </c>
      <c r="B587" s="19" t="s">
        <v>169</v>
      </c>
      <c r="C587" s="19" t="s">
        <v>28</v>
      </c>
      <c r="D587" s="19" t="s">
        <v>45</v>
      </c>
      <c r="E587" s="19">
        <f>SUMIFS('Stock Inflow'!$G$2:$G$601,'Stock Inflow'!$A$2:$A$601,$A587,'Stock Inflow'!$D$2:$D$601,$D587)</f>
        <v>197</v>
      </c>
      <c r="F587" s="19">
        <f>SUMIFS('Stock Inflow'!$F$2:$F$601,'Stock Inflow'!$A$2:$A$601,$A587,'Stock Inflow'!$D$2:$D$601,$D587)</f>
        <v>69</v>
      </c>
      <c r="G587" s="19">
        <f>SUMIFS('Stock Inflow'!$E$2:$E$601,'Stock Inflow'!$A$2:$A$601,$A587,'Stock Inflow'!$D$2:$D$601,$D587)</f>
        <v>3</v>
      </c>
      <c r="H587" s="19">
        <f>SUMIFS('Stock Outflow'!$F$2:$F$601,'Stock Outflow'!$A$2:$A$601,$A587,'Stock Outflow'!$D$2:$D$601,$D587)</f>
        <v>73</v>
      </c>
      <c r="I587" s="19">
        <f>SUMIFS('Stock Outflow'!$E$2:$E$601,'Stock Outflow'!$A$2:$A$601,$A587,'Stock Outflow'!$D$2:$D$601,$D587)</f>
        <v>2</v>
      </c>
      <c r="J587" s="19">
        <f t="shared" si="54"/>
        <v>194</v>
      </c>
      <c r="K587" s="20">
        <f>INDEX('Item Master'!$F$2:$F$51,MATCH($A587,'Item Master'!$A$2:$A$51,0))</f>
        <v>60</v>
      </c>
      <c r="L587" s="20">
        <f t="shared" si="55"/>
        <v>4380</v>
      </c>
      <c r="M587" s="21">
        <f t="shared" si="56"/>
        <v>2.4333333333333331</v>
      </c>
      <c r="N587" s="19">
        <f>INDEX('Item Master'!$E$2:$E$51,MATCH($A587,'Item Master'!$A$2:$A$51,0))</f>
        <v>7</v>
      </c>
      <c r="O587" s="22">
        <f>INDEX('Product Summary'!$L$2:$L$51,MATCH($A587,'Product Summary'!$A$2:$A$51,0))</f>
        <v>7.0194444444444439</v>
      </c>
      <c r="P587" s="22">
        <f>INDEX('Product Summary'!$M$2:$M$51,MATCH($A587,'Product Summary'!$A$2:$A$51,0))</f>
        <v>16.896156773211565</v>
      </c>
      <c r="Q587" s="22">
        <f t="shared" si="57"/>
        <v>79.726027397260282</v>
      </c>
      <c r="R587" s="22">
        <f t="shared" si="58"/>
        <v>72.782401326077448</v>
      </c>
      <c r="S587" s="19" t="str">
        <f t="shared" si="59"/>
        <v>HEALTHY</v>
      </c>
    </row>
    <row r="588" spans="1:19" x14ac:dyDescent="0.3">
      <c r="A588" s="19" t="s">
        <v>168</v>
      </c>
      <c r="B588" s="19" t="s">
        <v>169</v>
      </c>
      <c r="C588" s="19" t="s">
        <v>28</v>
      </c>
      <c r="D588" s="19" t="s">
        <v>47</v>
      </c>
      <c r="E588" s="19">
        <f>SUMIFS('Stock Inflow'!$G$2:$G$601,'Stock Inflow'!$A$2:$A$601,$A588,'Stock Inflow'!$D$2:$D$601,$D588)</f>
        <v>194</v>
      </c>
      <c r="F588" s="19">
        <f>SUMIFS('Stock Inflow'!$F$2:$F$601,'Stock Inflow'!$A$2:$A$601,$A588,'Stock Inflow'!$D$2:$D$601,$D588)</f>
        <v>56</v>
      </c>
      <c r="G588" s="19">
        <f>SUMIFS('Stock Inflow'!$E$2:$E$601,'Stock Inflow'!$A$2:$A$601,$A588,'Stock Inflow'!$D$2:$D$601,$D588)</f>
        <v>1</v>
      </c>
      <c r="H588" s="19">
        <f>SUMIFS('Stock Outflow'!$F$2:$F$601,'Stock Outflow'!$A$2:$A$601,$A588,'Stock Outflow'!$D$2:$D$601,$D588)</f>
        <v>43</v>
      </c>
      <c r="I588" s="19">
        <f>SUMIFS('Stock Outflow'!$E$2:$E$601,'Stock Outflow'!$A$2:$A$601,$A588,'Stock Outflow'!$D$2:$D$601,$D588)</f>
        <v>1</v>
      </c>
      <c r="J588" s="19">
        <f t="shared" si="54"/>
        <v>207</v>
      </c>
      <c r="K588" s="20">
        <f>INDEX('Item Master'!$F$2:$F$51,MATCH($A588,'Item Master'!$A$2:$A$51,0))</f>
        <v>60</v>
      </c>
      <c r="L588" s="20">
        <f t="shared" si="55"/>
        <v>2580</v>
      </c>
      <c r="M588" s="21">
        <f t="shared" si="56"/>
        <v>1.4333333333333333</v>
      </c>
      <c r="N588" s="19">
        <f>INDEX('Item Master'!$E$2:$E$51,MATCH($A588,'Item Master'!$A$2:$A$51,0))</f>
        <v>7</v>
      </c>
      <c r="O588" s="22">
        <f>INDEX('Product Summary'!$L$2:$L$51,MATCH($A588,'Product Summary'!$A$2:$A$51,0))</f>
        <v>7.0194444444444439</v>
      </c>
      <c r="P588" s="22">
        <f>INDEX('Product Summary'!$M$2:$M$51,MATCH($A588,'Product Summary'!$A$2:$A$51,0))</f>
        <v>16.896156773211565</v>
      </c>
      <c r="Q588" s="22">
        <f t="shared" si="57"/>
        <v>144.41860465116278</v>
      </c>
      <c r="R588" s="22">
        <f t="shared" si="58"/>
        <v>132.63058829775937</v>
      </c>
      <c r="S588" s="19" t="str">
        <f t="shared" si="59"/>
        <v>HEALTHY</v>
      </c>
    </row>
    <row r="589" spans="1:19" x14ac:dyDescent="0.3">
      <c r="A589" s="19" t="s">
        <v>168</v>
      </c>
      <c r="B589" s="19" t="s">
        <v>169</v>
      </c>
      <c r="C589" s="19" t="s">
        <v>28</v>
      </c>
      <c r="D589" s="19" t="s">
        <v>49</v>
      </c>
      <c r="E589" s="19">
        <f>SUMIFS('Stock Inflow'!$G$2:$G$601,'Stock Inflow'!$A$2:$A$601,$A589,'Stock Inflow'!$D$2:$D$601,$D589)</f>
        <v>207</v>
      </c>
      <c r="F589" s="19">
        <f>SUMIFS('Stock Inflow'!$F$2:$F$601,'Stock Inflow'!$A$2:$A$601,$A589,'Stock Inflow'!$D$2:$D$601,$D589)</f>
        <v>47</v>
      </c>
      <c r="G589" s="19">
        <f>SUMIFS('Stock Inflow'!$E$2:$E$601,'Stock Inflow'!$A$2:$A$601,$A589,'Stock Inflow'!$D$2:$D$601,$D589)</f>
        <v>2</v>
      </c>
      <c r="H589" s="19">
        <f>SUMIFS('Stock Outflow'!$F$2:$F$601,'Stock Outflow'!$A$2:$A$601,$A589,'Stock Outflow'!$D$2:$D$601,$D589)</f>
        <v>44</v>
      </c>
      <c r="I589" s="19">
        <f>SUMIFS('Stock Outflow'!$E$2:$E$601,'Stock Outflow'!$A$2:$A$601,$A589,'Stock Outflow'!$D$2:$D$601,$D589)</f>
        <v>1</v>
      </c>
      <c r="J589" s="19">
        <f t="shared" si="54"/>
        <v>211</v>
      </c>
      <c r="K589" s="20">
        <f>INDEX('Item Master'!$F$2:$F$51,MATCH($A589,'Item Master'!$A$2:$A$51,0))</f>
        <v>60</v>
      </c>
      <c r="L589" s="20">
        <f t="shared" si="55"/>
        <v>2640</v>
      </c>
      <c r="M589" s="21">
        <f t="shared" si="56"/>
        <v>1.4666666666666666</v>
      </c>
      <c r="N589" s="19">
        <f>INDEX('Item Master'!$E$2:$E$51,MATCH($A589,'Item Master'!$A$2:$A$51,0))</f>
        <v>7</v>
      </c>
      <c r="O589" s="22">
        <f>INDEX('Product Summary'!$L$2:$L$51,MATCH($A589,'Product Summary'!$A$2:$A$51,0))</f>
        <v>7.0194444444444439</v>
      </c>
      <c r="P589" s="22">
        <f>INDEX('Product Summary'!$M$2:$M$51,MATCH($A589,'Product Summary'!$A$2:$A$51,0))</f>
        <v>16.896156773211565</v>
      </c>
      <c r="Q589" s="22">
        <f t="shared" si="57"/>
        <v>143.86363636363637</v>
      </c>
      <c r="R589" s="22">
        <f t="shared" si="58"/>
        <v>132.3435294728103</v>
      </c>
      <c r="S589" s="19" t="str">
        <f t="shared" si="59"/>
        <v>HEALTHY</v>
      </c>
    </row>
    <row r="590" spans="1:19" x14ac:dyDescent="0.3">
      <c r="A590" s="19" t="s">
        <v>170</v>
      </c>
      <c r="B590" s="19" t="s">
        <v>171</v>
      </c>
      <c r="C590" s="19" t="s">
        <v>28</v>
      </c>
      <c r="D590" s="19" t="s">
        <v>27</v>
      </c>
      <c r="E590" s="19">
        <f>SUMIFS('Stock Inflow'!$G$2:$G$601,'Stock Inflow'!$A$2:$A$601,$A590,'Stock Inflow'!$D$2:$D$601,$D590)</f>
        <v>381</v>
      </c>
      <c r="F590" s="19">
        <f>SUMIFS('Stock Inflow'!$F$2:$F$601,'Stock Inflow'!$A$2:$A$601,$A590,'Stock Inflow'!$D$2:$D$601,$D590)</f>
        <v>24</v>
      </c>
      <c r="G590" s="19">
        <f>SUMIFS('Stock Inflow'!$E$2:$E$601,'Stock Inflow'!$A$2:$A$601,$A590,'Stock Inflow'!$D$2:$D$601,$D590)</f>
        <v>1</v>
      </c>
      <c r="H590" s="19">
        <f>SUMIFS('Stock Outflow'!$F$2:$F$601,'Stock Outflow'!$A$2:$A$601,$A590,'Stock Outflow'!$D$2:$D$601,$D590)</f>
        <v>19</v>
      </c>
      <c r="I590" s="19">
        <f>SUMIFS('Stock Outflow'!$E$2:$E$601,'Stock Outflow'!$A$2:$A$601,$A590,'Stock Outflow'!$D$2:$D$601,$D590)</f>
        <v>0</v>
      </c>
      <c r="J590" s="19">
        <f t="shared" si="54"/>
        <v>387</v>
      </c>
      <c r="K590" s="20">
        <f>INDEX('Item Master'!$F$2:$F$51,MATCH($A590,'Item Master'!$A$2:$A$51,0))</f>
        <v>180</v>
      </c>
      <c r="L590" s="20">
        <f t="shared" si="55"/>
        <v>3420</v>
      </c>
      <c r="M590" s="21">
        <f t="shared" si="56"/>
        <v>0.6333333333333333</v>
      </c>
      <c r="N590" s="19">
        <f>INDEX('Item Master'!$E$2:$E$51,MATCH($A590,'Item Master'!$A$2:$A$51,0))</f>
        <v>7</v>
      </c>
      <c r="O590" s="22">
        <f>INDEX('Product Summary'!$L$2:$L$51,MATCH($A590,'Product Summary'!$A$2:$A$51,0))</f>
        <v>1.3416666666666668</v>
      </c>
      <c r="P590" s="22">
        <f>INDEX('Product Summary'!$M$2:$M$51,MATCH($A590,'Product Summary'!$A$2:$A$51,0))</f>
        <v>5.7718036529680363</v>
      </c>
      <c r="Q590" s="22">
        <f t="shared" si="57"/>
        <v>611.0526315789474</v>
      </c>
      <c r="R590" s="22">
        <f t="shared" si="58"/>
        <v>601.93925739005044</v>
      </c>
      <c r="S590" s="19" t="str">
        <f t="shared" si="59"/>
        <v>OVERSTOCK</v>
      </c>
    </row>
    <row r="591" spans="1:19" x14ac:dyDescent="0.3">
      <c r="A591" s="19" t="s">
        <v>170</v>
      </c>
      <c r="B591" s="19" t="s">
        <v>171</v>
      </c>
      <c r="C591" s="19" t="s">
        <v>28</v>
      </c>
      <c r="D591" s="19" t="s">
        <v>29</v>
      </c>
      <c r="E591" s="19">
        <f>SUMIFS('Stock Inflow'!$G$2:$G$601,'Stock Inflow'!$A$2:$A$601,$A591,'Stock Inflow'!$D$2:$D$601,$D591)</f>
        <v>387</v>
      </c>
      <c r="F591" s="19">
        <f>SUMIFS('Stock Inflow'!$F$2:$F$601,'Stock Inflow'!$A$2:$A$601,$A591,'Stock Inflow'!$D$2:$D$601,$D591)</f>
        <v>23</v>
      </c>
      <c r="G591" s="19">
        <f>SUMIFS('Stock Inflow'!$E$2:$E$601,'Stock Inflow'!$A$2:$A$601,$A591,'Stock Inflow'!$D$2:$D$601,$D591)</f>
        <v>1</v>
      </c>
      <c r="H591" s="19">
        <f>SUMIFS('Stock Outflow'!$F$2:$F$601,'Stock Outflow'!$A$2:$A$601,$A591,'Stock Outflow'!$D$2:$D$601,$D591)</f>
        <v>19</v>
      </c>
      <c r="I591" s="19">
        <f>SUMIFS('Stock Outflow'!$E$2:$E$601,'Stock Outflow'!$A$2:$A$601,$A591,'Stock Outflow'!$D$2:$D$601,$D591)</f>
        <v>1</v>
      </c>
      <c r="J591" s="19">
        <f t="shared" si="54"/>
        <v>391</v>
      </c>
      <c r="K591" s="20">
        <f>INDEX('Item Master'!$F$2:$F$51,MATCH($A591,'Item Master'!$A$2:$A$51,0))</f>
        <v>180</v>
      </c>
      <c r="L591" s="20">
        <f t="shared" si="55"/>
        <v>3420</v>
      </c>
      <c r="M591" s="21">
        <f t="shared" si="56"/>
        <v>0.6333333333333333</v>
      </c>
      <c r="N591" s="19">
        <f>INDEX('Item Master'!$E$2:$E$51,MATCH($A591,'Item Master'!$A$2:$A$51,0))</f>
        <v>7</v>
      </c>
      <c r="O591" s="22">
        <f>INDEX('Product Summary'!$L$2:$L$51,MATCH($A591,'Product Summary'!$A$2:$A$51,0))</f>
        <v>1.3416666666666668</v>
      </c>
      <c r="P591" s="22">
        <f>INDEX('Product Summary'!$M$2:$M$51,MATCH($A591,'Product Summary'!$A$2:$A$51,0))</f>
        <v>5.7718036529680363</v>
      </c>
      <c r="Q591" s="22">
        <f t="shared" si="57"/>
        <v>617.36842105263156</v>
      </c>
      <c r="R591" s="22">
        <f t="shared" si="58"/>
        <v>608.25504686373472</v>
      </c>
      <c r="S591" s="19" t="str">
        <f t="shared" si="59"/>
        <v>OVERSTOCK</v>
      </c>
    </row>
    <row r="592" spans="1:19" x14ac:dyDescent="0.3">
      <c r="A592" s="19" t="s">
        <v>170</v>
      </c>
      <c r="B592" s="19" t="s">
        <v>171</v>
      </c>
      <c r="C592" s="19" t="s">
        <v>28</v>
      </c>
      <c r="D592" s="19" t="s">
        <v>31</v>
      </c>
      <c r="E592" s="19">
        <f>SUMIFS('Stock Inflow'!$G$2:$G$601,'Stock Inflow'!$A$2:$A$601,$A592,'Stock Inflow'!$D$2:$D$601,$D592)</f>
        <v>391</v>
      </c>
      <c r="F592" s="19">
        <f>SUMIFS('Stock Inflow'!$F$2:$F$601,'Stock Inflow'!$A$2:$A$601,$A592,'Stock Inflow'!$D$2:$D$601,$D592)</f>
        <v>20</v>
      </c>
      <c r="G592" s="19">
        <f>SUMIFS('Stock Inflow'!$E$2:$E$601,'Stock Inflow'!$A$2:$A$601,$A592,'Stock Inflow'!$D$2:$D$601,$D592)</f>
        <v>1</v>
      </c>
      <c r="H592" s="19">
        <f>SUMIFS('Stock Outflow'!$F$2:$F$601,'Stock Outflow'!$A$2:$A$601,$A592,'Stock Outflow'!$D$2:$D$601,$D592)</f>
        <v>18</v>
      </c>
      <c r="I592" s="19">
        <f>SUMIFS('Stock Outflow'!$E$2:$E$601,'Stock Outflow'!$A$2:$A$601,$A592,'Stock Outflow'!$D$2:$D$601,$D592)</f>
        <v>0</v>
      </c>
      <c r="J592" s="19">
        <f t="shared" si="54"/>
        <v>394</v>
      </c>
      <c r="K592" s="20">
        <f>INDEX('Item Master'!$F$2:$F$51,MATCH($A592,'Item Master'!$A$2:$A$51,0))</f>
        <v>180</v>
      </c>
      <c r="L592" s="20">
        <f t="shared" si="55"/>
        <v>3240</v>
      </c>
      <c r="M592" s="21">
        <f t="shared" si="56"/>
        <v>0.6</v>
      </c>
      <c r="N592" s="19">
        <f>INDEX('Item Master'!$E$2:$E$51,MATCH($A592,'Item Master'!$A$2:$A$51,0))</f>
        <v>7</v>
      </c>
      <c r="O592" s="22">
        <f>INDEX('Product Summary'!$L$2:$L$51,MATCH($A592,'Product Summary'!$A$2:$A$51,0))</f>
        <v>1.3416666666666668</v>
      </c>
      <c r="P592" s="22">
        <f>INDEX('Product Summary'!$M$2:$M$51,MATCH($A592,'Product Summary'!$A$2:$A$51,0))</f>
        <v>5.7718036529680363</v>
      </c>
      <c r="Q592" s="22">
        <f t="shared" si="57"/>
        <v>656.66666666666674</v>
      </c>
      <c r="R592" s="22">
        <f t="shared" si="58"/>
        <v>647.04699391171994</v>
      </c>
      <c r="S592" s="19" t="str">
        <f t="shared" si="59"/>
        <v>OVERSTOCK</v>
      </c>
    </row>
    <row r="593" spans="1:19" x14ac:dyDescent="0.3">
      <c r="A593" s="19" t="s">
        <v>170</v>
      </c>
      <c r="B593" s="19" t="s">
        <v>171</v>
      </c>
      <c r="C593" s="19" t="s">
        <v>28</v>
      </c>
      <c r="D593" s="19" t="s">
        <v>33</v>
      </c>
      <c r="E593" s="19">
        <f>SUMIFS('Stock Inflow'!$G$2:$G$601,'Stock Inflow'!$A$2:$A$601,$A593,'Stock Inflow'!$D$2:$D$601,$D593)</f>
        <v>394</v>
      </c>
      <c r="F593" s="19">
        <f>SUMIFS('Stock Inflow'!$F$2:$F$601,'Stock Inflow'!$A$2:$A$601,$A593,'Stock Inflow'!$D$2:$D$601,$D593)</f>
        <v>21</v>
      </c>
      <c r="G593" s="19">
        <f>SUMIFS('Stock Inflow'!$E$2:$E$601,'Stock Inflow'!$A$2:$A$601,$A593,'Stock Inflow'!$D$2:$D$601,$D593)</f>
        <v>1</v>
      </c>
      <c r="H593" s="19">
        <f>SUMIFS('Stock Outflow'!$F$2:$F$601,'Stock Outflow'!$A$2:$A$601,$A593,'Stock Outflow'!$D$2:$D$601,$D593)</f>
        <v>21</v>
      </c>
      <c r="I593" s="19">
        <f>SUMIFS('Stock Outflow'!$E$2:$E$601,'Stock Outflow'!$A$2:$A$601,$A593,'Stock Outflow'!$D$2:$D$601,$D593)</f>
        <v>1</v>
      </c>
      <c r="J593" s="19">
        <f t="shared" si="54"/>
        <v>394</v>
      </c>
      <c r="K593" s="20">
        <f>INDEX('Item Master'!$F$2:$F$51,MATCH($A593,'Item Master'!$A$2:$A$51,0))</f>
        <v>180</v>
      </c>
      <c r="L593" s="20">
        <f t="shared" si="55"/>
        <v>3780</v>
      </c>
      <c r="M593" s="21">
        <f t="shared" si="56"/>
        <v>0.7</v>
      </c>
      <c r="N593" s="19">
        <f>INDEX('Item Master'!$E$2:$E$51,MATCH($A593,'Item Master'!$A$2:$A$51,0))</f>
        <v>7</v>
      </c>
      <c r="O593" s="22">
        <f>INDEX('Product Summary'!$L$2:$L$51,MATCH($A593,'Product Summary'!$A$2:$A$51,0))</f>
        <v>1.3416666666666668</v>
      </c>
      <c r="P593" s="22">
        <f>INDEX('Product Summary'!$M$2:$M$51,MATCH($A593,'Product Summary'!$A$2:$A$51,0))</f>
        <v>5.7718036529680363</v>
      </c>
      <c r="Q593" s="22">
        <f t="shared" si="57"/>
        <v>562.85714285714289</v>
      </c>
      <c r="R593" s="22">
        <f t="shared" si="58"/>
        <v>554.61170906718849</v>
      </c>
      <c r="S593" s="19" t="str">
        <f t="shared" si="59"/>
        <v>OVERSTOCK</v>
      </c>
    </row>
    <row r="594" spans="1:19" x14ac:dyDescent="0.3">
      <c r="A594" s="19" t="s">
        <v>170</v>
      </c>
      <c r="B594" s="19" t="s">
        <v>171</v>
      </c>
      <c r="C594" s="19" t="s">
        <v>28</v>
      </c>
      <c r="D594" s="19" t="s">
        <v>35</v>
      </c>
      <c r="E594" s="19">
        <f>SUMIFS('Stock Inflow'!$G$2:$G$601,'Stock Inflow'!$A$2:$A$601,$A594,'Stock Inflow'!$D$2:$D$601,$D594)</f>
        <v>394</v>
      </c>
      <c r="F594" s="19">
        <f>SUMIFS('Stock Inflow'!$F$2:$F$601,'Stock Inflow'!$A$2:$A$601,$A594,'Stock Inflow'!$D$2:$D$601,$D594)</f>
        <v>23</v>
      </c>
      <c r="G594" s="19">
        <f>SUMIFS('Stock Inflow'!$E$2:$E$601,'Stock Inflow'!$A$2:$A$601,$A594,'Stock Inflow'!$D$2:$D$601,$D594)</f>
        <v>1</v>
      </c>
      <c r="H594" s="19">
        <f>SUMIFS('Stock Outflow'!$F$2:$F$601,'Stock Outflow'!$A$2:$A$601,$A594,'Stock Outflow'!$D$2:$D$601,$D594)</f>
        <v>18</v>
      </c>
      <c r="I594" s="19">
        <f>SUMIFS('Stock Outflow'!$E$2:$E$601,'Stock Outflow'!$A$2:$A$601,$A594,'Stock Outflow'!$D$2:$D$601,$D594)</f>
        <v>0</v>
      </c>
      <c r="J594" s="19">
        <f t="shared" si="54"/>
        <v>400</v>
      </c>
      <c r="K594" s="20">
        <f>INDEX('Item Master'!$F$2:$F$51,MATCH($A594,'Item Master'!$A$2:$A$51,0))</f>
        <v>180</v>
      </c>
      <c r="L594" s="20">
        <f t="shared" si="55"/>
        <v>3240</v>
      </c>
      <c r="M594" s="21">
        <f t="shared" si="56"/>
        <v>0.6</v>
      </c>
      <c r="N594" s="19">
        <f>INDEX('Item Master'!$E$2:$E$51,MATCH($A594,'Item Master'!$A$2:$A$51,0))</f>
        <v>7</v>
      </c>
      <c r="O594" s="22">
        <f>INDEX('Product Summary'!$L$2:$L$51,MATCH($A594,'Product Summary'!$A$2:$A$51,0))</f>
        <v>1.3416666666666668</v>
      </c>
      <c r="P594" s="22">
        <f>INDEX('Product Summary'!$M$2:$M$51,MATCH($A594,'Product Summary'!$A$2:$A$51,0))</f>
        <v>5.7718036529680363</v>
      </c>
      <c r="Q594" s="22">
        <f t="shared" si="57"/>
        <v>666.66666666666674</v>
      </c>
      <c r="R594" s="22">
        <f t="shared" si="58"/>
        <v>657.04699391171994</v>
      </c>
      <c r="S594" s="19" t="str">
        <f t="shared" si="59"/>
        <v>OVERSTOCK</v>
      </c>
    </row>
    <row r="595" spans="1:19" x14ac:dyDescent="0.3">
      <c r="A595" s="19" t="s">
        <v>170</v>
      </c>
      <c r="B595" s="19" t="s">
        <v>171</v>
      </c>
      <c r="C595" s="19" t="s">
        <v>28</v>
      </c>
      <c r="D595" s="19" t="s">
        <v>37</v>
      </c>
      <c r="E595" s="19">
        <f>SUMIFS('Stock Inflow'!$G$2:$G$601,'Stock Inflow'!$A$2:$A$601,$A595,'Stock Inflow'!$D$2:$D$601,$D595)</f>
        <v>400</v>
      </c>
      <c r="F595" s="19">
        <f>SUMIFS('Stock Inflow'!$F$2:$F$601,'Stock Inflow'!$A$2:$A$601,$A595,'Stock Inflow'!$D$2:$D$601,$D595)</f>
        <v>20</v>
      </c>
      <c r="G595" s="19">
        <f>SUMIFS('Stock Inflow'!$E$2:$E$601,'Stock Inflow'!$A$2:$A$601,$A595,'Stock Inflow'!$D$2:$D$601,$D595)</f>
        <v>0</v>
      </c>
      <c r="H595" s="19">
        <f>SUMIFS('Stock Outflow'!$F$2:$F$601,'Stock Outflow'!$A$2:$A$601,$A595,'Stock Outflow'!$D$2:$D$601,$D595)</f>
        <v>19</v>
      </c>
      <c r="I595" s="19">
        <f>SUMIFS('Stock Outflow'!$E$2:$E$601,'Stock Outflow'!$A$2:$A$601,$A595,'Stock Outflow'!$D$2:$D$601,$D595)</f>
        <v>0</v>
      </c>
      <c r="J595" s="19">
        <f t="shared" si="54"/>
        <v>401</v>
      </c>
      <c r="K595" s="20">
        <f>INDEX('Item Master'!$F$2:$F$51,MATCH($A595,'Item Master'!$A$2:$A$51,0))</f>
        <v>180</v>
      </c>
      <c r="L595" s="20">
        <f t="shared" si="55"/>
        <v>3420</v>
      </c>
      <c r="M595" s="21">
        <f t="shared" si="56"/>
        <v>0.6333333333333333</v>
      </c>
      <c r="N595" s="19">
        <f>INDEX('Item Master'!$E$2:$E$51,MATCH($A595,'Item Master'!$A$2:$A$51,0))</f>
        <v>7</v>
      </c>
      <c r="O595" s="22">
        <f>INDEX('Product Summary'!$L$2:$L$51,MATCH($A595,'Product Summary'!$A$2:$A$51,0))</f>
        <v>1.3416666666666668</v>
      </c>
      <c r="P595" s="22">
        <f>INDEX('Product Summary'!$M$2:$M$51,MATCH($A595,'Product Summary'!$A$2:$A$51,0))</f>
        <v>5.7718036529680363</v>
      </c>
      <c r="Q595" s="22">
        <f t="shared" si="57"/>
        <v>633.15789473684208</v>
      </c>
      <c r="R595" s="22">
        <f t="shared" si="58"/>
        <v>624.04452054794524</v>
      </c>
      <c r="S595" s="19" t="str">
        <f t="shared" si="59"/>
        <v>OVERSTOCK</v>
      </c>
    </row>
    <row r="596" spans="1:19" x14ac:dyDescent="0.3">
      <c r="A596" s="19" t="s">
        <v>170</v>
      </c>
      <c r="B596" s="19" t="s">
        <v>171</v>
      </c>
      <c r="C596" s="19" t="s">
        <v>28</v>
      </c>
      <c r="D596" s="19" t="s">
        <v>39</v>
      </c>
      <c r="E596" s="19">
        <f>SUMIFS('Stock Inflow'!$G$2:$G$601,'Stock Inflow'!$A$2:$A$601,$A596,'Stock Inflow'!$D$2:$D$601,$D596)</f>
        <v>401</v>
      </c>
      <c r="F596" s="19">
        <f>SUMIFS('Stock Inflow'!$F$2:$F$601,'Stock Inflow'!$A$2:$A$601,$A596,'Stock Inflow'!$D$2:$D$601,$D596)</f>
        <v>22</v>
      </c>
      <c r="G596" s="19">
        <f>SUMIFS('Stock Inflow'!$E$2:$E$601,'Stock Inflow'!$A$2:$A$601,$A596,'Stock Inflow'!$D$2:$D$601,$D596)</f>
        <v>0</v>
      </c>
      <c r="H596" s="19">
        <f>SUMIFS('Stock Outflow'!$F$2:$F$601,'Stock Outflow'!$A$2:$A$601,$A596,'Stock Outflow'!$D$2:$D$601,$D596)</f>
        <v>19</v>
      </c>
      <c r="I596" s="19">
        <f>SUMIFS('Stock Outflow'!$E$2:$E$601,'Stock Outflow'!$A$2:$A$601,$A596,'Stock Outflow'!$D$2:$D$601,$D596)</f>
        <v>0</v>
      </c>
      <c r="J596" s="19">
        <f t="shared" si="54"/>
        <v>404</v>
      </c>
      <c r="K596" s="20">
        <f>INDEX('Item Master'!$F$2:$F$51,MATCH($A596,'Item Master'!$A$2:$A$51,0))</f>
        <v>180</v>
      </c>
      <c r="L596" s="20">
        <f t="shared" si="55"/>
        <v>3420</v>
      </c>
      <c r="M596" s="21">
        <f t="shared" si="56"/>
        <v>0.6333333333333333</v>
      </c>
      <c r="N596" s="19">
        <f>INDEX('Item Master'!$E$2:$E$51,MATCH($A596,'Item Master'!$A$2:$A$51,0))</f>
        <v>7</v>
      </c>
      <c r="O596" s="22">
        <f>INDEX('Product Summary'!$L$2:$L$51,MATCH($A596,'Product Summary'!$A$2:$A$51,0))</f>
        <v>1.3416666666666668</v>
      </c>
      <c r="P596" s="22">
        <f>INDEX('Product Summary'!$M$2:$M$51,MATCH($A596,'Product Summary'!$A$2:$A$51,0))</f>
        <v>5.7718036529680363</v>
      </c>
      <c r="Q596" s="22">
        <f t="shared" si="57"/>
        <v>637.89473684210532</v>
      </c>
      <c r="R596" s="22">
        <f t="shared" si="58"/>
        <v>628.78136265320836</v>
      </c>
      <c r="S596" s="19" t="str">
        <f t="shared" si="59"/>
        <v>OVERSTOCK</v>
      </c>
    </row>
    <row r="597" spans="1:19" x14ac:dyDescent="0.3">
      <c r="A597" s="19" t="s">
        <v>170</v>
      </c>
      <c r="B597" s="19" t="s">
        <v>171</v>
      </c>
      <c r="C597" s="19" t="s">
        <v>28</v>
      </c>
      <c r="D597" s="19" t="s">
        <v>41</v>
      </c>
      <c r="E597" s="19">
        <f>SUMIFS('Stock Inflow'!$G$2:$G$601,'Stock Inflow'!$A$2:$A$601,$A597,'Stock Inflow'!$D$2:$D$601,$D597)</f>
        <v>404</v>
      </c>
      <c r="F597" s="19">
        <f>SUMIFS('Stock Inflow'!$F$2:$F$601,'Stock Inflow'!$A$2:$A$601,$A597,'Stock Inflow'!$D$2:$D$601,$D597)</f>
        <v>17</v>
      </c>
      <c r="G597" s="19">
        <f>SUMIFS('Stock Inflow'!$E$2:$E$601,'Stock Inflow'!$A$2:$A$601,$A597,'Stock Inflow'!$D$2:$D$601,$D597)</f>
        <v>1</v>
      </c>
      <c r="H597" s="19">
        <f>SUMIFS('Stock Outflow'!$F$2:$F$601,'Stock Outflow'!$A$2:$A$601,$A597,'Stock Outflow'!$D$2:$D$601,$D597)</f>
        <v>17</v>
      </c>
      <c r="I597" s="19">
        <f>SUMIFS('Stock Outflow'!$E$2:$E$601,'Stock Outflow'!$A$2:$A$601,$A597,'Stock Outflow'!$D$2:$D$601,$D597)</f>
        <v>0</v>
      </c>
      <c r="J597" s="19">
        <f t="shared" si="54"/>
        <v>405</v>
      </c>
      <c r="K597" s="20">
        <f>INDEX('Item Master'!$F$2:$F$51,MATCH($A597,'Item Master'!$A$2:$A$51,0))</f>
        <v>180</v>
      </c>
      <c r="L597" s="20">
        <f t="shared" si="55"/>
        <v>3060</v>
      </c>
      <c r="M597" s="21">
        <f t="shared" si="56"/>
        <v>0.56666666666666665</v>
      </c>
      <c r="N597" s="19">
        <f>INDEX('Item Master'!$E$2:$E$51,MATCH($A597,'Item Master'!$A$2:$A$51,0))</f>
        <v>7</v>
      </c>
      <c r="O597" s="22">
        <f>INDEX('Product Summary'!$L$2:$L$51,MATCH($A597,'Product Summary'!$A$2:$A$51,0))</f>
        <v>1.3416666666666668</v>
      </c>
      <c r="P597" s="22">
        <f>INDEX('Product Summary'!$M$2:$M$51,MATCH($A597,'Product Summary'!$A$2:$A$51,0))</f>
        <v>5.7718036529680363</v>
      </c>
      <c r="Q597" s="22">
        <f t="shared" si="57"/>
        <v>714.70588235294122</v>
      </c>
      <c r="R597" s="22">
        <f t="shared" si="58"/>
        <v>704.52034649476229</v>
      </c>
      <c r="S597" s="19" t="str">
        <f t="shared" si="59"/>
        <v>OVERSTOCK</v>
      </c>
    </row>
    <row r="598" spans="1:19" x14ac:dyDescent="0.3">
      <c r="A598" s="19" t="s">
        <v>170</v>
      </c>
      <c r="B598" s="19" t="s">
        <v>171</v>
      </c>
      <c r="C598" s="19" t="s">
        <v>28</v>
      </c>
      <c r="D598" s="19" t="s">
        <v>43</v>
      </c>
      <c r="E598" s="19">
        <f>SUMIFS('Stock Inflow'!$G$2:$G$601,'Stock Inflow'!$A$2:$A$601,$A598,'Stock Inflow'!$D$2:$D$601,$D598)</f>
        <v>405</v>
      </c>
      <c r="F598" s="19">
        <f>SUMIFS('Stock Inflow'!$F$2:$F$601,'Stock Inflow'!$A$2:$A$601,$A598,'Stock Inflow'!$D$2:$D$601,$D598)</f>
        <v>18</v>
      </c>
      <c r="G598" s="19">
        <f>SUMIFS('Stock Inflow'!$E$2:$E$601,'Stock Inflow'!$A$2:$A$601,$A598,'Stock Inflow'!$D$2:$D$601,$D598)</f>
        <v>0</v>
      </c>
      <c r="H598" s="19">
        <f>SUMIFS('Stock Outflow'!$F$2:$F$601,'Stock Outflow'!$A$2:$A$601,$A598,'Stock Outflow'!$D$2:$D$601,$D598)</f>
        <v>16</v>
      </c>
      <c r="I598" s="19">
        <f>SUMIFS('Stock Outflow'!$E$2:$E$601,'Stock Outflow'!$A$2:$A$601,$A598,'Stock Outflow'!$D$2:$D$601,$D598)</f>
        <v>0</v>
      </c>
      <c r="J598" s="19">
        <f t="shared" si="54"/>
        <v>407</v>
      </c>
      <c r="K598" s="20">
        <f>INDEX('Item Master'!$F$2:$F$51,MATCH($A598,'Item Master'!$A$2:$A$51,0))</f>
        <v>180</v>
      </c>
      <c r="L598" s="20">
        <f t="shared" si="55"/>
        <v>2880</v>
      </c>
      <c r="M598" s="21">
        <f t="shared" si="56"/>
        <v>0.53333333333333333</v>
      </c>
      <c r="N598" s="19">
        <f>INDEX('Item Master'!$E$2:$E$51,MATCH($A598,'Item Master'!$A$2:$A$51,0))</f>
        <v>7</v>
      </c>
      <c r="O598" s="22">
        <f>INDEX('Product Summary'!$L$2:$L$51,MATCH($A598,'Product Summary'!$A$2:$A$51,0))</f>
        <v>1.3416666666666668</v>
      </c>
      <c r="P598" s="22">
        <f>INDEX('Product Summary'!$M$2:$M$51,MATCH($A598,'Product Summary'!$A$2:$A$51,0))</f>
        <v>5.7718036529680363</v>
      </c>
      <c r="Q598" s="22">
        <f t="shared" si="57"/>
        <v>763.125</v>
      </c>
      <c r="R598" s="22">
        <f t="shared" si="58"/>
        <v>752.30286815068484</v>
      </c>
      <c r="S598" s="19" t="str">
        <f t="shared" si="59"/>
        <v>OVERSTOCK</v>
      </c>
    </row>
    <row r="599" spans="1:19" x14ac:dyDescent="0.3">
      <c r="A599" s="19" t="s">
        <v>170</v>
      </c>
      <c r="B599" s="19" t="s">
        <v>171</v>
      </c>
      <c r="C599" s="19" t="s">
        <v>28</v>
      </c>
      <c r="D599" s="19" t="s">
        <v>45</v>
      </c>
      <c r="E599" s="19">
        <f>SUMIFS('Stock Inflow'!$G$2:$G$601,'Stock Inflow'!$A$2:$A$601,$A599,'Stock Inflow'!$D$2:$D$601,$D599)</f>
        <v>407</v>
      </c>
      <c r="F599" s="19">
        <f>SUMIFS('Stock Inflow'!$F$2:$F$601,'Stock Inflow'!$A$2:$A$601,$A599,'Stock Inflow'!$D$2:$D$601,$D599)</f>
        <v>30</v>
      </c>
      <c r="G599" s="19">
        <f>SUMIFS('Stock Inflow'!$E$2:$E$601,'Stock Inflow'!$A$2:$A$601,$A599,'Stock Inflow'!$D$2:$D$601,$D599)</f>
        <v>1</v>
      </c>
      <c r="H599" s="19">
        <f>SUMIFS('Stock Outflow'!$F$2:$F$601,'Stock Outflow'!$A$2:$A$601,$A599,'Stock Outflow'!$D$2:$D$601,$D599)</f>
        <v>25</v>
      </c>
      <c r="I599" s="19">
        <f>SUMIFS('Stock Outflow'!$E$2:$E$601,'Stock Outflow'!$A$2:$A$601,$A599,'Stock Outflow'!$D$2:$D$601,$D599)</f>
        <v>0</v>
      </c>
      <c r="J599" s="19">
        <f t="shared" si="54"/>
        <v>413</v>
      </c>
      <c r="K599" s="20">
        <f>INDEX('Item Master'!$F$2:$F$51,MATCH($A599,'Item Master'!$A$2:$A$51,0))</f>
        <v>180</v>
      </c>
      <c r="L599" s="20">
        <f t="shared" si="55"/>
        <v>4500</v>
      </c>
      <c r="M599" s="21">
        <f t="shared" si="56"/>
        <v>0.83333333333333337</v>
      </c>
      <c r="N599" s="19">
        <f>INDEX('Item Master'!$E$2:$E$51,MATCH($A599,'Item Master'!$A$2:$A$51,0))</f>
        <v>7</v>
      </c>
      <c r="O599" s="22">
        <f>INDEX('Product Summary'!$L$2:$L$51,MATCH($A599,'Product Summary'!$A$2:$A$51,0))</f>
        <v>1.3416666666666668</v>
      </c>
      <c r="P599" s="22">
        <f>INDEX('Product Summary'!$M$2:$M$51,MATCH($A599,'Product Summary'!$A$2:$A$51,0))</f>
        <v>5.7718036529680363</v>
      </c>
      <c r="Q599" s="22">
        <f t="shared" si="57"/>
        <v>495.59999999999997</v>
      </c>
      <c r="R599" s="22">
        <f t="shared" si="58"/>
        <v>488.67383561643828</v>
      </c>
      <c r="S599" s="19" t="str">
        <f t="shared" si="59"/>
        <v>OVERSTOCK</v>
      </c>
    </row>
    <row r="600" spans="1:19" x14ac:dyDescent="0.3">
      <c r="A600" s="19" t="s">
        <v>170</v>
      </c>
      <c r="B600" s="19" t="s">
        <v>171</v>
      </c>
      <c r="C600" s="19" t="s">
        <v>28</v>
      </c>
      <c r="D600" s="19" t="s">
        <v>47</v>
      </c>
      <c r="E600" s="19">
        <f>SUMIFS('Stock Inflow'!$G$2:$G$601,'Stock Inflow'!$A$2:$A$601,$A600,'Stock Inflow'!$D$2:$D$601,$D600)</f>
        <v>413</v>
      </c>
      <c r="F600" s="19">
        <f>SUMIFS('Stock Inflow'!$F$2:$F$601,'Stock Inflow'!$A$2:$A$601,$A600,'Stock Inflow'!$D$2:$D$601,$D600)</f>
        <v>26</v>
      </c>
      <c r="G600" s="19">
        <f>SUMIFS('Stock Inflow'!$E$2:$E$601,'Stock Inflow'!$A$2:$A$601,$A600,'Stock Inflow'!$D$2:$D$601,$D600)</f>
        <v>1</v>
      </c>
      <c r="H600" s="19">
        <f>SUMIFS('Stock Outflow'!$F$2:$F$601,'Stock Outflow'!$A$2:$A$601,$A600,'Stock Outflow'!$D$2:$D$601,$D600)</f>
        <v>22</v>
      </c>
      <c r="I600" s="19">
        <f>SUMIFS('Stock Outflow'!$E$2:$E$601,'Stock Outflow'!$A$2:$A$601,$A600,'Stock Outflow'!$D$2:$D$601,$D600)</f>
        <v>0</v>
      </c>
      <c r="J600" s="19">
        <f t="shared" si="54"/>
        <v>418</v>
      </c>
      <c r="K600" s="20">
        <f>INDEX('Item Master'!$F$2:$F$51,MATCH($A600,'Item Master'!$A$2:$A$51,0))</f>
        <v>180</v>
      </c>
      <c r="L600" s="20">
        <f t="shared" si="55"/>
        <v>3960</v>
      </c>
      <c r="M600" s="21">
        <f t="shared" si="56"/>
        <v>0.73333333333333328</v>
      </c>
      <c r="N600" s="19">
        <f>INDEX('Item Master'!$E$2:$E$51,MATCH($A600,'Item Master'!$A$2:$A$51,0))</f>
        <v>7</v>
      </c>
      <c r="O600" s="22">
        <f>INDEX('Product Summary'!$L$2:$L$51,MATCH($A600,'Product Summary'!$A$2:$A$51,0))</f>
        <v>1.3416666666666668</v>
      </c>
      <c r="P600" s="22">
        <f>INDEX('Product Summary'!$M$2:$M$51,MATCH($A600,'Product Summary'!$A$2:$A$51,0))</f>
        <v>5.7718036529680363</v>
      </c>
      <c r="Q600" s="22">
        <f t="shared" si="57"/>
        <v>570</v>
      </c>
      <c r="R600" s="22">
        <f t="shared" si="58"/>
        <v>562.12935865504357</v>
      </c>
      <c r="S600" s="19" t="str">
        <f t="shared" si="59"/>
        <v>OVERSTOCK</v>
      </c>
    </row>
    <row r="601" spans="1:19" x14ac:dyDescent="0.3">
      <c r="A601" s="19" t="s">
        <v>170</v>
      </c>
      <c r="B601" s="19" t="s">
        <v>171</v>
      </c>
      <c r="C601" s="19" t="s">
        <v>28</v>
      </c>
      <c r="D601" s="19" t="s">
        <v>49</v>
      </c>
      <c r="E601" s="19">
        <f>SUMIFS('Stock Inflow'!$G$2:$G$601,'Stock Inflow'!$A$2:$A$601,$A601,'Stock Inflow'!$D$2:$D$601,$D601)</f>
        <v>418</v>
      </c>
      <c r="F601" s="19">
        <f>SUMIFS('Stock Inflow'!$F$2:$F$601,'Stock Inflow'!$A$2:$A$601,$A601,'Stock Inflow'!$D$2:$D$601,$D601)</f>
        <v>20</v>
      </c>
      <c r="G601" s="19">
        <f>SUMIFS('Stock Inflow'!$E$2:$E$601,'Stock Inflow'!$A$2:$A$601,$A601,'Stock Inflow'!$D$2:$D$601,$D601)</f>
        <v>1</v>
      </c>
      <c r="H601" s="19">
        <f>SUMIFS('Stock Outflow'!$F$2:$F$601,'Stock Outflow'!$A$2:$A$601,$A601,'Stock Outflow'!$D$2:$D$601,$D601)</f>
        <v>18</v>
      </c>
      <c r="I601" s="19">
        <f>SUMIFS('Stock Outflow'!$E$2:$E$601,'Stock Outflow'!$A$2:$A$601,$A601,'Stock Outflow'!$D$2:$D$601,$D601)</f>
        <v>1</v>
      </c>
      <c r="J601" s="19">
        <f t="shared" si="54"/>
        <v>420</v>
      </c>
      <c r="K601" s="20">
        <f>INDEX('Item Master'!$F$2:$F$51,MATCH($A601,'Item Master'!$A$2:$A$51,0))</f>
        <v>180</v>
      </c>
      <c r="L601" s="20">
        <f t="shared" si="55"/>
        <v>3240</v>
      </c>
      <c r="M601" s="21">
        <f t="shared" si="56"/>
        <v>0.6</v>
      </c>
      <c r="N601" s="19">
        <f>INDEX('Item Master'!$E$2:$E$51,MATCH($A601,'Item Master'!$A$2:$A$51,0))</f>
        <v>7</v>
      </c>
      <c r="O601" s="22">
        <f>INDEX('Product Summary'!$L$2:$L$51,MATCH($A601,'Product Summary'!$A$2:$A$51,0))</f>
        <v>1.3416666666666668</v>
      </c>
      <c r="P601" s="22">
        <f>INDEX('Product Summary'!$M$2:$M$51,MATCH($A601,'Product Summary'!$A$2:$A$51,0))</f>
        <v>5.7718036529680363</v>
      </c>
      <c r="Q601" s="22">
        <f t="shared" si="57"/>
        <v>700</v>
      </c>
      <c r="R601" s="22">
        <f t="shared" si="58"/>
        <v>690.38032724505331</v>
      </c>
      <c r="S601" s="19" t="str">
        <f t="shared" si="59"/>
        <v>OVERSTOCK</v>
      </c>
    </row>
  </sheetData>
  <conditionalFormatting sqref="R2:R601">
    <cfRule type="expression" dxfId="9" priority="5">
      <formula>AND(R2&lt;&gt;"",R2&lt;=7)</formula>
    </cfRule>
  </conditionalFormatting>
  <conditionalFormatting sqref="S2:S601">
    <cfRule type="expression" dxfId="8" priority="2">
      <formula>S2="REORDER NOW"</formula>
    </cfRule>
    <cfRule type="expression" dxfId="7" priority="3">
      <formula>S2="OVERSTOCK"</formula>
    </cfRule>
    <cfRule type="expression" dxfId="6" priority="4">
      <formula>S2="HEALTHY"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8" customWidth="1"/>
    <col min="3" max="3" width="18" customWidth="1"/>
    <col min="4" max="5" width="14" customWidth="1"/>
    <col min="6" max="6" width="16" customWidth="1"/>
    <col min="7" max="9" width="14" customWidth="1"/>
    <col min="10" max="10" width="10" customWidth="1"/>
    <col min="11" max="13" width="12" customWidth="1"/>
    <col min="14" max="14" width="14" customWidth="1"/>
    <col min="15" max="15" width="18" customWidth="1"/>
    <col min="16" max="16" width="12" customWidth="1"/>
    <col min="17" max="17" width="16" customWidth="1"/>
    <col min="18" max="18" width="14" customWidth="1"/>
    <col min="19" max="20" width="16" customWidth="1"/>
    <col min="21" max="22" width="18" customWidth="1"/>
    <col min="23" max="23" width="12" customWidth="1"/>
    <col min="24" max="24" width="16" customWidth="1"/>
    <col min="25" max="25" width="14" customWidth="1"/>
    <col min="26" max="26" width="16" customWidth="1"/>
    <col min="27" max="27" width="10" customWidth="1"/>
    <col min="28" max="29" width="16" customWidth="1"/>
    <col min="30" max="30" width="14" customWidth="1"/>
  </cols>
  <sheetData>
    <row r="1" spans="1:30" ht="33.75" customHeight="1" x14ac:dyDescent="0.3">
      <c r="A1" s="18" t="s">
        <v>60</v>
      </c>
      <c r="B1" s="18" t="s">
        <v>61</v>
      </c>
      <c r="C1" s="18" t="s">
        <v>25</v>
      </c>
      <c r="D1" s="18" t="s">
        <v>187</v>
      </c>
      <c r="E1" s="18" t="s">
        <v>188</v>
      </c>
      <c r="F1" s="18" t="s">
        <v>189</v>
      </c>
      <c r="G1" s="18" t="s">
        <v>190</v>
      </c>
      <c r="H1" s="18" t="s">
        <v>191</v>
      </c>
      <c r="I1" s="18" t="s">
        <v>192</v>
      </c>
      <c r="J1" s="18" t="s">
        <v>193</v>
      </c>
      <c r="K1" s="18" t="s">
        <v>63</v>
      </c>
      <c r="L1" s="18" t="s">
        <v>182</v>
      </c>
      <c r="M1" s="18" t="s">
        <v>183</v>
      </c>
      <c r="N1" s="18" t="s">
        <v>194</v>
      </c>
      <c r="O1" s="18" t="s">
        <v>195</v>
      </c>
      <c r="P1" s="18" t="s">
        <v>196</v>
      </c>
      <c r="Q1" s="18" t="s">
        <v>197</v>
      </c>
      <c r="R1" s="18" t="s">
        <v>198</v>
      </c>
      <c r="S1" s="18" t="s">
        <v>199</v>
      </c>
      <c r="T1" s="18" t="s">
        <v>200</v>
      </c>
      <c r="U1" s="18" t="s">
        <v>201</v>
      </c>
      <c r="V1" s="18" t="s">
        <v>202</v>
      </c>
      <c r="W1" s="18" t="s">
        <v>203</v>
      </c>
      <c r="X1" s="18" t="s">
        <v>204</v>
      </c>
      <c r="Y1" s="18" t="s">
        <v>205</v>
      </c>
      <c r="Z1" s="18" t="s">
        <v>206</v>
      </c>
      <c r="AA1" s="18" t="s">
        <v>54</v>
      </c>
      <c r="AB1" s="18" t="s">
        <v>207</v>
      </c>
      <c r="AC1" s="18" t="s">
        <v>208</v>
      </c>
      <c r="AD1" s="18" t="s">
        <v>209</v>
      </c>
    </row>
    <row r="2" spans="1:30" x14ac:dyDescent="0.3">
      <c r="A2" s="19" t="s">
        <v>67</v>
      </c>
      <c r="B2" s="19" t="s">
        <v>68</v>
      </c>
      <c r="C2" s="19" t="s">
        <v>30</v>
      </c>
      <c r="D2" s="19">
        <f>SUM(Sales!$E$2:$E$13)</f>
        <v>1774</v>
      </c>
      <c r="E2" s="20">
        <f>D2*INDEX('Item Master'!$F$2:$F$51,MATCH($A2,'Item Master'!$A$2:$A$51,0))</f>
        <v>3193200</v>
      </c>
      <c r="F2" s="21">
        <f t="shared" ref="F2:F33" si="0">D2/365</f>
        <v>4.86027397260274</v>
      </c>
      <c r="G2" s="19">
        <f>MAX(Sales!$E$2:$E$13)</f>
        <v>219</v>
      </c>
      <c r="H2" s="19">
        <f>AVERAGE(Sales!$E$2:$E$13)</f>
        <v>147.83333333333334</v>
      </c>
      <c r="I2" s="19">
        <f>STDEV(Sales!$E$2:$E$13)</f>
        <v>27.265807202873056</v>
      </c>
      <c r="J2" s="23">
        <f t="shared" ref="J2:J33" si="1">IFERROR(I2/H2,0)</f>
        <v>0.18443612538583803</v>
      </c>
      <c r="K2" s="19">
        <f>INDEX('Item Master'!$E$2:$E$51,MATCH($A2,'Item Master'!$A$2:$A$51,0))</f>
        <v>5</v>
      </c>
      <c r="L2" s="22">
        <f t="shared" ref="L2:L33" si="2">((G2-H2)/30)*K2</f>
        <v>11.861111111111109</v>
      </c>
      <c r="M2" s="22">
        <f t="shared" ref="M2:M33" si="3">(F2*K2)+L2</f>
        <v>36.162480974124811</v>
      </c>
      <c r="N2" s="20">
        <f>INDEX('Item Master'!$G$2:$G$51,MATCH($A2,'Item Master'!$A$2:$A$51,0))</f>
        <v>500</v>
      </c>
      <c r="O2" s="24">
        <f>INDEX('Item Master'!$H$2:$H$51,MATCH($A2,'Item Master'!$A$2:$A$51,0))</f>
        <v>360</v>
      </c>
      <c r="P2" s="22">
        <f t="shared" ref="P2:P33" si="4">IFERROR(SQRT((2*D2*N2)/O2),0)</f>
        <v>70.198132295508955</v>
      </c>
      <c r="Q2" s="25">
        <f t="shared" ref="Q2:Q33" si="5">IFERROR(P2/F2,0)</f>
        <v>14.443245934532563</v>
      </c>
      <c r="R2" s="25">
        <f t="shared" ref="R2:R33" si="6">IFERROR(D2/P2,0)</f>
        <v>25.271327626383226</v>
      </c>
      <c r="S2" s="19">
        <f>Calculations!$E$2</f>
        <v>220</v>
      </c>
      <c r="T2" s="19">
        <f>Calculations!$J$13</f>
        <v>382</v>
      </c>
      <c r="U2" s="19">
        <f t="shared" ref="U2:U33" si="7">(S2+T2)/2</f>
        <v>301</v>
      </c>
      <c r="V2" s="20">
        <f>U2*INDEX('Item Master'!$F$2:$F$51,MATCH($A2,'Item Master'!$A$2:$A$51,0))</f>
        <v>541800</v>
      </c>
      <c r="W2" s="21">
        <f t="shared" ref="W2:W33" si="8">IFERROR(E2/V2,0)</f>
        <v>5.8936877076411962</v>
      </c>
      <c r="X2" s="22">
        <f t="shared" ref="X2:X33" si="9">IFERROR(365/W2,0)</f>
        <v>61.930665163472376</v>
      </c>
      <c r="Y2" s="20">
        <f t="shared" ref="Y2:Y33" si="10">E2</f>
        <v>3193200</v>
      </c>
      <c r="Z2" s="23">
        <f t="shared" ref="Z2:Z33" si="11">SUMIF($Y$2:$Y$51,"&gt;="&amp;Y2,$Y$2:$Y$51)/SUM($Y$2:$Y$51)</f>
        <v>0.47371330625504926</v>
      </c>
      <c r="AA2" s="19" t="str">
        <f t="shared" ref="AA2:AA33" si="12">IF(Z2&lt;=0.8,"A",IF(Z2&lt;=0.95,"B","C"))</f>
        <v>A</v>
      </c>
      <c r="AB2" s="19" t="str">
        <f t="shared" ref="AB2:AB33" si="13">IF(AA2="A","Weekly",IF(AA2="B","Monthly","Quarterly"))</f>
        <v>Weekly</v>
      </c>
      <c r="AC2" s="19">
        <f t="shared" ref="AC2:AC33" si="14">T2</f>
        <v>382</v>
      </c>
      <c r="AD2" s="19" t="str">
        <f t="shared" ref="AD2:AD33" si="15">IF(AC2&lt;=M2,"REORDER NOW",IF(IFERROR(AC2/F2,0)&gt;150,"OVERSTOCK","HEALTHY"))</f>
        <v>HEALTHY</v>
      </c>
    </row>
    <row r="3" spans="1:30" x14ac:dyDescent="0.3">
      <c r="A3" s="19" t="s">
        <v>70</v>
      </c>
      <c r="B3" s="19" t="s">
        <v>71</v>
      </c>
      <c r="C3" s="19" t="s">
        <v>30</v>
      </c>
      <c r="D3" s="19">
        <f>SUM(Sales!$E$14:$E$25)</f>
        <v>2199</v>
      </c>
      <c r="E3" s="20">
        <f>D3*INDEX('Item Master'!$F$2:$F$51,MATCH($A3,'Item Master'!$A$2:$A$51,0))</f>
        <v>2638800</v>
      </c>
      <c r="F3" s="21">
        <f t="shared" si="0"/>
        <v>6.0246575342465754</v>
      </c>
      <c r="G3" s="19">
        <f>MAX(Sales!$E$14:$E$25)</f>
        <v>286</v>
      </c>
      <c r="H3" s="19">
        <f>AVERAGE(Sales!$E$14:$E$25)</f>
        <v>183.25</v>
      </c>
      <c r="I3" s="19">
        <f>STDEV(Sales!$E$14:$E$25)</f>
        <v>34.404346976931436</v>
      </c>
      <c r="J3" s="23">
        <f t="shared" si="1"/>
        <v>0.18774541324382776</v>
      </c>
      <c r="K3" s="19">
        <f>INDEX('Item Master'!$E$2:$E$51,MATCH($A3,'Item Master'!$A$2:$A$51,0))</f>
        <v>3</v>
      </c>
      <c r="L3" s="22">
        <f t="shared" si="2"/>
        <v>10.274999999999999</v>
      </c>
      <c r="M3" s="22">
        <f t="shared" si="3"/>
        <v>28.348972602739725</v>
      </c>
      <c r="N3" s="20">
        <f>INDEX('Item Master'!$G$2:$G$51,MATCH($A3,'Item Master'!$A$2:$A$51,0))</f>
        <v>500</v>
      </c>
      <c r="O3" s="24">
        <f>INDEX('Item Master'!$H$2:$H$51,MATCH($A3,'Item Master'!$A$2:$A$51,0))</f>
        <v>240</v>
      </c>
      <c r="P3" s="22">
        <f t="shared" si="4"/>
        <v>95.720948595383234</v>
      </c>
      <c r="Q3" s="25">
        <f t="shared" si="5"/>
        <v>15.888197470356927</v>
      </c>
      <c r="R3" s="25">
        <f t="shared" si="6"/>
        <v>22.973027662891976</v>
      </c>
      <c r="S3" s="19">
        <f>Calculations!$E$14</f>
        <v>216</v>
      </c>
      <c r="T3" s="19">
        <f>Calculations!$J$25</f>
        <v>427</v>
      </c>
      <c r="U3" s="19">
        <f t="shared" si="7"/>
        <v>321.5</v>
      </c>
      <c r="V3" s="20">
        <f>U3*INDEX('Item Master'!$F$2:$F$51,MATCH($A3,'Item Master'!$A$2:$A$51,0))</f>
        <v>385800</v>
      </c>
      <c r="W3" s="21">
        <f t="shared" si="8"/>
        <v>6.8398133748055985</v>
      </c>
      <c r="X3" s="22">
        <f t="shared" si="9"/>
        <v>53.364029104138247</v>
      </c>
      <c r="Y3" s="20">
        <f t="shared" si="10"/>
        <v>2638800</v>
      </c>
      <c r="Z3" s="23">
        <f t="shared" si="11"/>
        <v>0.54933686098053269</v>
      </c>
      <c r="AA3" s="19" t="str">
        <f t="shared" si="12"/>
        <v>A</v>
      </c>
      <c r="AB3" s="19" t="str">
        <f t="shared" si="13"/>
        <v>Weekly</v>
      </c>
      <c r="AC3" s="19">
        <f t="shared" si="14"/>
        <v>427</v>
      </c>
      <c r="AD3" s="19" t="str">
        <f t="shared" si="15"/>
        <v>HEALTHY</v>
      </c>
    </row>
    <row r="4" spans="1:30" x14ac:dyDescent="0.3">
      <c r="A4" s="19" t="s">
        <v>73</v>
      </c>
      <c r="B4" s="19" t="s">
        <v>74</v>
      </c>
      <c r="C4" s="19" t="s">
        <v>30</v>
      </c>
      <c r="D4" s="19">
        <f>SUM(Sales!$E$26:$E$37)</f>
        <v>2815</v>
      </c>
      <c r="E4" s="20">
        <f>D4*INDEX('Item Master'!$F$2:$F$51,MATCH($A4,'Item Master'!$A$2:$A$51,0))</f>
        <v>6193000</v>
      </c>
      <c r="F4" s="21">
        <f t="shared" si="0"/>
        <v>7.7123287671232879</v>
      </c>
      <c r="G4" s="19">
        <f>MAX(Sales!$E$26:$E$37)</f>
        <v>377</v>
      </c>
      <c r="H4" s="19">
        <f>AVERAGE(Sales!$E$26:$E$37)</f>
        <v>234.58333333333334</v>
      </c>
      <c r="I4" s="19">
        <f>STDEV(Sales!$E$26:$E$37)</f>
        <v>51.092533404568677</v>
      </c>
      <c r="J4" s="23">
        <f t="shared" si="1"/>
        <v>0.21780120811894285</v>
      </c>
      <c r="K4" s="19">
        <f>INDEX('Item Master'!$E$2:$E$51,MATCH($A4,'Item Master'!$A$2:$A$51,0))</f>
        <v>5</v>
      </c>
      <c r="L4" s="22">
        <f t="shared" si="2"/>
        <v>23.736111111111107</v>
      </c>
      <c r="M4" s="22">
        <f t="shared" si="3"/>
        <v>62.297754946727544</v>
      </c>
      <c r="N4" s="20">
        <f>INDEX('Item Master'!$G$2:$G$51,MATCH($A4,'Item Master'!$A$2:$A$51,0))</f>
        <v>500</v>
      </c>
      <c r="O4" s="24">
        <f>INDEX('Item Master'!$H$2:$H$51,MATCH($A4,'Item Master'!$A$2:$A$51,0))</f>
        <v>440</v>
      </c>
      <c r="P4" s="22">
        <f t="shared" si="4"/>
        <v>79.985794193264553</v>
      </c>
      <c r="Q4" s="25">
        <f t="shared" si="5"/>
        <v>10.371159815467696</v>
      </c>
      <c r="R4" s="25">
        <f t="shared" si="6"/>
        <v>35.193749445036396</v>
      </c>
      <c r="S4" s="19">
        <f>Calculations!$E$26</f>
        <v>216</v>
      </c>
      <c r="T4" s="19">
        <f>Calculations!$J$37</f>
        <v>529</v>
      </c>
      <c r="U4" s="19">
        <f t="shared" si="7"/>
        <v>372.5</v>
      </c>
      <c r="V4" s="20">
        <f>U4*INDEX('Item Master'!$F$2:$F$51,MATCH($A4,'Item Master'!$A$2:$A$51,0))</f>
        <v>819500</v>
      </c>
      <c r="W4" s="21">
        <f t="shared" si="8"/>
        <v>7.5570469798657722</v>
      </c>
      <c r="X4" s="22">
        <f t="shared" si="9"/>
        <v>48.299289520426285</v>
      </c>
      <c r="Y4" s="20">
        <f t="shared" si="10"/>
        <v>6193000</v>
      </c>
      <c r="Z4" s="23">
        <f t="shared" si="11"/>
        <v>0.38220158314249286</v>
      </c>
      <c r="AA4" s="19" t="str">
        <f t="shared" si="12"/>
        <v>A</v>
      </c>
      <c r="AB4" s="19" t="str">
        <f t="shared" si="13"/>
        <v>Weekly</v>
      </c>
      <c r="AC4" s="19">
        <f t="shared" si="14"/>
        <v>529</v>
      </c>
      <c r="AD4" s="19" t="str">
        <f t="shared" si="15"/>
        <v>HEALTHY</v>
      </c>
    </row>
    <row r="5" spans="1:30" x14ac:dyDescent="0.3">
      <c r="A5" s="19" t="s">
        <v>75</v>
      </c>
      <c r="B5" s="19" t="s">
        <v>76</v>
      </c>
      <c r="C5" s="19" t="s">
        <v>30</v>
      </c>
      <c r="D5" s="19">
        <f>SUM(Sales!$E$38:$E$49)</f>
        <v>2454</v>
      </c>
      <c r="E5" s="20">
        <f>D5*INDEX('Item Master'!$F$2:$F$51,MATCH($A5,'Item Master'!$A$2:$A$51,0))</f>
        <v>368100</v>
      </c>
      <c r="F5" s="21">
        <f t="shared" si="0"/>
        <v>6.7232876712328764</v>
      </c>
      <c r="G5" s="19">
        <f>MAX(Sales!$E$38:$E$49)</f>
        <v>285</v>
      </c>
      <c r="H5" s="19">
        <f>AVERAGE(Sales!$E$38:$E$49)</f>
        <v>204.5</v>
      </c>
      <c r="I5" s="19">
        <f>STDEV(Sales!$E$38:$E$49)</f>
        <v>32.831525869339231</v>
      </c>
      <c r="J5" s="23">
        <f t="shared" si="1"/>
        <v>0.16054535877427498</v>
      </c>
      <c r="K5" s="19">
        <f>INDEX('Item Master'!$E$2:$E$51,MATCH($A5,'Item Master'!$A$2:$A$51,0))</f>
        <v>14</v>
      </c>
      <c r="L5" s="22">
        <f t="shared" si="2"/>
        <v>37.566666666666663</v>
      </c>
      <c r="M5" s="22">
        <f t="shared" si="3"/>
        <v>131.69269406392692</v>
      </c>
      <c r="N5" s="20">
        <f>INDEX('Item Master'!$G$2:$G$51,MATCH($A5,'Item Master'!$A$2:$A$51,0))</f>
        <v>500</v>
      </c>
      <c r="O5" s="24">
        <f>INDEX('Item Master'!$H$2:$H$51,MATCH($A5,'Item Master'!$A$2:$A$51,0))</f>
        <v>30</v>
      </c>
      <c r="P5" s="22">
        <f t="shared" si="4"/>
        <v>286.00699292150182</v>
      </c>
      <c r="Q5" s="25">
        <f t="shared" si="5"/>
        <v>42.539752410899823</v>
      </c>
      <c r="R5" s="25">
        <f t="shared" si="6"/>
        <v>8.5802097876450549</v>
      </c>
      <c r="S5" s="19">
        <f>Calculations!$E$38</f>
        <v>141</v>
      </c>
      <c r="T5" s="19">
        <f>Calculations!$J$49</f>
        <v>237</v>
      </c>
      <c r="U5" s="19">
        <f t="shared" si="7"/>
        <v>189</v>
      </c>
      <c r="V5" s="20">
        <f>U5*INDEX('Item Master'!$F$2:$F$51,MATCH($A5,'Item Master'!$A$2:$A$51,0))</f>
        <v>28350</v>
      </c>
      <c r="W5" s="21">
        <f t="shared" si="8"/>
        <v>12.984126984126984</v>
      </c>
      <c r="X5" s="22">
        <f t="shared" si="9"/>
        <v>28.111246943765281</v>
      </c>
      <c r="Y5" s="20">
        <f t="shared" si="10"/>
        <v>368100</v>
      </c>
      <c r="Z5" s="23">
        <f t="shared" si="11"/>
        <v>0.82333898570781305</v>
      </c>
      <c r="AA5" s="19" t="str">
        <f t="shared" si="12"/>
        <v>B</v>
      </c>
      <c r="AB5" s="19" t="str">
        <f t="shared" si="13"/>
        <v>Monthly</v>
      </c>
      <c r="AC5" s="19">
        <f t="shared" si="14"/>
        <v>237</v>
      </c>
      <c r="AD5" s="19" t="str">
        <f t="shared" si="15"/>
        <v>HEALTHY</v>
      </c>
    </row>
    <row r="6" spans="1:30" x14ac:dyDescent="0.3">
      <c r="A6" s="19" t="s">
        <v>78</v>
      </c>
      <c r="B6" s="19" t="s">
        <v>79</v>
      </c>
      <c r="C6" s="19" t="s">
        <v>30</v>
      </c>
      <c r="D6" s="19">
        <f>SUM(Sales!$E$50:$E$61)</f>
        <v>2041</v>
      </c>
      <c r="E6" s="20">
        <f>D6*INDEX('Item Master'!$F$2:$F$51,MATCH($A6,'Item Master'!$A$2:$A$51,0))</f>
        <v>7143500</v>
      </c>
      <c r="F6" s="21">
        <f t="shared" si="0"/>
        <v>5.5917808219178085</v>
      </c>
      <c r="G6" s="19">
        <f>MAX(Sales!$E$50:$E$61)</f>
        <v>251</v>
      </c>
      <c r="H6" s="19">
        <f>AVERAGE(Sales!$E$50:$E$61)</f>
        <v>170.08333333333334</v>
      </c>
      <c r="I6" s="19">
        <f>STDEV(Sales!$E$50:$E$61)</f>
        <v>28.497075873382784</v>
      </c>
      <c r="J6" s="23">
        <f t="shared" si="1"/>
        <v>0.16754772684007516</v>
      </c>
      <c r="K6" s="19">
        <f>INDEX('Item Master'!$E$2:$E$51,MATCH($A6,'Item Master'!$A$2:$A$51,0))</f>
        <v>7</v>
      </c>
      <c r="L6" s="22">
        <f t="shared" si="2"/>
        <v>18.880555555555553</v>
      </c>
      <c r="M6" s="22">
        <f t="shared" si="3"/>
        <v>58.023021308980212</v>
      </c>
      <c r="N6" s="20">
        <f>INDEX('Item Master'!$G$2:$G$51,MATCH($A6,'Item Master'!$A$2:$A$51,0))</f>
        <v>500</v>
      </c>
      <c r="O6" s="24">
        <f>INDEX('Item Master'!$H$2:$H$51,MATCH($A6,'Item Master'!$A$2:$A$51,0))</f>
        <v>700</v>
      </c>
      <c r="P6" s="22">
        <f t="shared" si="4"/>
        <v>53.99735443254869</v>
      </c>
      <c r="Q6" s="25">
        <f t="shared" si="5"/>
        <v>9.6565577500638273</v>
      </c>
      <c r="R6" s="25">
        <f t="shared" si="6"/>
        <v>37.798148102784083</v>
      </c>
      <c r="S6" s="19">
        <f>Calculations!$E$50</f>
        <v>288</v>
      </c>
      <c r="T6" s="19">
        <f>Calculations!$J$61</f>
        <v>561</v>
      </c>
      <c r="U6" s="19">
        <f t="shared" si="7"/>
        <v>424.5</v>
      </c>
      <c r="V6" s="20">
        <f>U6*INDEX('Item Master'!$F$2:$F$51,MATCH($A6,'Item Master'!$A$2:$A$51,0))</f>
        <v>1485750</v>
      </c>
      <c r="W6" s="21">
        <f t="shared" si="8"/>
        <v>4.8080094228504127</v>
      </c>
      <c r="X6" s="22">
        <f t="shared" si="9"/>
        <v>75.914992650661432</v>
      </c>
      <c r="Y6" s="20">
        <f t="shared" si="10"/>
        <v>7143500</v>
      </c>
      <c r="Z6" s="23">
        <f t="shared" si="11"/>
        <v>0.20472065453292826</v>
      </c>
      <c r="AA6" s="19" t="str">
        <f t="shared" si="12"/>
        <v>A</v>
      </c>
      <c r="AB6" s="19" t="str">
        <f t="shared" si="13"/>
        <v>Weekly</v>
      </c>
      <c r="AC6" s="19">
        <f t="shared" si="14"/>
        <v>561</v>
      </c>
      <c r="AD6" s="19" t="str">
        <f t="shared" si="15"/>
        <v>HEALTHY</v>
      </c>
    </row>
    <row r="7" spans="1:30" x14ac:dyDescent="0.3">
      <c r="A7" s="19" t="s">
        <v>81</v>
      </c>
      <c r="B7" s="19" t="s">
        <v>82</v>
      </c>
      <c r="C7" s="19" t="s">
        <v>32</v>
      </c>
      <c r="D7" s="19">
        <f>SUM(Sales!$E$62:$E$73)</f>
        <v>1754</v>
      </c>
      <c r="E7" s="20">
        <f>D7*INDEX('Item Master'!$F$2:$F$51,MATCH($A7,'Item Master'!$A$2:$A$51,0))</f>
        <v>157860</v>
      </c>
      <c r="F7" s="21">
        <f t="shared" si="0"/>
        <v>4.8054794520547945</v>
      </c>
      <c r="G7" s="19">
        <f>MAX(Sales!$E$62:$E$73)</f>
        <v>195</v>
      </c>
      <c r="H7" s="19">
        <f>AVERAGE(Sales!$E$62:$E$73)</f>
        <v>146.16666666666666</v>
      </c>
      <c r="I7" s="19">
        <f>STDEV(Sales!$E$62:$E$73)</f>
        <v>18.996809939534245</v>
      </c>
      <c r="J7" s="23">
        <f t="shared" si="1"/>
        <v>0.12996677267640305</v>
      </c>
      <c r="K7" s="19">
        <f>INDEX('Item Master'!$E$2:$E$51,MATCH($A7,'Item Master'!$A$2:$A$51,0))</f>
        <v>5</v>
      </c>
      <c r="L7" s="22">
        <f t="shared" si="2"/>
        <v>8.1388888888888893</v>
      </c>
      <c r="M7" s="22">
        <f t="shared" si="3"/>
        <v>32.166286149162858</v>
      </c>
      <c r="N7" s="20">
        <f>INDEX('Item Master'!$G$2:$G$51,MATCH($A7,'Item Master'!$A$2:$A$51,0))</f>
        <v>500</v>
      </c>
      <c r="O7" s="24">
        <f>INDEX('Item Master'!$H$2:$H$51,MATCH($A7,'Item Master'!$A$2:$A$51,0))</f>
        <v>18</v>
      </c>
      <c r="P7" s="22">
        <f t="shared" si="4"/>
        <v>312.16092715848413</v>
      </c>
      <c r="Q7" s="25">
        <f t="shared" si="5"/>
        <v>64.959371957153195</v>
      </c>
      <c r="R7" s="25">
        <f t="shared" si="6"/>
        <v>5.6188966888527148</v>
      </c>
      <c r="S7" s="19">
        <f>Calculations!$E$62</f>
        <v>314</v>
      </c>
      <c r="T7" s="19">
        <f>Calculations!$J$73</f>
        <v>482</v>
      </c>
      <c r="U7" s="19">
        <f t="shared" si="7"/>
        <v>398</v>
      </c>
      <c r="V7" s="20">
        <f>U7*INDEX('Item Master'!$F$2:$F$51,MATCH($A7,'Item Master'!$A$2:$A$51,0))</f>
        <v>35820</v>
      </c>
      <c r="W7" s="21">
        <f t="shared" si="8"/>
        <v>4.4070351758793969</v>
      </c>
      <c r="X7" s="22">
        <f t="shared" si="9"/>
        <v>82.822120866590652</v>
      </c>
      <c r="Y7" s="20">
        <f t="shared" si="10"/>
        <v>157860</v>
      </c>
      <c r="Z7" s="23">
        <f t="shared" si="11"/>
        <v>0.95688127634952713</v>
      </c>
      <c r="AA7" s="19" t="str">
        <f t="shared" si="12"/>
        <v>C</v>
      </c>
      <c r="AB7" s="19" t="str">
        <f t="shared" si="13"/>
        <v>Quarterly</v>
      </c>
      <c r="AC7" s="19">
        <f t="shared" si="14"/>
        <v>482</v>
      </c>
      <c r="AD7" s="19" t="str">
        <f t="shared" si="15"/>
        <v>HEALTHY</v>
      </c>
    </row>
    <row r="8" spans="1:30" x14ac:dyDescent="0.3">
      <c r="A8" s="19" t="s">
        <v>83</v>
      </c>
      <c r="B8" s="19" t="s">
        <v>84</v>
      </c>
      <c r="C8" s="19" t="s">
        <v>32</v>
      </c>
      <c r="D8" s="19">
        <f>SUM(Sales!$E$74:$E$85)</f>
        <v>2410</v>
      </c>
      <c r="E8" s="20">
        <f>D8*INDEX('Item Master'!$F$2:$F$51,MATCH($A8,'Item Master'!$A$2:$A$51,0))</f>
        <v>313300</v>
      </c>
      <c r="F8" s="21">
        <f t="shared" si="0"/>
        <v>6.602739726027397</v>
      </c>
      <c r="G8" s="19">
        <f>MAX(Sales!$E$74:$E$85)</f>
        <v>328</v>
      </c>
      <c r="H8" s="19">
        <f>AVERAGE(Sales!$E$74:$E$85)</f>
        <v>200.83333333333334</v>
      </c>
      <c r="I8" s="19">
        <f>STDEV(Sales!$E$74:$E$85)</f>
        <v>42.486004825831856</v>
      </c>
      <c r="J8" s="23">
        <f t="shared" si="1"/>
        <v>0.2115485717468806</v>
      </c>
      <c r="K8" s="19">
        <f>INDEX('Item Master'!$E$2:$E$51,MATCH($A8,'Item Master'!$A$2:$A$51,0))</f>
        <v>5</v>
      </c>
      <c r="L8" s="22">
        <f t="shared" si="2"/>
        <v>21.194444444444443</v>
      </c>
      <c r="M8" s="22">
        <f t="shared" si="3"/>
        <v>54.208143074581429</v>
      </c>
      <c r="N8" s="20">
        <f>INDEX('Item Master'!$G$2:$G$51,MATCH($A8,'Item Master'!$A$2:$A$51,0))</f>
        <v>500</v>
      </c>
      <c r="O8" s="24">
        <f>INDEX('Item Master'!$H$2:$H$51,MATCH($A8,'Item Master'!$A$2:$A$51,0))</f>
        <v>26</v>
      </c>
      <c r="P8" s="22">
        <f t="shared" si="4"/>
        <v>304.45411426405076</v>
      </c>
      <c r="Q8" s="25">
        <f t="shared" si="5"/>
        <v>46.110270417584452</v>
      </c>
      <c r="R8" s="25">
        <f t="shared" si="6"/>
        <v>7.9158069708653214</v>
      </c>
      <c r="S8" s="19">
        <f>Calculations!$E$74</f>
        <v>378</v>
      </c>
      <c r="T8" s="19">
        <f>Calculations!$J$85</f>
        <v>710</v>
      </c>
      <c r="U8" s="19">
        <f t="shared" si="7"/>
        <v>544</v>
      </c>
      <c r="V8" s="20">
        <f>U8*INDEX('Item Master'!$F$2:$F$51,MATCH($A8,'Item Master'!$A$2:$A$51,0))</f>
        <v>70720</v>
      </c>
      <c r="W8" s="21">
        <f t="shared" si="8"/>
        <v>4.430147058823529</v>
      </c>
      <c r="X8" s="22">
        <f t="shared" si="9"/>
        <v>82.390041493775939</v>
      </c>
      <c r="Y8" s="20">
        <f t="shared" si="10"/>
        <v>313300</v>
      </c>
      <c r="Z8" s="23">
        <f t="shared" si="11"/>
        <v>0.87145629220473841</v>
      </c>
      <c r="AA8" s="19" t="str">
        <f t="shared" si="12"/>
        <v>B</v>
      </c>
      <c r="AB8" s="19" t="str">
        <f t="shared" si="13"/>
        <v>Monthly</v>
      </c>
      <c r="AC8" s="19">
        <f t="shared" si="14"/>
        <v>710</v>
      </c>
      <c r="AD8" s="19" t="str">
        <f t="shared" si="15"/>
        <v>HEALTHY</v>
      </c>
    </row>
    <row r="9" spans="1:30" x14ac:dyDescent="0.3">
      <c r="A9" s="19" t="s">
        <v>85</v>
      </c>
      <c r="B9" s="19" t="s">
        <v>86</v>
      </c>
      <c r="C9" s="19" t="s">
        <v>32</v>
      </c>
      <c r="D9" s="19">
        <f>SUM(Sales!$E$86:$E$97)</f>
        <v>1849</v>
      </c>
      <c r="E9" s="20">
        <f>D9*INDEX('Item Master'!$F$2:$F$51,MATCH($A9,'Item Master'!$A$2:$A$51,0))</f>
        <v>277350</v>
      </c>
      <c r="F9" s="21">
        <f t="shared" si="0"/>
        <v>5.065753424657534</v>
      </c>
      <c r="G9" s="19">
        <f>MAX(Sales!$E$86:$E$97)</f>
        <v>246</v>
      </c>
      <c r="H9" s="19">
        <f>AVERAGE(Sales!$E$86:$E$97)</f>
        <v>154.08333333333334</v>
      </c>
      <c r="I9" s="19">
        <f>STDEV(Sales!$E$86:$E$97)</f>
        <v>32.759338247654576</v>
      </c>
      <c r="J9" s="23">
        <f t="shared" si="1"/>
        <v>0.2126079280540048</v>
      </c>
      <c r="K9" s="19">
        <f>INDEX('Item Master'!$E$2:$E$51,MATCH($A9,'Item Master'!$A$2:$A$51,0))</f>
        <v>3</v>
      </c>
      <c r="L9" s="22">
        <f t="shared" si="2"/>
        <v>9.1916666666666664</v>
      </c>
      <c r="M9" s="22">
        <f t="shared" si="3"/>
        <v>24.388926940639269</v>
      </c>
      <c r="N9" s="20">
        <f>INDEX('Item Master'!$G$2:$G$51,MATCH($A9,'Item Master'!$A$2:$A$51,0))</f>
        <v>500</v>
      </c>
      <c r="O9" s="24">
        <f>INDEX('Item Master'!$H$2:$H$51,MATCH($A9,'Item Master'!$A$2:$A$51,0))</f>
        <v>30</v>
      </c>
      <c r="P9" s="22">
        <f t="shared" si="4"/>
        <v>248.26061575153909</v>
      </c>
      <c r="Q9" s="25">
        <f t="shared" si="5"/>
        <v>49.007639128886844</v>
      </c>
      <c r="R9" s="25">
        <f t="shared" si="6"/>
        <v>7.4478184725461718</v>
      </c>
      <c r="S9" s="19">
        <f>Calculations!$E$86</f>
        <v>139</v>
      </c>
      <c r="T9" s="19">
        <f>Calculations!$J$97</f>
        <v>271</v>
      </c>
      <c r="U9" s="19">
        <f t="shared" si="7"/>
        <v>205</v>
      </c>
      <c r="V9" s="20">
        <f>U9*INDEX('Item Master'!$F$2:$F$51,MATCH($A9,'Item Master'!$A$2:$A$51,0))</f>
        <v>30750</v>
      </c>
      <c r="W9" s="21">
        <f t="shared" si="8"/>
        <v>9.0195121951219512</v>
      </c>
      <c r="X9" s="22">
        <f t="shared" si="9"/>
        <v>40.467820443482964</v>
      </c>
      <c r="Y9" s="20">
        <f t="shared" si="10"/>
        <v>277350</v>
      </c>
      <c r="Z9" s="23">
        <f t="shared" si="11"/>
        <v>0.87940467514513287</v>
      </c>
      <c r="AA9" s="19" t="str">
        <f t="shared" si="12"/>
        <v>B</v>
      </c>
      <c r="AB9" s="19" t="str">
        <f t="shared" si="13"/>
        <v>Monthly</v>
      </c>
      <c r="AC9" s="19">
        <f t="shared" si="14"/>
        <v>271</v>
      </c>
      <c r="AD9" s="19" t="str">
        <f t="shared" si="15"/>
        <v>HEALTHY</v>
      </c>
    </row>
    <row r="10" spans="1:30" x14ac:dyDescent="0.3">
      <c r="A10" s="19" t="s">
        <v>87</v>
      </c>
      <c r="B10" s="19" t="s">
        <v>88</v>
      </c>
      <c r="C10" s="19" t="s">
        <v>32</v>
      </c>
      <c r="D10" s="19">
        <f>SUM(Sales!$E$98:$E$109)</f>
        <v>2582</v>
      </c>
      <c r="E10" s="20">
        <f>D10*INDEX('Item Master'!$F$2:$F$51,MATCH($A10,'Item Master'!$A$2:$A$51,0))</f>
        <v>154920</v>
      </c>
      <c r="F10" s="21">
        <f t="shared" si="0"/>
        <v>7.0739726027397261</v>
      </c>
      <c r="G10" s="19">
        <f>MAX(Sales!$E$98:$E$109)</f>
        <v>326</v>
      </c>
      <c r="H10" s="19">
        <f>AVERAGE(Sales!$E$98:$E$109)</f>
        <v>215.16666666666666</v>
      </c>
      <c r="I10" s="19">
        <f>STDEV(Sales!$E$98:$E$109)</f>
        <v>41.060561332861653</v>
      </c>
      <c r="J10" s="23">
        <f t="shared" si="1"/>
        <v>0.19083142370036399</v>
      </c>
      <c r="K10" s="19">
        <f>INDEX('Item Master'!$E$2:$E$51,MATCH($A10,'Item Master'!$A$2:$A$51,0))</f>
        <v>14</v>
      </c>
      <c r="L10" s="22">
        <f t="shared" si="2"/>
        <v>51.722222222222229</v>
      </c>
      <c r="M10" s="22">
        <f t="shared" si="3"/>
        <v>150.75783866057839</v>
      </c>
      <c r="N10" s="20">
        <f>INDEX('Item Master'!$G$2:$G$51,MATCH($A10,'Item Master'!$A$2:$A$51,0))</f>
        <v>500</v>
      </c>
      <c r="O10" s="24">
        <f>INDEX('Item Master'!$H$2:$H$51,MATCH($A10,'Item Master'!$A$2:$A$51,0))</f>
        <v>12</v>
      </c>
      <c r="P10" s="22">
        <f t="shared" si="4"/>
        <v>463.86061124724381</v>
      </c>
      <c r="Q10" s="25">
        <f t="shared" si="5"/>
        <v>65.572859452069707</v>
      </c>
      <c r="R10" s="25">
        <f t="shared" si="6"/>
        <v>5.5663273349669264</v>
      </c>
      <c r="S10" s="19">
        <f>Calculations!$E$98</f>
        <v>166</v>
      </c>
      <c r="T10" s="19">
        <f>Calculations!$J$109</f>
        <v>451</v>
      </c>
      <c r="U10" s="19">
        <f t="shared" si="7"/>
        <v>308.5</v>
      </c>
      <c r="V10" s="20">
        <f>U10*INDEX('Item Master'!$F$2:$F$51,MATCH($A10,'Item Master'!$A$2:$A$51,0))</f>
        <v>18510</v>
      </c>
      <c r="W10" s="21">
        <f t="shared" si="8"/>
        <v>8.3695299837925443</v>
      </c>
      <c r="X10" s="22">
        <f t="shared" si="9"/>
        <v>43.610573199070487</v>
      </c>
      <c r="Y10" s="20">
        <f t="shared" si="10"/>
        <v>154920</v>
      </c>
      <c r="Z10" s="23">
        <f t="shared" si="11"/>
        <v>0.97025095224407487</v>
      </c>
      <c r="AA10" s="19" t="str">
        <f t="shared" si="12"/>
        <v>C</v>
      </c>
      <c r="AB10" s="19" t="str">
        <f t="shared" si="13"/>
        <v>Quarterly</v>
      </c>
      <c r="AC10" s="19">
        <f t="shared" si="14"/>
        <v>451</v>
      </c>
      <c r="AD10" s="19" t="str">
        <f t="shared" si="15"/>
        <v>HEALTHY</v>
      </c>
    </row>
    <row r="11" spans="1:30" x14ac:dyDescent="0.3">
      <c r="A11" s="19" t="s">
        <v>89</v>
      </c>
      <c r="B11" s="19" t="s">
        <v>90</v>
      </c>
      <c r="C11" s="19" t="s">
        <v>32</v>
      </c>
      <c r="D11" s="19">
        <f>SUM(Sales!$E$110:$E$121)</f>
        <v>2281</v>
      </c>
      <c r="E11" s="20">
        <f>D11*INDEX('Item Master'!$F$2:$F$51,MATCH($A11,'Item Master'!$A$2:$A$51,0))</f>
        <v>456200</v>
      </c>
      <c r="F11" s="21">
        <f t="shared" si="0"/>
        <v>6.2493150684931509</v>
      </c>
      <c r="G11" s="19">
        <f>MAX(Sales!$E$110:$E$121)</f>
        <v>271</v>
      </c>
      <c r="H11" s="19">
        <f>AVERAGE(Sales!$E$110:$E$121)</f>
        <v>190.08333333333334</v>
      </c>
      <c r="I11" s="19">
        <f>STDEV(Sales!$E$110:$E$121)</f>
        <v>32.864621302143966</v>
      </c>
      <c r="J11" s="23">
        <f t="shared" si="1"/>
        <v>0.17289585954657061</v>
      </c>
      <c r="K11" s="19">
        <f>INDEX('Item Master'!$E$2:$E$51,MATCH($A11,'Item Master'!$A$2:$A$51,0))</f>
        <v>7</v>
      </c>
      <c r="L11" s="22">
        <f t="shared" si="2"/>
        <v>18.880555555555553</v>
      </c>
      <c r="M11" s="22">
        <f t="shared" si="3"/>
        <v>62.625761035007606</v>
      </c>
      <c r="N11" s="20">
        <f>INDEX('Item Master'!$G$2:$G$51,MATCH($A11,'Item Master'!$A$2:$A$51,0))</f>
        <v>500</v>
      </c>
      <c r="O11" s="24">
        <f>INDEX('Item Master'!$H$2:$H$51,MATCH($A11,'Item Master'!$A$2:$A$51,0))</f>
        <v>40</v>
      </c>
      <c r="P11" s="22">
        <f t="shared" si="4"/>
        <v>238.79907872519107</v>
      </c>
      <c r="Q11" s="25">
        <f t="shared" si="5"/>
        <v>38.212040216876254</v>
      </c>
      <c r="R11" s="25">
        <f t="shared" si="6"/>
        <v>9.5519631490076424</v>
      </c>
      <c r="S11" s="19">
        <f>Calculations!$E$110</f>
        <v>346</v>
      </c>
      <c r="T11" s="19">
        <f>Calculations!$J$121</f>
        <v>614</v>
      </c>
      <c r="U11" s="19">
        <f t="shared" si="7"/>
        <v>480</v>
      </c>
      <c r="V11" s="20">
        <f>U11*INDEX('Item Master'!$F$2:$F$51,MATCH($A11,'Item Master'!$A$2:$A$51,0))</f>
        <v>96000</v>
      </c>
      <c r="W11" s="21">
        <f t="shared" si="8"/>
        <v>4.7520833333333332</v>
      </c>
      <c r="X11" s="22">
        <f t="shared" si="9"/>
        <v>76.808417360806672</v>
      </c>
      <c r="Y11" s="20">
        <f t="shared" si="10"/>
        <v>456200</v>
      </c>
      <c r="Z11" s="23">
        <f t="shared" si="11"/>
        <v>0.79119582253512</v>
      </c>
      <c r="AA11" s="19" t="str">
        <f t="shared" si="12"/>
        <v>A</v>
      </c>
      <c r="AB11" s="19" t="str">
        <f t="shared" si="13"/>
        <v>Weekly</v>
      </c>
      <c r="AC11" s="19">
        <f t="shared" si="14"/>
        <v>614</v>
      </c>
      <c r="AD11" s="19" t="str">
        <f t="shared" si="15"/>
        <v>HEALTHY</v>
      </c>
    </row>
    <row r="12" spans="1:30" x14ac:dyDescent="0.3">
      <c r="A12" s="19" t="s">
        <v>91</v>
      </c>
      <c r="B12" s="19" t="s">
        <v>92</v>
      </c>
      <c r="C12" s="19" t="s">
        <v>36</v>
      </c>
      <c r="D12" s="19">
        <f>SUM(Sales!$E$122:$E$133)</f>
        <v>864</v>
      </c>
      <c r="E12" s="20">
        <f>D12*INDEX('Item Master'!$F$2:$F$51,MATCH($A12,'Item Master'!$A$2:$A$51,0))</f>
        <v>345600</v>
      </c>
      <c r="F12" s="21">
        <f t="shared" si="0"/>
        <v>2.3671232876712329</v>
      </c>
      <c r="G12" s="19">
        <f>MAX(Sales!$E$122:$E$133)</f>
        <v>121</v>
      </c>
      <c r="H12" s="19">
        <f>AVERAGE(Sales!$E$122:$E$133)</f>
        <v>72</v>
      </c>
      <c r="I12" s="19">
        <f>STDEV(Sales!$E$122:$E$133)</f>
        <v>17.606816861659009</v>
      </c>
      <c r="J12" s="23">
        <f t="shared" si="1"/>
        <v>0.24453912307859735</v>
      </c>
      <c r="K12" s="19">
        <f>INDEX('Item Master'!$E$2:$E$51,MATCH($A12,'Item Master'!$A$2:$A$51,0))</f>
        <v>10</v>
      </c>
      <c r="L12" s="22">
        <f t="shared" si="2"/>
        <v>16.333333333333332</v>
      </c>
      <c r="M12" s="22">
        <f t="shared" si="3"/>
        <v>40.004566210045667</v>
      </c>
      <c r="N12" s="20">
        <f>INDEX('Item Master'!$G$2:$G$51,MATCH($A12,'Item Master'!$A$2:$A$51,0))</f>
        <v>500</v>
      </c>
      <c r="O12" s="24">
        <f>INDEX('Item Master'!$H$2:$H$51,MATCH($A12,'Item Master'!$A$2:$A$51,0))</f>
        <v>80</v>
      </c>
      <c r="P12" s="22">
        <f t="shared" si="4"/>
        <v>103.92304845413264</v>
      </c>
      <c r="Q12" s="25">
        <f t="shared" si="5"/>
        <v>43.902676719627792</v>
      </c>
      <c r="R12" s="25">
        <f t="shared" si="6"/>
        <v>8.3138438763306102</v>
      </c>
      <c r="S12" s="19">
        <f>Calculations!$E$122</f>
        <v>316</v>
      </c>
      <c r="T12" s="19">
        <f>Calculations!$J$133</f>
        <v>418</v>
      </c>
      <c r="U12" s="19">
        <f t="shared" si="7"/>
        <v>367</v>
      </c>
      <c r="V12" s="20">
        <f>U12*INDEX('Item Master'!$F$2:$F$51,MATCH($A12,'Item Master'!$A$2:$A$51,0))</f>
        <v>146800</v>
      </c>
      <c r="W12" s="21">
        <f t="shared" si="8"/>
        <v>2.3542234332425069</v>
      </c>
      <c r="X12" s="22">
        <f t="shared" si="9"/>
        <v>155.04050925925924</v>
      </c>
      <c r="Y12" s="20">
        <f t="shared" si="10"/>
        <v>345600</v>
      </c>
      <c r="Z12" s="23">
        <f t="shared" si="11"/>
        <v>0.8435846504932526</v>
      </c>
      <c r="AA12" s="19" t="str">
        <f t="shared" si="12"/>
        <v>B</v>
      </c>
      <c r="AB12" s="19" t="str">
        <f t="shared" si="13"/>
        <v>Monthly</v>
      </c>
      <c r="AC12" s="19">
        <f t="shared" si="14"/>
        <v>418</v>
      </c>
      <c r="AD12" s="19" t="str">
        <f t="shared" si="15"/>
        <v>OVERSTOCK</v>
      </c>
    </row>
    <row r="13" spans="1:30" x14ac:dyDescent="0.3">
      <c r="A13" s="19" t="s">
        <v>94</v>
      </c>
      <c r="B13" s="19" t="s">
        <v>95</v>
      </c>
      <c r="C13" s="19" t="s">
        <v>36</v>
      </c>
      <c r="D13" s="19">
        <f>SUM(Sales!$E$134:$E$145)</f>
        <v>1604</v>
      </c>
      <c r="E13" s="20">
        <f>D13*INDEX('Item Master'!$F$2:$F$51,MATCH($A13,'Item Master'!$A$2:$A$51,0))</f>
        <v>1764400</v>
      </c>
      <c r="F13" s="21">
        <f t="shared" si="0"/>
        <v>4.3945205479452056</v>
      </c>
      <c r="G13" s="19">
        <f>MAX(Sales!$E$134:$E$145)</f>
        <v>217</v>
      </c>
      <c r="H13" s="19">
        <f>AVERAGE(Sales!$E$134:$E$145)</f>
        <v>133.66666666666666</v>
      </c>
      <c r="I13" s="19">
        <f>STDEV(Sales!$E$134:$E$145)</f>
        <v>29.812545660977662</v>
      </c>
      <c r="J13" s="23">
        <f t="shared" si="1"/>
        <v>0.22303650120432167</v>
      </c>
      <c r="K13" s="19">
        <f>INDEX('Item Master'!$E$2:$E$51,MATCH($A13,'Item Master'!$A$2:$A$51,0))</f>
        <v>5</v>
      </c>
      <c r="L13" s="22">
        <f t="shared" si="2"/>
        <v>13.888888888888891</v>
      </c>
      <c r="M13" s="22">
        <f t="shared" si="3"/>
        <v>35.861491628614921</v>
      </c>
      <c r="N13" s="20">
        <f>INDEX('Item Master'!$G$2:$G$51,MATCH($A13,'Item Master'!$A$2:$A$51,0))</f>
        <v>500</v>
      </c>
      <c r="O13" s="24">
        <f>INDEX('Item Master'!$H$2:$H$51,MATCH($A13,'Item Master'!$A$2:$A$51,0))</f>
        <v>220</v>
      </c>
      <c r="P13" s="22">
        <f t="shared" si="4"/>
        <v>85.386820358349752</v>
      </c>
      <c r="Q13" s="25">
        <f t="shared" si="5"/>
        <v>19.430292662592056</v>
      </c>
      <c r="R13" s="25">
        <f t="shared" si="6"/>
        <v>18.785100478836945</v>
      </c>
      <c r="S13" s="19">
        <f>Calculations!$E$134</f>
        <v>101</v>
      </c>
      <c r="T13" s="19">
        <f>Calculations!$J$145</f>
        <v>304</v>
      </c>
      <c r="U13" s="19">
        <f t="shared" si="7"/>
        <v>202.5</v>
      </c>
      <c r="V13" s="20">
        <f>U13*INDEX('Item Master'!$F$2:$F$51,MATCH($A13,'Item Master'!$A$2:$A$51,0))</f>
        <v>222750</v>
      </c>
      <c r="W13" s="21">
        <f t="shared" si="8"/>
        <v>7.9209876543209878</v>
      </c>
      <c r="X13" s="22">
        <f t="shared" si="9"/>
        <v>46.080112219451372</v>
      </c>
      <c r="Y13" s="20">
        <f t="shared" si="10"/>
        <v>1764400</v>
      </c>
      <c r="Z13" s="23">
        <f t="shared" si="11"/>
        <v>0.59990158735526478</v>
      </c>
      <c r="AA13" s="19" t="str">
        <f t="shared" si="12"/>
        <v>A</v>
      </c>
      <c r="AB13" s="19" t="str">
        <f t="shared" si="13"/>
        <v>Weekly</v>
      </c>
      <c r="AC13" s="19">
        <f t="shared" si="14"/>
        <v>304</v>
      </c>
      <c r="AD13" s="19" t="str">
        <f t="shared" si="15"/>
        <v>HEALTHY</v>
      </c>
    </row>
    <row r="14" spans="1:30" x14ac:dyDescent="0.3">
      <c r="A14" s="19" t="s">
        <v>96</v>
      </c>
      <c r="B14" s="19" t="s">
        <v>97</v>
      </c>
      <c r="C14" s="19" t="s">
        <v>36</v>
      </c>
      <c r="D14" s="19">
        <f>SUM(Sales!$E$146:$E$157)</f>
        <v>755</v>
      </c>
      <c r="E14" s="20">
        <f>D14*INDEX('Item Master'!$F$2:$F$51,MATCH($A14,'Item Master'!$A$2:$A$51,0))</f>
        <v>528500</v>
      </c>
      <c r="F14" s="21">
        <f t="shared" si="0"/>
        <v>2.0684931506849313</v>
      </c>
      <c r="G14" s="19">
        <f>MAX(Sales!$E$146:$E$157)</f>
        <v>97</v>
      </c>
      <c r="H14" s="19">
        <f>AVERAGE(Sales!$E$146:$E$157)</f>
        <v>62.916666666666664</v>
      </c>
      <c r="I14" s="19">
        <f>STDEV(Sales!$E$146:$E$157)</f>
        <v>11.95033916090275</v>
      </c>
      <c r="J14" s="23">
        <f t="shared" si="1"/>
        <v>0.18993916547130199</v>
      </c>
      <c r="K14" s="19">
        <f>INDEX('Item Master'!$E$2:$E$51,MATCH($A14,'Item Master'!$A$2:$A$51,0))</f>
        <v>5</v>
      </c>
      <c r="L14" s="22">
        <f t="shared" si="2"/>
        <v>5.6805555555555562</v>
      </c>
      <c r="M14" s="22">
        <f t="shared" si="3"/>
        <v>16.023021308980212</v>
      </c>
      <c r="N14" s="20">
        <f>INDEX('Item Master'!$G$2:$G$51,MATCH($A14,'Item Master'!$A$2:$A$51,0))</f>
        <v>500</v>
      </c>
      <c r="O14" s="24">
        <f>INDEX('Item Master'!$H$2:$H$51,MATCH($A14,'Item Master'!$A$2:$A$51,0))</f>
        <v>140</v>
      </c>
      <c r="P14" s="22">
        <f t="shared" si="4"/>
        <v>73.43607521414215</v>
      </c>
      <c r="Q14" s="25">
        <f t="shared" si="5"/>
        <v>35.502208547234289</v>
      </c>
      <c r="R14" s="25">
        <f t="shared" si="6"/>
        <v>10.2810505299799</v>
      </c>
      <c r="S14" s="19">
        <f>Calculations!$E$146</f>
        <v>230</v>
      </c>
      <c r="T14" s="19">
        <f>Calculations!$J$157</f>
        <v>326</v>
      </c>
      <c r="U14" s="19">
        <f t="shared" si="7"/>
        <v>278</v>
      </c>
      <c r="V14" s="20">
        <f>U14*INDEX('Item Master'!$F$2:$F$51,MATCH($A14,'Item Master'!$A$2:$A$51,0))</f>
        <v>194600</v>
      </c>
      <c r="W14" s="21">
        <f t="shared" si="8"/>
        <v>2.7158273381294964</v>
      </c>
      <c r="X14" s="22">
        <f t="shared" si="9"/>
        <v>134.39735099337747</v>
      </c>
      <c r="Y14" s="20">
        <f t="shared" si="10"/>
        <v>528500</v>
      </c>
      <c r="Z14" s="23">
        <f t="shared" si="11"/>
        <v>0.77812190042440099</v>
      </c>
      <c r="AA14" s="19" t="str">
        <f t="shared" si="12"/>
        <v>A</v>
      </c>
      <c r="AB14" s="19" t="str">
        <f t="shared" si="13"/>
        <v>Weekly</v>
      </c>
      <c r="AC14" s="19">
        <f t="shared" si="14"/>
        <v>326</v>
      </c>
      <c r="AD14" s="19" t="str">
        <f t="shared" si="15"/>
        <v>OVERSTOCK</v>
      </c>
    </row>
    <row r="15" spans="1:30" x14ac:dyDescent="0.3">
      <c r="A15" s="19" t="s">
        <v>98</v>
      </c>
      <c r="B15" s="19" t="s">
        <v>99</v>
      </c>
      <c r="C15" s="19" t="s">
        <v>36</v>
      </c>
      <c r="D15" s="19">
        <f>SUM(Sales!$E$158:$E$169)</f>
        <v>861</v>
      </c>
      <c r="E15" s="20">
        <f>D15*INDEX('Item Master'!$F$2:$F$51,MATCH($A15,'Item Master'!$A$2:$A$51,0))</f>
        <v>215250</v>
      </c>
      <c r="F15" s="21">
        <f t="shared" si="0"/>
        <v>2.3589041095890413</v>
      </c>
      <c r="G15" s="19">
        <f>MAX(Sales!$E$158:$E$169)</f>
        <v>113</v>
      </c>
      <c r="H15" s="19">
        <f>AVERAGE(Sales!$E$158:$E$169)</f>
        <v>71.75</v>
      </c>
      <c r="I15" s="19">
        <f>STDEV(Sales!$E$158:$E$169)</f>
        <v>14.691525077094926</v>
      </c>
      <c r="J15" s="23">
        <f t="shared" si="1"/>
        <v>0.2047599313880826</v>
      </c>
      <c r="K15" s="19">
        <f>INDEX('Item Master'!$E$2:$E$51,MATCH($A15,'Item Master'!$A$2:$A$51,0))</f>
        <v>5</v>
      </c>
      <c r="L15" s="22">
        <f t="shared" si="2"/>
        <v>6.875</v>
      </c>
      <c r="M15" s="22">
        <f t="shared" si="3"/>
        <v>18.669520547945204</v>
      </c>
      <c r="N15" s="20">
        <f>INDEX('Item Master'!$G$2:$G$51,MATCH($A15,'Item Master'!$A$2:$A$51,0))</f>
        <v>500</v>
      </c>
      <c r="O15" s="24">
        <f>INDEX('Item Master'!$H$2:$H$51,MATCH($A15,'Item Master'!$A$2:$A$51,0))</f>
        <v>50</v>
      </c>
      <c r="P15" s="22">
        <f t="shared" si="4"/>
        <v>131.22499761859399</v>
      </c>
      <c r="Q15" s="25">
        <f t="shared" si="5"/>
        <v>55.629644751204182</v>
      </c>
      <c r="R15" s="25">
        <f t="shared" si="6"/>
        <v>6.5612498809297</v>
      </c>
      <c r="S15" s="19">
        <f>Calculations!$E$158</f>
        <v>156</v>
      </c>
      <c r="T15" s="19">
        <f>Calculations!$J$169</f>
        <v>232</v>
      </c>
      <c r="U15" s="19">
        <f t="shared" si="7"/>
        <v>194</v>
      </c>
      <c r="V15" s="20">
        <f>U15*INDEX('Item Master'!$F$2:$F$51,MATCH($A15,'Item Master'!$A$2:$A$51,0))</f>
        <v>48500</v>
      </c>
      <c r="W15" s="21">
        <f t="shared" si="8"/>
        <v>4.4381443298969074</v>
      </c>
      <c r="X15" s="22">
        <f t="shared" si="9"/>
        <v>82.241579558652731</v>
      </c>
      <c r="Y15" s="20">
        <f t="shared" si="10"/>
        <v>215250</v>
      </c>
      <c r="Z15" s="23">
        <f t="shared" si="11"/>
        <v>0.92635845415916651</v>
      </c>
      <c r="AA15" s="19" t="str">
        <f t="shared" si="12"/>
        <v>B</v>
      </c>
      <c r="AB15" s="19" t="str">
        <f t="shared" si="13"/>
        <v>Monthly</v>
      </c>
      <c r="AC15" s="19">
        <f t="shared" si="14"/>
        <v>232</v>
      </c>
      <c r="AD15" s="19" t="str">
        <f t="shared" si="15"/>
        <v>HEALTHY</v>
      </c>
    </row>
    <row r="16" spans="1:30" x14ac:dyDescent="0.3">
      <c r="A16" s="19" t="s">
        <v>100</v>
      </c>
      <c r="B16" s="19" t="s">
        <v>101</v>
      </c>
      <c r="C16" s="19" t="s">
        <v>42</v>
      </c>
      <c r="D16" s="19">
        <f>SUM(Sales!$E$170:$E$181)</f>
        <v>1363</v>
      </c>
      <c r="E16" s="20">
        <f>D16*INDEX('Item Master'!$F$2:$F$51,MATCH($A16,'Item Master'!$A$2:$A$51,0))</f>
        <v>1226700</v>
      </c>
      <c r="F16" s="21">
        <f t="shared" si="0"/>
        <v>3.7342465753424658</v>
      </c>
      <c r="G16" s="19">
        <f>MAX(Sales!$E$170:$E$181)</f>
        <v>165</v>
      </c>
      <c r="H16" s="19">
        <f>AVERAGE(Sales!$E$170:$E$181)</f>
        <v>113.58333333333333</v>
      </c>
      <c r="I16" s="19">
        <f>STDEV(Sales!$E$170:$E$181)</f>
        <v>18.012411545847183</v>
      </c>
      <c r="J16" s="23">
        <f t="shared" si="1"/>
        <v>0.15858322710943962</v>
      </c>
      <c r="K16" s="19">
        <f>INDEX('Item Master'!$E$2:$E$51,MATCH($A16,'Item Master'!$A$2:$A$51,0))</f>
        <v>3</v>
      </c>
      <c r="L16" s="22">
        <f t="shared" si="2"/>
        <v>5.1416666666666675</v>
      </c>
      <c r="M16" s="22">
        <f t="shared" si="3"/>
        <v>16.344406392694065</v>
      </c>
      <c r="N16" s="20">
        <f>INDEX('Item Master'!$G$2:$G$51,MATCH($A16,'Item Master'!$A$2:$A$51,0))</f>
        <v>500</v>
      </c>
      <c r="O16" s="24">
        <f>INDEX('Item Master'!$H$2:$H$51,MATCH($A16,'Item Master'!$A$2:$A$51,0))</f>
        <v>180</v>
      </c>
      <c r="P16" s="22">
        <f t="shared" si="4"/>
        <v>87.01851654804409</v>
      </c>
      <c r="Q16" s="25">
        <f t="shared" si="5"/>
        <v>23.302830917121124</v>
      </c>
      <c r="R16" s="25">
        <f t="shared" si="6"/>
        <v>15.663332978647935</v>
      </c>
      <c r="S16" s="19">
        <f>Calculations!$E$170</f>
        <v>143</v>
      </c>
      <c r="T16" s="19">
        <f>Calculations!$J$181</f>
        <v>282</v>
      </c>
      <c r="U16" s="19">
        <f t="shared" si="7"/>
        <v>212.5</v>
      </c>
      <c r="V16" s="20">
        <f>U16*INDEX('Item Master'!$F$2:$F$51,MATCH($A16,'Item Master'!$A$2:$A$51,0))</f>
        <v>191250</v>
      </c>
      <c r="W16" s="21">
        <f t="shared" si="8"/>
        <v>6.4141176470588235</v>
      </c>
      <c r="X16" s="22">
        <f t="shared" si="9"/>
        <v>56.905722670579607</v>
      </c>
      <c r="Y16" s="20">
        <f t="shared" si="10"/>
        <v>1226700</v>
      </c>
      <c r="Z16" s="23">
        <f t="shared" si="11"/>
        <v>0.67537898468757707</v>
      </c>
      <c r="AA16" s="19" t="str">
        <f t="shared" si="12"/>
        <v>A</v>
      </c>
      <c r="AB16" s="19" t="str">
        <f t="shared" si="13"/>
        <v>Weekly</v>
      </c>
      <c r="AC16" s="19">
        <f t="shared" si="14"/>
        <v>282</v>
      </c>
      <c r="AD16" s="19" t="str">
        <f t="shared" si="15"/>
        <v>HEALTHY</v>
      </c>
    </row>
    <row r="17" spans="1:30" x14ac:dyDescent="0.3">
      <c r="A17" s="19" t="s">
        <v>102</v>
      </c>
      <c r="B17" s="19" t="s">
        <v>103</v>
      </c>
      <c r="C17" s="19" t="s">
        <v>42</v>
      </c>
      <c r="D17" s="19">
        <f>SUM(Sales!$E$182:$E$193)</f>
        <v>938</v>
      </c>
      <c r="E17" s="20">
        <f>D17*INDEX('Item Master'!$F$2:$F$51,MATCH($A17,'Item Master'!$A$2:$A$51,0))</f>
        <v>1407000</v>
      </c>
      <c r="F17" s="21">
        <f t="shared" si="0"/>
        <v>2.56986301369863</v>
      </c>
      <c r="G17" s="19">
        <f>MAX(Sales!$E$182:$E$193)</f>
        <v>129</v>
      </c>
      <c r="H17" s="19">
        <f>AVERAGE(Sales!$E$182:$E$193)</f>
        <v>78.166666666666671</v>
      </c>
      <c r="I17" s="19">
        <f>STDEV(Sales!$E$182:$E$193)</f>
        <v>18.064698539785649</v>
      </c>
      <c r="J17" s="23">
        <f t="shared" si="1"/>
        <v>0.23110488537039209</v>
      </c>
      <c r="K17" s="19">
        <f>INDEX('Item Master'!$E$2:$E$51,MATCH($A17,'Item Master'!$A$2:$A$51,0))</f>
        <v>5</v>
      </c>
      <c r="L17" s="22">
        <f t="shared" si="2"/>
        <v>8.4722222222222214</v>
      </c>
      <c r="M17" s="22">
        <f t="shared" si="3"/>
        <v>21.321537290715369</v>
      </c>
      <c r="N17" s="20">
        <f>INDEX('Item Master'!$G$2:$G$51,MATCH($A17,'Item Master'!$A$2:$A$51,0))</f>
        <v>500</v>
      </c>
      <c r="O17" s="24">
        <f>INDEX('Item Master'!$H$2:$H$51,MATCH($A17,'Item Master'!$A$2:$A$51,0))</f>
        <v>300</v>
      </c>
      <c r="P17" s="22">
        <f t="shared" si="4"/>
        <v>55.916604570258613</v>
      </c>
      <c r="Q17" s="25">
        <f t="shared" si="5"/>
        <v>21.758593462840505</v>
      </c>
      <c r="R17" s="25">
        <f t="shared" si="6"/>
        <v>16.774981371077587</v>
      </c>
      <c r="S17" s="19">
        <f>Calculations!$E$182</f>
        <v>345</v>
      </c>
      <c r="T17" s="19">
        <f>Calculations!$J$193</f>
        <v>451</v>
      </c>
      <c r="U17" s="19">
        <f t="shared" si="7"/>
        <v>398</v>
      </c>
      <c r="V17" s="20">
        <f>U17*INDEX('Item Master'!$F$2:$F$51,MATCH($A17,'Item Master'!$A$2:$A$51,0))</f>
        <v>597000</v>
      </c>
      <c r="W17" s="21">
        <f t="shared" si="8"/>
        <v>2.3567839195979898</v>
      </c>
      <c r="X17" s="22">
        <f t="shared" si="9"/>
        <v>154.87206823027719</v>
      </c>
      <c r="Y17" s="20">
        <f t="shared" si="10"/>
        <v>1407000</v>
      </c>
      <c r="Z17" s="23">
        <f t="shared" si="11"/>
        <v>0.6402238328830635</v>
      </c>
      <c r="AA17" s="19" t="str">
        <f t="shared" si="12"/>
        <v>A</v>
      </c>
      <c r="AB17" s="19" t="str">
        <f t="shared" si="13"/>
        <v>Weekly</v>
      </c>
      <c r="AC17" s="19">
        <f t="shared" si="14"/>
        <v>451</v>
      </c>
      <c r="AD17" s="19" t="str">
        <f t="shared" si="15"/>
        <v>OVERSTOCK</v>
      </c>
    </row>
    <row r="18" spans="1:30" x14ac:dyDescent="0.3">
      <c r="A18" s="19" t="s">
        <v>104</v>
      </c>
      <c r="B18" s="19" t="s">
        <v>105</v>
      </c>
      <c r="C18" s="19" t="s">
        <v>42</v>
      </c>
      <c r="D18" s="19">
        <f>SUM(Sales!$E$194:$E$205)</f>
        <v>1213</v>
      </c>
      <c r="E18" s="20">
        <f>D18*INDEX('Item Master'!$F$2:$F$51,MATCH($A18,'Item Master'!$A$2:$A$51,0))</f>
        <v>727800</v>
      </c>
      <c r="F18" s="21">
        <f t="shared" si="0"/>
        <v>3.3232876712328765</v>
      </c>
      <c r="G18" s="19">
        <f>MAX(Sales!$E$194:$E$205)</f>
        <v>155</v>
      </c>
      <c r="H18" s="19">
        <f>AVERAGE(Sales!$E$194:$E$205)</f>
        <v>101.08333333333333</v>
      </c>
      <c r="I18" s="19">
        <f>STDEV(Sales!$E$194:$E$205)</f>
        <v>19.906409809786194</v>
      </c>
      <c r="J18" s="23">
        <f t="shared" si="1"/>
        <v>0.19693068237216352</v>
      </c>
      <c r="K18" s="19">
        <f>INDEX('Item Master'!$E$2:$E$51,MATCH($A18,'Item Master'!$A$2:$A$51,0))</f>
        <v>3</v>
      </c>
      <c r="L18" s="22">
        <f t="shared" si="2"/>
        <v>5.3916666666666666</v>
      </c>
      <c r="M18" s="22">
        <f t="shared" si="3"/>
        <v>15.361529680365297</v>
      </c>
      <c r="N18" s="20">
        <f>INDEX('Item Master'!$G$2:$G$51,MATCH($A18,'Item Master'!$A$2:$A$51,0))</f>
        <v>500</v>
      </c>
      <c r="O18" s="24">
        <f>INDEX('Item Master'!$H$2:$H$51,MATCH($A18,'Item Master'!$A$2:$A$51,0))</f>
        <v>120</v>
      </c>
      <c r="P18" s="22">
        <f t="shared" si="4"/>
        <v>100.54020754570449</v>
      </c>
      <c r="Q18" s="25">
        <f t="shared" si="5"/>
        <v>30.25323640080968</v>
      </c>
      <c r="R18" s="25">
        <f t="shared" si="6"/>
        <v>12.064824905484539</v>
      </c>
      <c r="S18" s="19">
        <f>Calculations!$E$194</f>
        <v>362</v>
      </c>
      <c r="T18" s="19">
        <f>Calculations!$J$205</f>
        <v>454</v>
      </c>
      <c r="U18" s="19">
        <f t="shared" si="7"/>
        <v>408</v>
      </c>
      <c r="V18" s="20">
        <f>U18*INDEX('Item Master'!$F$2:$F$51,MATCH($A18,'Item Master'!$A$2:$A$51,0))</f>
        <v>244800</v>
      </c>
      <c r="W18" s="21">
        <f t="shared" si="8"/>
        <v>2.9730392156862746</v>
      </c>
      <c r="X18" s="22">
        <f t="shared" si="9"/>
        <v>122.76999175597692</v>
      </c>
      <c r="Y18" s="20">
        <f t="shared" si="10"/>
        <v>727800</v>
      </c>
      <c r="Z18" s="23">
        <f t="shared" si="11"/>
        <v>0.76297598232813824</v>
      </c>
      <c r="AA18" s="19" t="str">
        <f t="shared" si="12"/>
        <v>A</v>
      </c>
      <c r="AB18" s="19" t="str">
        <f t="shared" si="13"/>
        <v>Weekly</v>
      </c>
      <c r="AC18" s="19">
        <f t="shared" si="14"/>
        <v>454</v>
      </c>
      <c r="AD18" s="19" t="str">
        <f t="shared" si="15"/>
        <v>HEALTHY</v>
      </c>
    </row>
    <row r="19" spans="1:30" x14ac:dyDescent="0.3">
      <c r="A19" s="19" t="s">
        <v>106</v>
      </c>
      <c r="B19" s="19" t="s">
        <v>107</v>
      </c>
      <c r="C19" s="19" t="s">
        <v>34</v>
      </c>
      <c r="D19" s="19">
        <f>SUM(Sales!$E$206:$E$217)</f>
        <v>1376</v>
      </c>
      <c r="E19" s="20">
        <f>D19*INDEX('Item Master'!$F$2:$F$51,MATCH($A19,'Item Master'!$A$2:$A$51,0))</f>
        <v>206400</v>
      </c>
      <c r="F19" s="21">
        <f t="shared" si="0"/>
        <v>3.7698630136986302</v>
      </c>
      <c r="G19" s="19">
        <f>MAX(Sales!$E$206:$E$217)</f>
        <v>193</v>
      </c>
      <c r="H19" s="19">
        <f>AVERAGE(Sales!$E$206:$E$217)</f>
        <v>114.66666666666667</v>
      </c>
      <c r="I19" s="19">
        <f>STDEV(Sales!$E$206:$E$217)</f>
        <v>26.351930525565706</v>
      </c>
      <c r="J19" s="23">
        <f t="shared" si="1"/>
        <v>0.22981334760667765</v>
      </c>
      <c r="K19" s="19">
        <f>INDEX('Item Master'!$E$2:$E$51,MATCH($A19,'Item Master'!$A$2:$A$51,0))</f>
        <v>5</v>
      </c>
      <c r="L19" s="22">
        <f t="shared" si="2"/>
        <v>13.055555555555555</v>
      </c>
      <c r="M19" s="22">
        <f t="shared" si="3"/>
        <v>31.904870624048705</v>
      </c>
      <c r="N19" s="20">
        <f>INDEX('Item Master'!$G$2:$G$51,MATCH($A19,'Item Master'!$A$2:$A$51,0))</f>
        <v>500</v>
      </c>
      <c r="O19" s="24">
        <f>INDEX('Item Master'!$H$2:$H$51,MATCH($A19,'Item Master'!$A$2:$A$51,0))</f>
        <v>30</v>
      </c>
      <c r="P19" s="22">
        <f t="shared" si="4"/>
        <v>214.16504538945347</v>
      </c>
      <c r="Q19" s="25">
        <f t="shared" si="5"/>
        <v>56.809768580777991</v>
      </c>
      <c r="R19" s="25">
        <f t="shared" si="6"/>
        <v>6.424951361683604</v>
      </c>
      <c r="S19" s="19">
        <f>Calculations!$E$206</f>
        <v>130</v>
      </c>
      <c r="T19" s="19">
        <f>Calculations!$J$217</f>
        <v>302</v>
      </c>
      <c r="U19" s="19">
        <f t="shared" si="7"/>
        <v>216</v>
      </c>
      <c r="V19" s="20">
        <f>U19*INDEX('Item Master'!$F$2:$F$51,MATCH($A19,'Item Master'!$A$2:$A$51,0))</f>
        <v>32400</v>
      </c>
      <c r="W19" s="21">
        <f t="shared" si="8"/>
        <v>6.3703703703703702</v>
      </c>
      <c r="X19" s="22">
        <f t="shared" si="9"/>
        <v>57.29651162790698</v>
      </c>
      <c r="Y19" s="20">
        <f t="shared" si="10"/>
        <v>206400</v>
      </c>
      <c r="Z19" s="23">
        <f t="shared" si="11"/>
        <v>0.9382573854620393</v>
      </c>
      <c r="AA19" s="19" t="str">
        <f t="shared" si="12"/>
        <v>B</v>
      </c>
      <c r="AB19" s="19" t="str">
        <f t="shared" si="13"/>
        <v>Monthly</v>
      </c>
      <c r="AC19" s="19">
        <f t="shared" si="14"/>
        <v>302</v>
      </c>
      <c r="AD19" s="19" t="str">
        <f t="shared" si="15"/>
        <v>HEALTHY</v>
      </c>
    </row>
    <row r="20" spans="1:30" x14ac:dyDescent="0.3">
      <c r="A20" s="19" t="s">
        <v>108</v>
      </c>
      <c r="B20" s="19" t="s">
        <v>109</v>
      </c>
      <c r="C20" s="19" t="s">
        <v>34</v>
      </c>
      <c r="D20" s="19">
        <f>SUM(Sales!$E$218:$E$229)</f>
        <v>1573</v>
      </c>
      <c r="E20" s="20">
        <f>D20*INDEX('Item Master'!$F$2:$F$51,MATCH($A20,'Item Master'!$A$2:$A$51,0))</f>
        <v>235950</v>
      </c>
      <c r="F20" s="21">
        <f t="shared" si="0"/>
        <v>4.3095890410958901</v>
      </c>
      <c r="G20" s="19">
        <f>MAX(Sales!$E$218:$E$229)</f>
        <v>177</v>
      </c>
      <c r="H20" s="19">
        <f>AVERAGE(Sales!$E$218:$E$229)</f>
        <v>131.08333333333334</v>
      </c>
      <c r="I20" s="19">
        <f>STDEV(Sales!$E$218:$E$229)</f>
        <v>20.725295626067144</v>
      </c>
      <c r="J20" s="23">
        <f t="shared" si="1"/>
        <v>0.15810778608569975</v>
      </c>
      <c r="K20" s="19">
        <f>INDEX('Item Master'!$E$2:$E$51,MATCH($A20,'Item Master'!$A$2:$A$51,0))</f>
        <v>5</v>
      </c>
      <c r="L20" s="22">
        <f t="shared" si="2"/>
        <v>7.6527777777777759</v>
      </c>
      <c r="M20" s="22">
        <f t="shared" si="3"/>
        <v>29.200722983257226</v>
      </c>
      <c r="N20" s="20">
        <f>INDEX('Item Master'!$G$2:$G$51,MATCH($A20,'Item Master'!$A$2:$A$51,0))</f>
        <v>500</v>
      </c>
      <c r="O20" s="24">
        <f>INDEX('Item Master'!$H$2:$H$51,MATCH($A20,'Item Master'!$A$2:$A$51,0))</f>
        <v>30</v>
      </c>
      <c r="P20" s="22">
        <f t="shared" si="4"/>
        <v>228.98325994127461</v>
      </c>
      <c r="Q20" s="25">
        <f t="shared" si="5"/>
        <v>53.133432853506193</v>
      </c>
      <c r="R20" s="25">
        <f t="shared" si="6"/>
        <v>6.8694977982382381</v>
      </c>
      <c r="S20" s="19">
        <f>Calculations!$E$218</f>
        <v>334</v>
      </c>
      <c r="T20" s="19">
        <f>Calculations!$J$229</f>
        <v>557</v>
      </c>
      <c r="U20" s="19">
        <f t="shared" si="7"/>
        <v>445.5</v>
      </c>
      <c r="V20" s="20">
        <f>U20*INDEX('Item Master'!$F$2:$F$51,MATCH($A20,'Item Master'!$A$2:$A$51,0))</f>
        <v>66825</v>
      </c>
      <c r="W20" s="21">
        <f t="shared" si="8"/>
        <v>3.5308641975308643</v>
      </c>
      <c r="X20" s="22">
        <f t="shared" si="9"/>
        <v>103.37412587412587</v>
      </c>
      <c r="Y20" s="20">
        <f t="shared" si="10"/>
        <v>235950</v>
      </c>
      <c r="Z20" s="23">
        <f t="shared" si="11"/>
        <v>0.90062758838295187</v>
      </c>
      <c r="AA20" s="19" t="str">
        <f t="shared" si="12"/>
        <v>B</v>
      </c>
      <c r="AB20" s="19" t="str">
        <f t="shared" si="13"/>
        <v>Monthly</v>
      </c>
      <c r="AC20" s="19">
        <f t="shared" si="14"/>
        <v>557</v>
      </c>
      <c r="AD20" s="19" t="str">
        <f t="shared" si="15"/>
        <v>HEALTHY</v>
      </c>
    </row>
    <row r="21" spans="1:30" x14ac:dyDescent="0.3">
      <c r="A21" s="19" t="s">
        <v>110</v>
      </c>
      <c r="B21" s="19" t="s">
        <v>111</v>
      </c>
      <c r="C21" s="19" t="s">
        <v>34</v>
      </c>
      <c r="D21" s="19">
        <f>SUM(Sales!$E$230:$E$241)</f>
        <v>1066</v>
      </c>
      <c r="E21" s="20">
        <f>D21*INDEX('Item Master'!$F$2:$F$51,MATCH($A21,'Item Master'!$A$2:$A$51,0))</f>
        <v>373100</v>
      </c>
      <c r="F21" s="21">
        <f t="shared" si="0"/>
        <v>2.9205479452054797</v>
      </c>
      <c r="G21" s="19">
        <f>MAX(Sales!$E$230:$E$241)</f>
        <v>131</v>
      </c>
      <c r="H21" s="19">
        <f>AVERAGE(Sales!$E$230:$E$241)</f>
        <v>88.833333333333329</v>
      </c>
      <c r="I21" s="19">
        <f>STDEV(Sales!$E$230:$E$241)</f>
        <v>14.916941761472154</v>
      </c>
      <c r="J21" s="23">
        <f t="shared" si="1"/>
        <v>0.16792054515728505</v>
      </c>
      <c r="K21" s="19">
        <f>INDEX('Item Master'!$E$2:$E$51,MATCH($A21,'Item Master'!$A$2:$A$51,0))</f>
        <v>3</v>
      </c>
      <c r="L21" s="22">
        <f t="shared" si="2"/>
        <v>4.2166666666666668</v>
      </c>
      <c r="M21" s="22">
        <f t="shared" si="3"/>
        <v>12.978310502283106</v>
      </c>
      <c r="N21" s="20">
        <f>INDEX('Item Master'!$G$2:$G$51,MATCH($A21,'Item Master'!$A$2:$A$51,0))</f>
        <v>500</v>
      </c>
      <c r="O21" s="24">
        <f>INDEX('Item Master'!$H$2:$H$51,MATCH($A21,'Item Master'!$A$2:$A$51,0))</f>
        <v>70</v>
      </c>
      <c r="P21" s="22">
        <f t="shared" si="4"/>
        <v>123.40409810282408</v>
      </c>
      <c r="Q21" s="25">
        <f t="shared" si="5"/>
        <v>42.253748412317812</v>
      </c>
      <c r="R21" s="25">
        <f t="shared" si="6"/>
        <v>8.6382868671976851</v>
      </c>
      <c r="S21" s="19">
        <f>Calculations!$E$230</f>
        <v>379</v>
      </c>
      <c r="T21" s="19">
        <f>Calculations!$J$241</f>
        <v>537</v>
      </c>
      <c r="U21" s="19">
        <f t="shared" si="7"/>
        <v>458</v>
      </c>
      <c r="V21" s="20">
        <f>U21*INDEX('Item Master'!$F$2:$F$51,MATCH($A21,'Item Master'!$A$2:$A$51,0))</f>
        <v>160300</v>
      </c>
      <c r="W21" s="21">
        <f t="shared" si="8"/>
        <v>2.3275109170305677</v>
      </c>
      <c r="X21" s="22">
        <f t="shared" si="9"/>
        <v>156.81988742964353</v>
      </c>
      <c r="Y21" s="20">
        <f t="shared" si="10"/>
        <v>373100</v>
      </c>
      <c r="Z21" s="23">
        <f t="shared" si="11"/>
        <v>0.81278986091834415</v>
      </c>
      <c r="AA21" s="19" t="str">
        <f t="shared" si="12"/>
        <v>B</v>
      </c>
      <c r="AB21" s="19" t="str">
        <f t="shared" si="13"/>
        <v>Monthly</v>
      </c>
      <c r="AC21" s="19">
        <f t="shared" si="14"/>
        <v>537</v>
      </c>
      <c r="AD21" s="19" t="str">
        <f t="shared" si="15"/>
        <v>OVERSTOCK</v>
      </c>
    </row>
    <row r="22" spans="1:30" x14ac:dyDescent="0.3">
      <c r="A22" s="19" t="s">
        <v>112</v>
      </c>
      <c r="B22" s="19" t="s">
        <v>113</v>
      </c>
      <c r="C22" s="19" t="s">
        <v>34</v>
      </c>
      <c r="D22" s="19">
        <f>SUM(Sales!$E$242:$E$253)</f>
        <v>1031</v>
      </c>
      <c r="E22" s="20">
        <f>D22*INDEX('Item Master'!$F$2:$F$51,MATCH($A22,'Item Master'!$A$2:$A$51,0))</f>
        <v>360850</v>
      </c>
      <c r="F22" s="21">
        <f t="shared" si="0"/>
        <v>2.8246575342465752</v>
      </c>
      <c r="G22" s="19">
        <f>MAX(Sales!$E$242:$E$253)</f>
        <v>127</v>
      </c>
      <c r="H22" s="19">
        <f>AVERAGE(Sales!$E$242:$E$253)</f>
        <v>85.916666666666671</v>
      </c>
      <c r="I22" s="19">
        <f>STDEV(Sales!$E$242:$E$253)</f>
        <v>13.720974874809441</v>
      </c>
      <c r="J22" s="23">
        <f t="shared" si="1"/>
        <v>0.15970096847498863</v>
      </c>
      <c r="K22" s="19">
        <f>INDEX('Item Master'!$E$2:$E$51,MATCH($A22,'Item Master'!$A$2:$A$51,0))</f>
        <v>5</v>
      </c>
      <c r="L22" s="22">
        <f t="shared" si="2"/>
        <v>6.8472222222222214</v>
      </c>
      <c r="M22" s="22">
        <f t="shared" si="3"/>
        <v>20.970509893455098</v>
      </c>
      <c r="N22" s="20">
        <f>INDEX('Item Master'!$G$2:$G$51,MATCH($A22,'Item Master'!$A$2:$A$51,0))</f>
        <v>500</v>
      </c>
      <c r="O22" s="24">
        <f>INDEX('Item Master'!$H$2:$H$51,MATCH($A22,'Item Master'!$A$2:$A$51,0))</f>
        <v>70</v>
      </c>
      <c r="P22" s="22">
        <f t="shared" si="4"/>
        <v>121.36132591798521</v>
      </c>
      <c r="Q22" s="25">
        <f t="shared" si="5"/>
        <v>42.964969893370132</v>
      </c>
      <c r="R22" s="25">
        <f t="shared" si="6"/>
        <v>8.4952928142589652</v>
      </c>
      <c r="S22" s="19">
        <f>Calculations!$E$242</f>
        <v>385</v>
      </c>
      <c r="T22" s="19">
        <f>Calculations!$J$253</f>
        <v>458</v>
      </c>
      <c r="U22" s="19">
        <f t="shared" si="7"/>
        <v>421.5</v>
      </c>
      <c r="V22" s="20">
        <f>U22*INDEX('Item Master'!$F$2:$F$51,MATCH($A22,'Item Master'!$A$2:$A$51,0))</f>
        <v>147525</v>
      </c>
      <c r="W22" s="21">
        <f t="shared" si="8"/>
        <v>2.4460260972716488</v>
      </c>
      <c r="X22" s="22">
        <f t="shared" si="9"/>
        <v>149.22162948593598</v>
      </c>
      <c r="Y22" s="20">
        <f t="shared" si="10"/>
        <v>360850</v>
      </c>
      <c r="Z22" s="23">
        <f t="shared" si="11"/>
        <v>0.83368033773247985</v>
      </c>
      <c r="AA22" s="19" t="str">
        <f t="shared" si="12"/>
        <v>B</v>
      </c>
      <c r="AB22" s="19" t="str">
        <f t="shared" si="13"/>
        <v>Monthly</v>
      </c>
      <c r="AC22" s="19">
        <f t="shared" si="14"/>
        <v>458</v>
      </c>
      <c r="AD22" s="19" t="str">
        <f t="shared" si="15"/>
        <v>OVERSTOCK</v>
      </c>
    </row>
    <row r="23" spans="1:30" x14ac:dyDescent="0.3">
      <c r="A23" s="19" t="s">
        <v>114</v>
      </c>
      <c r="B23" s="19" t="s">
        <v>115</v>
      </c>
      <c r="C23" s="19" t="s">
        <v>34</v>
      </c>
      <c r="D23" s="19">
        <f>SUM(Sales!$E$254:$E$265)</f>
        <v>765</v>
      </c>
      <c r="E23" s="20">
        <f>D23*INDEX('Item Master'!$F$2:$F$51,MATCH($A23,'Item Master'!$A$2:$A$51,0))</f>
        <v>344250</v>
      </c>
      <c r="F23" s="21">
        <f t="shared" si="0"/>
        <v>2.095890410958904</v>
      </c>
      <c r="G23" s="19">
        <f>MAX(Sales!$E$254:$E$265)</f>
        <v>107</v>
      </c>
      <c r="H23" s="19">
        <f>AVERAGE(Sales!$E$254:$E$265)</f>
        <v>63.75</v>
      </c>
      <c r="I23" s="19">
        <f>STDEV(Sales!$E$254:$E$265)</f>
        <v>15.160504908838265</v>
      </c>
      <c r="J23" s="23">
        <f t="shared" si="1"/>
        <v>0.23781184170726691</v>
      </c>
      <c r="K23" s="19">
        <f>INDEX('Item Master'!$E$2:$E$51,MATCH($A23,'Item Master'!$A$2:$A$51,0))</f>
        <v>10</v>
      </c>
      <c r="L23" s="22">
        <f t="shared" si="2"/>
        <v>14.416666666666666</v>
      </c>
      <c r="M23" s="22">
        <f t="shared" si="3"/>
        <v>35.375570776255707</v>
      </c>
      <c r="N23" s="20">
        <f>INDEX('Item Master'!$G$2:$G$51,MATCH($A23,'Item Master'!$A$2:$A$51,0))</f>
        <v>500</v>
      </c>
      <c r="O23" s="24">
        <f>INDEX('Item Master'!$H$2:$H$51,MATCH($A23,'Item Master'!$A$2:$A$51,0))</f>
        <v>90</v>
      </c>
      <c r="P23" s="22">
        <f t="shared" si="4"/>
        <v>92.195444572928878</v>
      </c>
      <c r="Q23" s="25">
        <f t="shared" si="5"/>
        <v>43.988676168783059</v>
      </c>
      <c r="R23" s="25">
        <f t="shared" si="6"/>
        <v>8.2975900115635977</v>
      </c>
      <c r="S23" s="19">
        <f>Calculations!$E$254</f>
        <v>121</v>
      </c>
      <c r="T23" s="19">
        <f>Calculations!$J$265</f>
        <v>194</v>
      </c>
      <c r="U23" s="19">
        <f t="shared" si="7"/>
        <v>157.5</v>
      </c>
      <c r="V23" s="20">
        <f>U23*INDEX('Item Master'!$F$2:$F$51,MATCH($A23,'Item Master'!$A$2:$A$51,0))</f>
        <v>70875</v>
      </c>
      <c r="W23" s="21">
        <f t="shared" si="8"/>
        <v>4.8571428571428568</v>
      </c>
      <c r="X23" s="22">
        <f t="shared" si="9"/>
        <v>75.14705882352942</v>
      </c>
      <c r="Y23" s="20">
        <f t="shared" si="10"/>
        <v>344250</v>
      </c>
      <c r="Z23" s="23">
        <f t="shared" si="11"/>
        <v>0.85345027453230349</v>
      </c>
      <c r="AA23" s="19" t="str">
        <f t="shared" si="12"/>
        <v>B</v>
      </c>
      <c r="AB23" s="19" t="str">
        <f t="shared" si="13"/>
        <v>Monthly</v>
      </c>
      <c r="AC23" s="19">
        <f t="shared" si="14"/>
        <v>194</v>
      </c>
      <c r="AD23" s="19" t="str">
        <f t="shared" si="15"/>
        <v>HEALTHY</v>
      </c>
    </row>
    <row r="24" spans="1:30" x14ac:dyDescent="0.3">
      <c r="A24" s="19" t="s">
        <v>116</v>
      </c>
      <c r="B24" s="19" t="s">
        <v>117</v>
      </c>
      <c r="C24" s="19" t="s">
        <v>44</v>
      </c>
      <c r="D24" s="19">
        <f>SUM(Sales!$E$266:$E$277)</f>
        <v>974</v>
      </c>
      <c r="E24" s="20">
        <f>D24*INDEX('Item Master'!$F$2:$F$51,MATCH($A24,'Item Master'!$A$2:$A$51,0))</f>
        <v>77920</v>
      </c>
      <c r="F24" s="21">
        <f t="shared" si="0"/>
        <v>2.6684931506849314</v>
      </c>
      <c r="G24" s="19">
        <f>MAX(Sales!$E$266:$E$277)</f>
        <v>108</v>
      </c>
      <c r="H24" s="19">
        <f>AVERAGE(Sales!$E$266:$E$277)</f>
        <v>81.166666666666671</v>
      </c>
      <c r="I24" s="19">
        <f>STDEV(Sales!$E$266:$E$277)</f>
        <v>10.434499886376361</v>
      </c>
      <c r="J24" s="23">
        <f t="shared" si="1"/>
        <v>0.12855646677260404</v>
      </c>
      <c r="K24" s="19">
        <f>INDEX('Item Master'!$E$2:$E$51,MATCH($A24,'Item Master'!$A$2:$A$51,0))</f>
        <v>14</v>
      </c>
      <c r="L24" s="22">
        <f t="shared" si="2"/>
        <v>12.52222222222222</v>
      </c>
      <c r="M24" s="22">
        <f t="shared" si="3"/>
        <v>49.881126331811259</v>
      </c>
      <c r="N24" s="20">
        <f>INDEX('Item Master'!$G$2:$G$51,MATCH($A24,'Item Master'!$A$2:$A$51,0))</f>
        <v>500</v>
      </c>
      <c r="O24" s="24">
        <f>INDEX('Item Master'!$H$2:$H$51,MATCH($A24,'Item Master'!$A$2:$A$51,0))</f>
        <v>16</v>
      </c>
      <c r="P24" s="22">
        <f t="shared" si="4"/>
        <v>246.72859582950656</v>
      </c>
      <c r="Q24" s="25">
        <f t="shared" si="5"/>
        <v>92.459894741036862</v>
      </c>
      <c r="R24" s="25">
        <f t="shared" si="6"/>
        <v>3.9476575332721047</v>
      </c>
      <c r="S24" s="19">
        <f>Calculations!$E$266</f>
        <v>159</v>
      </c>
      <c r="T24" s="19">
        <f>Calculations!$J$277</f>
        <v>197</v>
      </c>
      <c r="U24" s="19">
        <f t="shared" si="7"/>
        <v>178</v>
      </c>
      <c r="V24" s="20">
        <f>U24*INDEX('Item Master'!$F$2:$F$51,MATCH($A24,'Item Master'!$A$2:$A$51,0))</f>
        <v>14240</v>
      </c>
      <c r="W24" s="21">
        <f t="shared" si="8"/>
        <v>5.4719101123595504</v>
      </c>
      <c r="X24" s="22">
        <f t="shared" si="9"/>
        <v>66.704312114989733</v>
      </c>
      <c r="Y24" s="20">
        <f t="shared" si="10"/>
        <v>77920</v>
      </c>
      <c r="Z24" s="23">
        <f t="shared" si="11"/>
        <v>0.99421847205914848</v>
      </c>
      <c r="AA24" s="19" t="str">
        <f t="shared" si="12"/>
        <v>C</v>
      </c>
      <c r="AB24" s="19" t="str">
        <f t="shared" si="13"/>
        <v>Quarterly</v>
      </c>
      <c r="AC24" s="19">
        <f t="shared" si="14"/>
        <v>197</v>
      </c>
      <c r="AD24" s="19" t="str">
        <f t="shared" si="15"/>
        <v>HEALTHY</v>
      </c>
    </row>
    <row r="25" spans="1:30" x14ac:dyDescent="0.3">
      <c r="A25" s="19" t="s">
        <v>118</v>
      </c>
      <c r="B25" s="19" t="s">
        <v>119</v>
      </c>
      <c r="C25" s="19" t="s">
        <v>44</v>
      </c>
      <c r="D25" s="19">
        <f>SUM(Sales!$E$278:$E$289)</f>
        <v>829</v>
      </c>
      <c r="E25" s="20">
        <f>D25*INDEX('Item Master'!$F$2:$F$51,MATCH($A25,'Item Master'!$A$2:$A$51,0))</f>
        <v>124350</v>
      </c>
      <c r="F25" s="21">
        <f t="shared" si="0"/>
        <v>2.2712328767123289</v>
      </c>
      <c r="G25" s="19">
        <f>MAX(Sales!$E$278:$E$289)</f>
        <v>108</v>
      </c>
      <c r="H25" s="19">
        <f>AVERAGE(Sales!$E$278:$E$289)</f>
        <v>69.083333333333329</v>
      </c>
      <c r="I25" s="19">
        <f>STDEV(Sales!$E$278:$E$289)</f>
        <v>13.399174556213474</v>
      </c>
      <c r="J25" s="23">
        <f t="shared" si="1"/>
        <v>0.19395668838909735</v>
      </c>
      <c r="K25" s="19">
        <f>INDEX('Item Master'!$E$2:$E$51,MATCH($A25,'Item Master'!$A$2:$A$51,0))</f>
        <v>10</v>
      </c>
      <c r="L25" s="22">
        <f t="shared" si="2"/>
        <v>12.972222222222223</v>
      </c>
      <c r="M25" s="22">
        <f t="shared" si="3"/>
        <v>35.68455098934551</v>
      </c>
      <c r="N25" s="20">
        <f>INDEX('Item Master'!$G$2:$G$51,MATCH($A25,'Item Master'!$A$2:$A$51,0))</f>
        <v>500</v>
      </c>
      <c r="O25" s="24">
        <f>INDEX('Item Master'!$H$2:$H$51,MATCH($A25,'Item Master'!$A$2:$A$51,0))</f>
        <v>30</v>
      </c>
      <c r="P25" s="22">
        <f t="shared" si="4"/>
        <v>166.23276853055577</v>
      </c>
      <c r="Q25" s="25">
        <f t="shared" si="5"/>
        <v>73.1905434422833</v>
      </c>
      <c r="R25" s="25">
        <f t="shared" si="6"/>
        <v>4.9869830559166735</v>
      </c>
      <c r="S25" s="19">
        <f>Calculations!$E$278</f>
        <v>225</v>
      </c>
      <c r="T25" s="19">
        <f>Calculations!$J$289</f>
        <v>298</v>
      </c>
      <c r="U25" s="19">
        <f t="shared" si="7"/>
        <v>261.5</v>
      </c>
      <c r="V25" s="20">
        <f>U25*INDEX('Item Master'!$F$2:$F$51,MATCH($A25,'Item Master'!$A$2:$A$51,0))</f>
        <v>39225</v>
      </c>
      <c r="W25" s="21">
        <f t="shared" si="8"/>
        <v>3.1701720841300189</v>
      </c>
      <c r="X25" s="22">
        <f t="shared" si="9"/>
        <v>115.13570566948131</v>
      </c>
      <c r="Y25" s="20">
        <f t="shared" si="10"/>
        <v>124350</v>
      </c>
      <c r="Z25" s="23">
        <f t="shared" si="11"/>
        <v>0.98230320551821537</v>
      </c>
      <c r="AA25" s="19" t="str">
        <f t="shared" si="12"/>
        <v>C</v>
      </c>
      <c r="AB25" s="19" t="str">
        <f t="shared" si="13"/>
        <v>Quarterly</v>
      </c>
      <c r="AC25" s="19">
        <f t="shared" si="14"/>
        <v>298</v>
      </c>
      <c r="AD25" s="19" t="str">
        <f t="shared" si="15"/>
        <v>HEALTHY</v>
      </c>
    </row>
    <row r="26" spans="1:30" x14ac:dyDescent="0.3">
      <c r="A26" s="19" t="s">
        <v>120</v>
      </c>
      <c r="B26" s="19" t="s">
        <v>121</v>
      </c>
      <c r="C26" s="19" t="s">
        <v>44</v>
      </c>
      <c r="D26" s="19">
        <f>SUM(Sales!$E$290:$E$301)</f>
        <v>1540</v>
      </c>
      <c r="E26" s="20">
        <f>D26*INDEX('Item Master'!$F$2:$F$51,MATCH($A26,'Item Master'!$A$2:$A$51,0))</f>
        <v>154000</v>
      </c>
      <c r="F26" s="21">
        <f t="shared" si="0"/>
        <v>4.2191780821917808</v>
      </c>
      <c r="G26" s="19">
        <f>MAX(Sales!$E$290:$E$301)</f>
        <v>214</v>
      </c>
      <c r="H26" s="19">
        <f>AVERAGE(Sales!$E$290:$E$301)</f>
        <v>128.33333333333334</v>
      </c>
      <c r="I26" s="19">
        <f>STDEV(Sales!$E$290:$E$301)</f>
        <v>29.533750595588486</v>
      </c>
      <c r="J26" s="23">
        <f t="shared" si="1"/>
        <v>0.23013312152406612</v>
      </c>
      <c r="K26" s="19">
        <f>INDEX('Item Master'!$E$2:$E$51,MATCH($A26,'Item Master'!$A$2:$A$51,0))</f>
        <v>5</v>
      </c>
      <c r="L26" s="22">
        <f t="shared" si="2"/>
        <v>14.277777777777775</v>
      </c>
      <c r="M26" s="22">
        <f t="shared" si="3"/>
        <v>35.37366818873668</v>
      </c>
      <c r="N26" s="20">
        <f>INDEX('Item Master'!$G$2:$G$51,MATCH($A26,'Item Master'!$A$2:$A$51,0))</f>
        <v>500</v>
      </c>
      <c r="O26" s="24">
        <f>INDEX('Item Master'!$H$2:$H$51,MATCH($A26,'Item Master'!$A$2:$A$51,0))</f>
        <v>20</v>
      </c>
      <c r="P26" s="22">
        <f t="shared" si="4"/>
        <v>277.48873851023217</v>
      </c>
      <c r="Q26" s="25">
        <f t="shared" si="5"/>
        <v>65.768434776775806</v>
      </c>
      <c r="R26" s="25">
        <f t="shared" si="6"/>
        <v>5.5497747702046434</v>
      </c>
      <c r="S26" s="19">
        <f>Calculations!$E$290</f>
        <v>341</v>
      </c>
      <c r="T26" s="19">
        <f>Calculations!$J$301</f>
        <v>474</v>
      </c>
      <c r="U26" s="19">
        <f t="shared" si="7"/>
        <v>407.5</v>
      </c>
      <c r="V26" s="20">
        <f>U26*INDEX('Item Master'!$F$2:$F$51,MATCH($A26,'Item Master'!$A$2:$A$51,0))</f>
        <v>40750</v>
      </c>
      <c r="W26" s="21">
        <f t="shared" si="8"/>
        <v>3.7791411042944785</v>
      </c>
      <c r="X26" s="22">
        <f t="shared" si="9"/>
        <v>96.58279220779221</v>
      </c>
      <c r="Y26" s="20">
        <f t="shared" si="10"/>
        <v>154000</v>
      </c>
      <c r="Z26" s="23">
        <f t="shared" si="11"/>
        <v>0.97466433235159511</v>
      </c>
      <c r="AA26" s="19" t="str">
        <f t="shared" si="12"/>
        <v>C</v>
      </c>
      <c r="AB26" s="19" t="str">
        <f t="shared" si="13"/>
        <v>Quarterly</v>
      </c>
      <c r="AC26" s="19">
        <f t="shared" si="14"/>
        <v>474</v>
      </c>
      <c r="AD26" s="19" t="str">
        <f t="shared" si="15"/>
        <v>HEALTHY</v>
      </c>
    </row>
    <row r="27" spans="1:30" x14ac:dyDescent="0.3">
      <c r="A27" s="19" t="s">
        <v>122</v>
      </c>
      <c r="B27" s="19" t="s">
        <v>123</v>
      </c>
      <c r="C27" s="19" t="s">
        <v>28</v>
      </c>
      <c r="D27" s="19">
        <f>SUM(Sales!$E$302:$E$313)</f>
        <v>182</v>
      </c>
      <c r="E27" s="20">
        <f>D27*INDEX('Item Master'!$F$2:$F$51,MATCH($A27,'Item Master'!$A$2:$A$51,0))</f>
        <v>21840</v>
      </c>
      <c r="F27" s="21">
        <f t="shared" si="0"/>
        <v>0.49863013698630138</v>
      </c>
      <c r="G27" s="19">
        <f>MAX(Sales!$E$302:$E$313)</f>
        <v>23</v>
      </c>
      <c r="H27" s="19">
        <f>AVERAGE(Sales!$E$302:$E$313)</f>
        <v>15.166666666666666</v>
      </c>
      <c r="I27" s="19">
        <f>STDEV(Sales!$E$302:$E$313)</f>
        <v>3.0100840620497706</v>
      </c>
      <c r="J27" s="23">
        <f t="shared" si="1"/>
        <v>0.1984670810142706</v>
      </c>
      <c r="K27" s="19">
        <f>INDEX('Item Master'!$E$2:$E$51,MATCH($A27,'Item Master'!$A$2:$A$51,0))</f>
        <v>14</v>
      </c>
      <c r="L27" s="22">
        <f t="shared" si="2"/>
        <v>3.6555555555555559</v>
      </c>
      <c r="M27" s="22">
        <f t="shared" si="3"/>
        <v>10.636377473363776</v>
      </c>
      <c r="N27" s="20">
        <f>INDEX('Item Master'!$G$2:$G$51,MATCH($A27,'Item Master'!$A$2:$A$51,0))</f>
        <v>500</v>
      </c>
      <c r="O27" s="24">
        <f>INDEX('Item Master'!$H$2:$H$51,MATCH($A27,'Item Master'!$A$2:$A$51,0))</f>
        <v>24</v>
      </c>
      <c r="P27" s="22">
        <f t="shared" si="4"/>
        <v>87.08233651742087</v>
      </c>
      <c r="Q27" s="25">
        <f t="shared" si="5"/>
        <v>174.64314741131108</v>
      </c>
      <c r="R27" s="25">
        <f t="shared" si="6"/>
        <v>2.0899760764181012</v>
      </c>
      <c r="S27" s="19">
        <f>Calculations!$E$302</f>
        <v>111</v>
      </c>
      <c r="T27" s="19">
        <f>Calculations!$J$313</f>
        <v>138</v>
      </c>
      <c r="U27" s="19">
        <f t="shared" si="7"/>
        <v>124.5</v>
      </c>
      <c r="V27" s="20">
        <f>U27*INDEX('Item Master'!$F$2:$F$51,MATCH($A27,'Item Master'!$A$2:$A$51,0))</f>
        <v>14940</v>
      </c>
      <c r="W27" s="21">
        <f t="shared" si="8"/>
        <v>1.4618473895582329</v>
      </c>
      <c r="X27" s="22">
        <f t="shared" si="9"/>
        <v>249.68406593406593</v>
      </c>
      <c r="Y27" s="20">
        <f t="shared" si="10"/>
        <v>21840</v>
      </c>
      <c r="Z27" s="23">
        <f t="shared" si="11"/>
        <v>0.99961827127901193</v>
      </c>
      <c r="AA27" s="19" t="str">
        <f t="shared" si="12"/>
        <v>C</v>
      </c>
      <c r="AB27" s="19" t="str">
        <f t="shared" si="13"/>
        <v>Quarterly</v>
      </c>
      <c r="AC27" s="19">
        <f t="shared" si="14"/>
        <v>138</v>
      </c>
      <c r="AD27" s="19" t="str">
        <f t="shared" si="15"/>
        <v>OVERSTOCK</v>
      </c>
    </row>
    <row r="28" spans="1:30" x14ac:dyDescent="0.3">
      <c r="A28" s="19" t="s">
        <v>124</v>
      </c>
      <c r="B28" s="19" t="s">
        <v>125</v>
      </c>
      <c r="C28" s="19" t="s">
        <v>28</v>
      </c>
      <c r="D28" s="19">
        <f>SUM(Sales!$E$314:$E$325)</f>
        <v>206</v>
      </c>
      <c r="E28" s="20">
        <f>D28*INDEX('Item Master'!$F$2:$F$51,MATCH($A28,'Item Master'!$A$2:$A$51,0))</f>
        <v>51500</v>
      </c>
      <c r="F28" s="21">
        <f t="shared" si="0"/>
        <v>0.56438356164383563</v>
      </c>
      <c r="G28" s="19">
        <f>MAX(Sales!$E$314:$E$325)</f>
        <v>25</v>
      </c>
      <c r="H28" s="19">
        <f>AVERAGE(Sales!$E$314:$E$325)</f>
        <v>17.166666666666668</v>
      </c>
      <c r="I28" s="19">
        <f>STDEV(Sales!$E$314:$E$325)</f>
        <v>2.9490625115398426</v>
      </c>
      <c r="J28" s="23">
        <f t="shared" si="1"/>
        <v>0.17179004921591315</v>
      </c>
      <c r="K28" s="19">
        <f>INDEX('Item Master'!$E$2:$E$51,MATCH($A28,'Item Master'!$A$2:$A$51,0))</f>
        <v>3</v>
      </c>
      <c r="L28" s="22">
        <f t="shared" si="2"/>
        <v>0.78333333333333321</v>
      </c>
      <c r="M28" s="22">
        <f t="shared" si="3"/>
        <v>2.47648401826484</v>
      </c>
      <c r="N28" s="20">
        <f>INDEX('Item Master'!$G$2:$G$51,MATCH($A28,'Item Master'!$A$2:$A$51,0))</f>
        <v>500</v>
      </c>
      <c r="O28" s="24">
        <f>INDEX('Item Master'!$H$2:$H$51,MATCH($A28,'Item Master'!$A$2:$A$51,0))</f>
        <v>50</v>
      </c>
      <c r="P28" s="22">
        <f t="shared" si="4"/>
        <v>64.187226143524853</v>
      </c>
      <c r="Q28" s="25">
        <f t="shared" si="5"/>
        <v>113.72979389508045</v>
      </c>
      <c r="R28" s="25">
        <f t="shared" si="6"/>
        <v>3.2093613071762421</v>
      </c>
      <c r="S28" s="19">
        <f>Calculations!$E$314</f>
        <v>189</v>
      </c>
      <c r="T28" s="19">
        <f>Calculations!$J$325</f>
        <v>209</v>
      </c>
      <c r="U28" s="19">
        <f t="shared" si="7"/>
        <v>199</v>
      </c>
      <c r="V28" s="20">
        <f>U28*INDEX('Item Master'!$F$2:$F$51,MATCH($A28,'Item Master'!$A$2:$A$51,0))</f>
        <v>49750</v>
      </c>
      <c r="W28" s="21">
        <f t="shared" si="8"/>
        <v>1.035175879396985</v>
      </c>
      <c r="X28" s="22">
        <f t="shared" si="9"/>
        <v>352.59708737864077</v>
      </c>
      <c r="Y28" s="20">
        <f t="shared" si="10"/>
        <v>51500</v>
      </c>
      <c r="Z28" s="23">
        <f t="shared" si="11"/>
        <v>0.99569437514705295</v>
      </c>
      <c r="AA28" s="19" t="str">
        <f t="shared" si="12"/>
        <v>C</v>
      </c>
      <c r="AB28" s="19" t="str">
        <f t="shared" si="13"/>
        <v>Quarterly</v>
      </c>
      <c r="AC28" s="19">
        <f t="shared" si="14"/>
        <v>209</v>
      </c>
      <c r="AD28" s="19" t="str">
        <f t="shared" si="15"/>
        <v>OVERSTOCK</v>
      </c>
    </row>
    <row r="29" spans="1:30" x14ac:dyDescent="0.3">
      <c r="A29" s="19" t="s">
        <v>126</v>
      </c>
      <c r="B29" s="19" t="s">
        <v>127</v>
      </c>
      <c r="C29" s="19" t="s">
        <v>28</v>
      </c>
      <c r="D29" s="19">
        <f>SUM(Sales!$E$326:$E$337)</f>
        <v>474</v>
      </c>
      <c r="E29" s="20">
        <f>D29*INDEX('Item Master'!$F$2:$F$51,MATCH($A29,'Item Master'!$A$2:$A$51,0))</f>
        <v>142200</v>
      </c>
      <c r="F29" s="21">
        <f t="shared" si="0"/>
        <v>1.2986301369863014</v>
      </c>
      <c r="G29" s="19">
        <f>MAX(Sales!$E$326:$E$337)</f>
        <v>57</v>
      </c>
      <c r="H29" s="19">
        <f>AVERAGE(Sales!$E$326:$E$337)</f>
        <v>39.5</v>
      </c>
      <c r="I29" s="19">
        <f>STDEV(Sales!$E$326:$E$337)</f>
        <v>6.9478577470129075</v>
      </c>
      <c r="J29" s="23">
        <f t="shared" si="1"/>
        <v>0.1758951328357698</v>
      </c>
      <c r="K29" s="19">
        <f>INDEX('Item Master'!$E$2:$E$51,MATCH($A29,'Item Master'!$A$2:$A$51,0))</f>
        <v>5</v>
      </c>
      <c r="L29" s="22">
        <f t="shared" si="2"/>
        <v>2.916666666666667</v>
      </c>
      <c r="M29" s="22">
        <f t="shared" si="3"/>
        <v>9.4098173515981749</v>
      </c>
      <c r="N29" s="20">
        <f>INDEX('Item Master'!$G$2:$G$51,MATCH($A29,'Item Master'!$A$2:$A$51,0))</f>
        <v>500</v>
      </c>
      <c r="O29" s="24">
        <f>INDEX('Item Master'!$H$2:$H$51,MATCH($A29,'Item Master'!$A$2:$A$51,0))</f>
        <v>60</v>
      </c>
      <c r="P29" s="22">
        <f t="shared" si="4"/>
        <v>88.881944173155887</v>
      </c>
      <c r="Q29" s="25">
        <f t="shared" si="5"/>
        <v>68.442847306333121</v>
      </c>
      <c r="R29" s="25">
        <f t="shared" si="6"/>
        <v>5.332916650389353</v>
      </c>
      <c r="S29" s="19">
        <f>Calculations!$E$326</f>
        <v>143</v>
      </c>
      <c r="T29" s="19">
        <f>Calculations!$J$337</f>
        <v>170</v>
      </c>
      <c r="U29" s="19">
        <f t="shared" si="7"/>
        <v>156.5</v>
      </c>
      <c r="V29" s="20">
        <f>U29*INDEX('Item Master'!$F$2:$F$51,MATCH($A29,'Item Master'!$A$2:$A$51,0))</f>
        <v>46950</v>
      </c>
      <c r="W29" s="21">
        <f t="shared" si="8"/>
        <v>3.0287539936102235</v>
      </c>
      <c r="X29" s="22">
        <f t="shared" si="9"/>
        <v>120.51160337552743</v>
      </c>
      <c r="Y29" s="20">
        <f t="shared" si="10"/>
        <v>142200</v>
      </c>
      <c r="Z29" s="23">
        <f t="shared" si="11"/>
        <v>0.97873954437295474</v>
      </c>
      <c r="AA29" s="19" t="str">
        <f t="shared" si="12"/>
        <v>C</v>
      </c>
      <c r="AB29" s="19" t="str">
        <f t="shared" si="13"/>
        <v>Quarterly</v>
      </c>
      <c r="AC29" s="19">
        <f t="shared" si="14"/>
        <v>170</v>
      </c>
      <c r="AD29" s="19" t="str">
        <f t="shared" si="15"/>
        <v>HEALTHY</v>
      </c>
    </row>
    <row r="30" spans="1:30" x14ac:dyDescent="0.3">
      <c r="A30" s="19" t="s">
        <v>128</v>
      </c>
      <c r="B30" s="19" t="s">
        <v>129</v>
      </c>
      <c r="C30" s="19" t="s">
        <v>28</v>
      </c>
      <c r="D30" s="19">
        <f>SUM(Sales!$E$338:$E$349)</f>
        <v>288</v>
      </c>
      <c r="E30" s="20">
        <f>D30*INDEX('Item Master'!$F$2:$F$51,MATCH($A30,'Item Master'!$A$2:$A$51,0))</f>
        <v>172800</v>
      </c>
      <c r="F30" s="21">
        <f t="shared" si="0"/>
        <v>0.78904109589041094</v>
      </c>
      <c r="G30" s="19">
        <f>MAX(Sales!$E$338:$E$349)</f>
        <v>32</v>
      </c>
      <c r="H30" s="19">
        <f>AVERAGE(Sales!$E$338:$E$349)</f>
        <v>24</v>
      </c>
      <c r="I30" s="19">
        <f>STDEV(Sales!$E$338:$E$349)</f>
        <v>3.2192602199319587</v>
      </c>
      <c r="J30" s="23">
        <f t="shared" si="1"/>
        <v>0.13413584249716495</v>
      </c>
      <c r="K30" s="19">
        <f>INDEX('Item Master'!$E$2:$E$51,MATCH($A30,'Item Master'!$A$2:$A$51,0))</f>
        <v>7</v>
      </c>
      <c r="L30" s="22">
        <f t="shared" si="2"/>
        <v>1.8666666666666667</v>
      </c>
      <c r="M30" s="22">
        <f t="shared" si="3"/>
        <v>7.3899543378995425</v>
      </c>
      <c r="N30" s="20">
        <f>INDEX('Item Master'!$G$2:$G$51,MATCH($A30,'Item Master'!$A$2:$A$51,0))</f>
        <v>500</v>
      </c>
      <c r="O30" s="24">
        <f>INDEX('Item Master'!$H$2:$H$51,MATCH($A30,'Item Master'!$A$2:$A$51,0))</f>
        <v>120</v>
      </c>
      <c r="P30" s="22">
        <f t="shared" si="4"/>
        <v>48.989794855663561</v>
      </c>
      <c r="Q30" s="25">
        <f t="shared" si="5"/>
        <v>62.087760841379165</v>
      </c>
      <c r="R30" s="25">
        <f t="shared" si="6"/>
        <v>5.8787753826796276</v>
      </c>
      <c r="S30" s="19">
        <f>Calculations!$E$338</f>
        <v>299</v>
      </c>
      <c r="T30" s="19">
        <f>Calculations!$J$349</f>
        <v>312</v>
      </c>
      <c r="U30" s="19">
        <f t="shared" si="7"/>
        <v>305.5</v>
      </c>
      <c r="V30" s="20">
        <f>U30*INDEX('Item Master'!$F$2:$F$51,MATCH($A30,'Item Master'!$A$2:$A$51,0))</f>
        <v>183300</v>
      </c>
      <c r="W30" s="21">
        <f t="shared" si="8"/>
        <v>0.94271685761047463</v>
      </c>
      <c r="X30" s="22">
        <f t="shared" si="9"/>
        <v>387.17881944444446</v>
      </c>
      <c r="Y30" s="20">
        <f t="shared" si="10"/>
        <v>172800</v>
      </c>
      <c r="Z30" s="23">
        <f t="shared" si="11"/>
        <v>0.94320954184242567</v>
      </c>
      <c r="AA30" s="19" t="str">
        <f t="shared" si="12"/>
        <v>B</v>
      </c>
      <c r="AB30" s="19" t="str">
        <f t="shared" si="13"/>
        <v>Monthly</v>
      </c>
      <c r="AC30" s="19">
        <f t="shared" si="14"/>
        <v>312</v>
      </c>
      <c r="AD30" s="19" t="str">
        <f t="shared" si="15"/>
        <v>OVERSTOCK</v>
      </c>
    </row>
    <row r="31" spans="1:30" x14ac:dyDescent="0.3">
      <c r="A31" s="19" t="s">
        <v>130</v>
      </c>
      <c r="B31" s="19" t="s">
        <v>131</v>
      </c>
      <c r="C31" s="19" t="s">
        <v>28</v>
      </c>
      <c r="D31" s="19">
        <f>SUM(Sales!$E$350:$E$361)</f>
        <v>335</v>
      </c>
      <c r="E31" s="20">
        <f>D31*INDEX('Item Master'!$F$2:$F$51,MATCH($A31,'Item Master'!$A$2:$A$51,0))</f>
        <v>117250</v>
      </c>
      <c r="F31" s="21">
        <f t="shared" si="0"/>
        <v>0.9178082191780822</v>
      </c>
      <c r="G31" s="19">
        <f>MAX(Sales!$E$350:$E$361)</f>
        <v>44</v>
      </c>
      <c r="H31" s="19">
        <f>AVERAGE(Sales!$E$350:$E$361)</f>
        <v>27.916666666666668</v>
      </c>
      <c r="I31" s="19">
        <f>STDEV(Sales!$E$350:$E$361)</f>
        <v>5.7911897558169105</v>
      </c>
      <c r="J31" s="23">
        <f t="shared" si="1"/>
        <v>0.20744560319344157</v>
      </c>
      <c r="K31" s="19">
        <f>INDEX('Item Master'!$E$2:$E$51,MATCH($A31,'Item Master'!$A$2:$A$51,0))</f>
        <v>5</v>
      </c>
      <c r="L31" s="22">
        <f t="shared" si="2"/>
        <v>2.6805555555555554</v>
      </c>
      <c r="M31" s="22">
        <f t="shared" si="3"/>
        <v>7.2695966514459665</v>
      </c>
      <c r="N31" s="20">
        <f>INDEX('Item Master'!$G$2:$G$51,MATCH($A31,'Item Master'!$A$2:$A$51,0))</f>
        <v>500</v>
      </c>
      <c r="O31" s="24">
        <f>INDEX('Item Master'!$H$2:$H$51,MATCH($A31,'Item Master'!$A$2:$A$51,0))</f>
        <v>70</v>
      </c>
      <c r="P31" s="22">
        <f t="shared" si="4"/>
        <v>69.178857216018571</v>
      </c>
      <c r="Q31" s="25">
        <f t="shared" si="5"/>
        <v>75.373978757751573</v>
      </c>
      <c r="R31" s="25">
        <f t="shared" si="6"/>
        <v>4.8425200051213011</v>
      </c>
      <c r="S31" s="19">
        <f>Calculations!$E$350</f>
        <v>219</v>
      </c>
      <c r="T31" s="19">
        <f>Calculations!$J$361</f>
        <v>243</v>
      </c>
      <c r="U31" s="19">
        <f t="shared" si="7"/>
        <v>231</v>
      </c>
      <c r="V31" s="20">
        <f>U31*INDEX('Item Master'!$F$2:$F$51,MATCH($A31,'Item Master'!$A$2:$A$51,0))</f>
        <v>80850</v>
      </c>
      <c r="W31" s="21">
        <f t="shared" si="8"/>
        <v>1.4502164502164503</v>
      </c>
      <c r="X31" s="22">
        <f t="shared" si="9"/>
        <v>251.68656716417908</v>
      </c>
      <c r="Y31" s="20">
        <f t="shared" si="10"/>
        <v>117250</v>
      </c>
      <c r="Z31" s="23">
        <f t="shared" si="11"/>
        <v>0.98566339264553193</v>
      </c>
      <c r="AA31" s="19" t="str">
        <f t="shared" si="12"/>
        <v>C</v>
      </c>
      <c r="AB31" s="19" t="str">
        <f t="shared" si="13"/>
        <v>Quarterly</v>
      </c>
      <c r="AC31" s="19">
        <f t="shared" si="14"/>
        <v>243</v>
      </c>
      <c r="AD31" s="19" t="str">
        <f t="shared" si="15"/>
        <v>OVERSTOCK</v>
      </c>
    </row>
    <row r="32" spans="1:30" x14ac:dyDescent="0.3">
      <c r="A32" s="19" t="s">
        <v>132</v>
      </c>
      <c r="B32" s="19" t="s">
        <v>133</v>
      </c>
      <c r="C32" s="19" t="s">
        <v>40</v>
      </c>
      <c r="D32" s="19">
        <f>SUM(Sales!$E$362:$E$373)</f>
        <v>350</v>
      </c>
      <c r="E32" s="20">
        <f>D32*INDEX('Item Master'!$F$2:$F$51,MATCH($A32,'Item Master'!$A$2:$A$51,0))</f>
        <v>315000</v>
      </c>
      <c r="F32" s="21">
        <f t="shared" si="0"/>
        <v>0.95890410958904104</v>
      </c>
      <c r="G32" s="19">
        <f>MAX(Sales!$E$362:$E$373)</f>
        <v>43</v>
      </c>
      <c r="H32" s="19">
        <f>AVERAGE(Sales!$E$362:$E$373)</f>
        <v>29.166666666666668</v>
      </c>
      <c r="I32" s="19">
        <f>STDEV(Sales!$E$362:$E$373)</f>
        <v>4.9696045815506933</v>
      </c>
      <c r="J32" s="23">
        <f t="shared" si="1"/>
        <v>0.17038644279602377</v>
      </c>
      <c r="K32" s="19">
        <f>INDEX('Item Master'!$E$2:$E$51,MATCH($A32,'Item Master'!$A$2:$A$51,0))</f>
        <v>10</v>
      </c>
      <c r="L32" s="22">
        <f t="shared" si="2"/>
        <v>4.6111111111111107</v>
      </c>
      <c r="M32" s="22">
        <f t="shared" si="3"/>
        <v>14.200152207001521</v>
      </c>
      <c r="N32" s="20">
        <f>INDEX('Item Master'!$G$2:$G$51,MATCH($A32,'Item Master'!$A$2:$A$51,0))</f>
        <v>500</v>
      </c>
      <c r="O32" s="24">
        <f>INDEX('Item Master'!$H$2:$H$51,MATCH($A32,'Item Master'!$A$2:$A$51,0))</f>
        <v>180</v>
      </c>
      <c r="P32" s="22">
        <f t="shared" si="4"/>
        <v>44.095855184409842</v>
      </c>
      <c r="Q32" s="25">
        <f t="shared" si="5"/>
        <v>45.985677549455978</v>
      </c>
      <c r="R32" s="25">
        <f t="shared" si="6"/>
        <v>7.9372539331937721</v>
      </c>
      <c r="S32" s="19">
        <f>Calculations!$E$362</f>
        <v>270</v>
      </c>
      <c r="T32" s="19">
        <f>Calculations!$J$373</f>
        <v>316</v>
      </c>
      <c r="U32" s="19">
        <f t="shared" si="7"/>
        <v>293</v>
      </c>
      <c r="V32" s="20">
        <f>U32*INDEX('Item Master'!$F$2:$F$51,MATCH($A32,'Item Master'!$A$2:$A$51,0))</f>
        <v>263700</v>
      </c>
      <c r="W32" s="21">
        <f t="shared" si="8"/>
        <v>1.1945392491467577</v>
      </c>
      <c r="X32" s="22">
        <f t="shared" si="9"/>
        <v>305.55714285714288</v>
      </c>
      <c r="Y32" s="20">
        <f t="shared" si="10"/>
        <v>315000</v>
      </c>
      <c r="Z32" s="23">
        <f t="shared" si="11"/>
        <v>0.86247764293404949</v>
      </c>
      <c r="AA32" s="19" t="str">
        <f t="shared" si="12"/>
        <v>B</v>
      </c>
      <c r="AB32" s="19" t="str">
        <f t="shared" si="13"/>
        <v>Monthly</v>
      </c>
      <c r="AC32" s="19">
        <f t="shared" si="14"/>
        <v>316</v>
      </c>
      <c r="AD32" s="19" t="str">
        <f t="shared" si="15"/>
        <v>OVERSTOCK</v>
      </c>
    </row>
    <row r="33" spans="1:30" x14ac:dyDescent="0.3">
      <c r="A33" s="19" t="s">
        <v>134</v>
      </c>
      <c r="B33" s="19" t="s">
        <v>135</v>
      </c>
      <c r="C33" s="19" t="s">
        <v>40</v>
      </c>
      <c r="D33" s="19">
        <f>SUM(Sales!$E$374:$E$385)</f>
        <v>310</v>
      </c>
      <c r="E33" s="20">
        <f>D33*INDEX('Item Master'!$F$2:$F$51,MATCH($A33,'Item Master'!$A$2:$A$51,0))</f>
        <v>155000</v>
      </c>
      <c r="F33" s="21">
        <f t="shared" si="0"/>
        <v>0.84931506849315064</v>
      </c>
      <c r="G33" s="19">
        <f>MAX(Sales!$E$374:$E$385)</f>
        <v>43</v>
      </c>
      <c r="H33" s="19">
        <f>AVERAGE(Sales!$E$374:$E$385)</f>
        <v>25.833333333333332</v>
      </c>
      <c r="I33" s="19">
        <f>STDEV(Sales!$E$374:$E$385)</f>
        <v>5.8749597032789547</v>
      </c>
      <c r="J33" s="23">
        <f t="shared" si="1"/>
        <v>0.22741779496563697</v>
      </c>
      <c r="K33" s="19">
        <f>INDEX('Item Master'!$E$2:$E$51,MATCH($A33,'Item Master'!$A$2:$A$51,0))</f>
        <v>5</v>
      </c>
      <c r="L33" s="22">
        <f t="shared" si="2"/>
        <v>2.8611111111111116</v>
      </c>
      <c r="M33" s="22">
        <f t="shared" si="3"/>
        <v>7.1076864535768651</v>
      </c>
      <c r="N33" s="20">
        <f>INDEX('Item Master'!$G$2:$G$51,MATCH($A33,'Item Master'!$A$2:$A$51,0))</f>
        <v>500</v>
      </c>
      <c r="O33" s="24">
        <f>INDEX('Item Master'!$H$2:$H$51,MATCH($A33,'Item Master'!$A$2:$A$51,0))</f>
        <v>100</v>
      </c>
      <c r="P33" s="22">
        <f t="shared" si="4"/>
        <v>55.677643628300217</v>
      </c>
      <c r="Q33" s="25">
        <f t="shared" si="5"/>
        <v>65.555935239772836</v>
      </c>
      <c r="R33" s="25">
        <f t="shared" si="6"/>
        <v>5.5677643628300224</v>
      </c>
      <c r="S33" s="19">
        <f>Calculations!$E$374</f>
        <v>283</v>
      </c>
      <c r="T33" s="19">
        <f>Calculations!$J$385</f>
        <v>316</v>
      </c>
      <c r="U33" s="19">
        <f t="shared" si="7"/>
        <v>299.5</v>
      </c>
      <c r="V33" s="20">
        <f>U33*INDEX('Item Master'!$F$2:$F$51,MATCH($A33,'Item Master'!$A$2:$A$51,0))</f>
        <v>149750</v>
      </c>
      <c r="W33" s="21">
        <f t="shared" si="8"/>
        <v>1.0350584307178632</v>
      </c>
      <c r="X33" s="22">
        <f t="shared" si="9"/>
        <v>352.63709677419354</v>
      </c>
      <c r="Y33" s="20">
        <f t="shared" si="10"/>
        <v>155000</v>
      </c>
      <c r="Z33" s="23">
        <f t="shared" si="11"/>
        <v>0.96581120648915897</v>
      </c>
      <c r="AA33" s="19" t="str">
        <f t="shared" si="12"/>
        <v>C</v>
      </c>
      <c r="AB33" s="19" t="str">
        <f t="shared" si="13"/>
        <v>Quarterly</v>
      </c>
      <c r="AC33" s="19">
        <f t="shared" si="14"/>
        <v>316</v>
      </c>
      <c r="AD33" s="19" t="str">
        <f t="shared" si="15"/>
        <v>OVERSTOCK</v>
      </c>
    </row>
    <row r="34" spans="1:30" x14ac:dyDescent="0.3">
      <c r="A34" s="19" t="s">
        <v>136</v>
      </c>
      <c r="B34" s="19" t="s">
        <v>137</v>
      </c>
      <c r="C34" s="19" t="s">
        <v>40</v>
      </c>
      <c r="D34" s="19">
        <f>SUM(Sales!$E$386:$E$397)</f>
        <v>396</v>
      </c>
      <c r="E34" s="20">
        <f>D34*INDEX('Item Master'!$F$2:$F$51,MATCH($A34,'Item Master'!$A$2:$A$51,0))</f>
        <v>158400</v>
      </c>
      <c r="F34" s="21">
        <f t="shared" ref="F34:F51" si="16">D34/365</f>
        <v>1.0849315068493151</v>
      </c>
      <c r="G34" s="19">
        <f>MAX(Sales!$E$386:$E$397)</f>
        <v>47</v>
      </c>
      <c r="H34" s="19">
        <f>AVERAGE(Sales!$E$386:$E$397)</f>
        <v>33</v>
      </c>
      <c r="I34" s="19">
        <f>STDEV(Sales!$E$386:$E$397)</f>
        <v>5.0452497910951299</v>
      </c>
      <c r="J34" s="23">
        <f t="shared" ref="J34:J65" si="17">IFERROR(I34/H34,0)</f>
        <v>0.15288635730591302</v>
      </c>
      <c r="K34" s="19">
        <f>INDEX('Item Master'!$E$2:$E$51,MATCH($A34,'Item Master'!$A$2:$A$51,0))</f>
        <v>7</v>
      </c>
      <c r="L34" s="22">
        <f t="shared" ref="L34:L65" si="18">((G34-H34)/30)*K34</f>
        <v>3.2666666666666666</v>
      </c>
      <c r="M34" s="22">
        <f t="shared" ref="M34:M65" si="19">(F34*K34)+L34</f>
        <v>10.861187214611871</v>
      </c>
      <c r="N34" s="20">
        <f>INDEX('Item Master'!$G$2:$G$51,MATCH($A34,'Item Master'!$A$2:$A$51,0))</f>
        <v>500</v>
      </c>
      <c r="O34" s="24">
        <f>INDEX('Item Master'!$H$2:$H$51,MATCH($A34,'Item Master'!$A$2:$A$51,0))</f>
        <v>80</v>
      </c>
      <c r="P34" s="22">
        <f t="shared" ref="P34:P65" si="20">IFERROR(SQRT((2*D34*N34)/O34),0)</f>
        <v>70.356236397351438</v>
      </c>
      <c r="Q34" s="25">
        <f t="shared" ref="Q34:Q65" si="21">IFERROR(P34/F34,0)</f>
        <v>64.848551224831496</v>
      </c>
      <c r="R34" s="25">
        <f t="shared" ref="R34:R51" si="22">IFERROR(D34/P34,0)</f>
        <v>5.6284989117881157</v>
      </c>
      <c r="S34" s="19">
        <f>Calculations!$E$386</f>
        <v>396</v>
      </c>
      <c r="T34" s="19">
        <f>Calculations!$J$397</f>
        <v>432</v>
      </c>
      <c r="U34" s="19">
        <f t="shared" ref="U34:U65" si="23">(S34+T34)/2</f>
        <v>414</v>
      </c>
      <c r="V34" s="20">
        <f>U34*INDEX('Item Master'!$F$2:$F$51,MATCH($A34,'Item Master'!$A$2:$A$51,0))</f>
        <v>165600</v>
      </c>
      <c r="W34" s="21">
        <f t="shared" ref="W34:W65" si="24">IFERROR(E34/V34,0)</f>
        <v>0.95652173913043481</v>
      </c>
      <c r="X34" s="22">
        <f t="shared" ref="X34:X65" si="25">IFERROR(365/W34,0)</f>
        <v>381.59090909090907</v>
      </c>
      <c r="Y34" s="20">
        <f t="shared" ref="Y34:Y51" si="26">E34</f>
        <v>158400</v>
      </c>
      <c r="Z34" s="23">
        <f t="shared" ref="Z34:Z65" si="27">SUMIF($Y$2:$Y$51,"&gt;="&amp;Y34,$Y$2:$Y$51)/SUM($Y$2:$Y$51)</f>
        <v>0.95235727515619495</v>
      </c>
      <c r="AA34" s="19" t="str">
        <f t="shared" ref="AA34:AA65" si="28">IF(Z34&lt;=0.8,"A",IF(Z34&lt;=0.95,"B","C"))</f>
        <v>C</v>
      </c>
      <c r="AB34" s="19" t="str">
        <f t="shared" ref="AB34:AB65" si="29">IF(AA34="A","Weekly",IF(AA34="B","Monthly","Quarterly"))</f>
        <v>Quarterly</v>
      </c>
      <c r="AC34" s="19">
        <f t="shared" ref="AC34:AC51" si="30">T34</f>
        <v>432</v>
      </c>
      <c r="AD34" s="19" t="str">
        <f t="shared" ref="AD34:AD65" si="31">IF(AC34&lt;=M34,"REORDER NOW",IF(IFERROR(AC34/F34,0)&gt;150,"OVERSTOCK","HEALTHY"))</f>
        <v>OVERSTOCK</v>
      </c>
    </row>
    <row r="35" spans="1:30" x14ac:dyDescent="0.3">
      <c r="A35" s="19" t="s">
        <v>138</v>
      </c>
      <c r="B35" s="19" t="s">
        <v>139</v>
      </c>
      <c r="C35" s="19" t="s">
        <v>40</v>
      </c>
      <c r="D35" s="19">
        <f>SUM(Sales!$E$398:$E$409)</f>
        <v>300</v>
      </c>
      <c r="E35" s="20">
        <f>D35*INDEX('Item Master'!$F$2:$F$51,MATCH($A35,'Item Master'!$A$2:$A$51,0))</f>
        <v>240000</v>
      </c>
      <c r="F35" s="21">
        <f t="shared" si="16"/>
        <v>0.82191780821917804</v>
      </c>
      <c r="G35" s="19">
        <f>MAX(Sales!$E$398:$E$409)</f>
        <v>41</v>
      </c>
      <c r="H35" s="19">
        <f>AVERAGE(Sales!$E$398:$E$409)</f>
        <v>25</v>
      </c>
      <c r="I35" s="19">
        <f>STDEV(Sales!$E$398:$E$409)</f>
        <v>5.2915026221291814</v>
      </c>
      <c r="J35" s="23">
        <f t="shared" si="17"/>
        <v>0.21166010488516726</v>
      </c>
      <c r="K35" s="19">
        <f>INDEX('Item Master'!$E$2:$E$51,MATCH($A35,'Item Master'!$A$2:$A$51,0))</f>
        <v>5</v>
      </c>
      <c r="L35" s="22">
        <f t="shared" si="18"/>
        <v>2.6666666666666665</v>
      </c>
      <c r="M35" s="22">
        <f t="shared" si="19"/>
        <v>6.7762557077625569</v>
      </c>
      <c r="N35" s="20">
        <f>INDEX('Item Master'!$G$2:$G$51,MATCH($A35,'Item Master'!$A$2:$A$51,0))</f>
        <v>500</v>
      </c>
      <c r="O35" s="24">
        <f>INDEX('Item Master'!$H$2:$H$51,MATCH($A35,'Item Master'!$A$2:$A$51,0))</f>
        <v>160</v>
      </c>
      <c r="P35" s="22">
        <f t="shared" si="20"/>
        <v>43.301270189221931</v>
      </c>
      <c r="Q35" s="25">
        <f t="shared" si="21"/>
        <v>52.683212063553356</v>
      </c>
      <c r="R35" s="25">
        <f t="shared" si="22"/>
        <v>6.9282032302755097</v>
      </c>
      <c r="S35" s="19">
        <f>Calculations!$E$398</f>
        <v>333</v>
      </c>
      <c r="T35" s="19">
        <f>Calculations!$J$409</f>
        <v>362</v>
      </c>
      <c r="U35" s="19">
        <f t="shared" si="23"/>
        <v>347.5</v>
      </c>
      <c r="V35" s="20">
        <f>U35*INDEX('Item Master'!$F$2:$F$51,MATCH($A35,'Item Master'!$A$2:$A$51,0))</f>
        <v>278000</v>
      </c>
      <c r="W35" s="21">
        <f t="shared" si="24"/>
        <v>0.86330935251798557</v>
      </c>
      <c r="X35" s="22">
        <f t="shared" si="25"/>
        <v>422.79166666666669</v>
      </c>
      <c r="Y35" s="20">
        <f t="shared" si="26"/>
        <v>240000</v>
      </c>
      <c r="Z35" s="23">
        <f t="shared" si="27"/>
        <v>0.89386565957535835</v>
      </c>
      <c r="AA35" s="19" t="str">
        <f t="shared" si="28"/>
        <v>B</v>
      </c>
      <c r="AB35" s="19" t="str">
        <f t="shared" si="29"/>
        <v>Monthly</v>
      </c>
      <c r="AC35" s="19">
        <f t="shared" si="30"/>
        <v>362</v>
      </c>
      <c r="AD35" s="19" t="str">
        <f t="shared" si="31"/>
        <v>OVERSTOCK</v>
      </c>
    </row>
    <row r="36" spans="1:30" x14ac:dyDescent="0.3">
      <c r="A36" s="19" t="s">
        <v>140</v>
      </c>
      <c r="B36" s="19" t="s">
        <v>141</v>
      </c>
      <c r="C36" s="19" t="s">
        <v>40</v>
      </c>
      <c r="D36" s="19">
        <f>SUM(Sales!$E$410:$E$421)</f>
        <v>80</v>
      </c>
      <c r="E36" s="20">
        <f>D36*INDEX('Item Master'!$F$2:$F$51,MATCH($A36,'Item Master'!$A$2:$A$51,0))</f>
        <v>112000</v>
      </c>
      <c r="F36" s="21">
        <f t="shared" si="16"/>
        <v>0.21917808219178081</v>
      </c>
      <c r="G36" s="19">
        <f>MAX(Sales!$E$410:$E$421)</f>
        <v>11</v>
      </c>
      <c r="H36" s="19">
        <f>AVERAGE(Sales!$E$410:$E$421)</f>
        <v>6.666666666666667</v>
      </c>
      <c r="I36" s="19">
        <f>STDEV(Sales!$E$410:$E$421)</f>
        <v>1.4354811251305455</v>
      </c>
      <c r="J36" s="23">
        <f t="shared" si="17"/>
        <v>0.21532216876958182</v>
      </c>
      <c r="K36" s="19">
        <f>INDEX('Item Master'!$E$2:$E$51,MATCH($A36,'Item Master'!$A$2:$A$51,0))</f>
        <v>10</v>
      </c>
      <c r="L36" s="22">
        <f t="shared" si="18"/>
        <v>1.4444444444444442</v>
      </c>
      <c r="M36" s="22">
        <f t="shared" si="19"/>
        <v>3.6362252663622523</v>
      </c>
      <c r="N36" s="20">
        <f>INDEX('Item Master'!$G$2:$G$51,MATCH($A36,'Item Master'!$A$2:$A$51,0))</f>
        <v>500</v>
      </c>
      <c r="O36" s="24">
        <f>INDEX('Item Master'!$H$2:$H$51,MATCH($A36,'Item Master'!$A$2:$A$51,0))</f>
        <v>280</v>
      </c>
      <c r="P36" s="22">
        <f t="shared" si="20"/>
        <v>16.903085094570333</v>
      </c>
      <c r="Q36" s="25">
        <f t="shared" si="21"/>
        <v>77.120325743977148</v>
      </c>
      <c r="R36" s="25">
        <f t="shared" si="22"/>
        <v>4.7328638264796927</v>
      </c>
      <c r="S36" s="19">
        <f>Calculations!$E$410</f>
        <v>268</v>
      </c>
      <c r="T36" s="19">
        <f>Calculations!$J$421</f>
        <v>278</v>
      </c>
      <c r="U36" s="19">
        <f t="shared" si="23"/>
        <v>273</v>
      </c>
      <c r="V36" s="20">
        <f>U36*INDEX('Item Master'!$F$2:$F$51,MATCH($A36,'Item Master'!$A$2:$A$51,0))</f>
        <v>382200</v>
      </c>
      <c r="W36" s="21">
        <f t="shared" si="24"/>
        <v>0.29304029304029305</v>
      </c>
      <c r="X36" s="22">
        <f t="shared" si="25"/>
        <v>1245.5625</v>
      </c>
      <c r="Y36" s="20">
        <f t="shared" si="26"/>
        <v>112000</v>
      </c>
      <c r="Z36" s="23">
        <f t="shared" si="27"/>
        <v>0.98887312363281943</v>
      </c>
      <c r="AA36" s="19" t="str">
        <f t="shared" si="28"/>
        <v>C</v>
      </c>
      <c r="AB36" s="19" t="str">
        <f t="shared" si="29"/>
        <v>Quarterly</v>
      </c>
      <c r="AC36" s="19">
        <f t="shared" si="30"/>
        <v>278</v>
      </c>
      <c r="AD36" s="19" t="str">
        <f t="shared" si="31"/>
        <v>OVERSTOCK</v>
      </c>
    </row>
    <row r="37" spans="1:30" x14ac:dyDescent="0.3">
      <c r="A37" s="19" t="s">
        <v>142</v>
      </c>
      <c r="B37" s="19" t="s">
        <v>143</v>
      </c>
      <c r="C37" s="19" t="s">
        <v>48</v>
      </c>
      <c r="D37" s="19">
        <f>SUM(Sales!$E$422:$E$433)</f>
        <v>213</v>
      </c>
      <c r="E37" s="20">
        <f>D37*INDEX('Item Master'!$F$2:$F$51,MATCH($A37,'Item Master'!$A$2:$A$51,0))</f>
        <v>42600</v>
      </c>
      <c r="F37" s="21">
        <f t="shared" si="16"/>
        <v>0.58356164383561648</v>
      </c>
      <c r="G37" s="19">
        <f>MAX(Sales!$E$422:$E$433)</f>
        <v>25</v>
      </c>
      <c r="H37" s="19">
        <f>AVERAGE(Sales!$E$422:$E$433)</f>
        <v>17.75</v>
      </c>
      <c r="I37" s="19">
        <f>STDEV(Sales!$E$422:$E$433)</f>
        <v>2.6328346286499236</v>
      </c>
      <c r="J37" s="23">
        <f t="shared" si="17"/>
        <v>0.14832871147323512</v>
      </c>
      <c r="K37" s="19">
        <f>INDEX('Item Master'!$E$2:$E$51,MATCH($A37,'Item Master'!$A$2:$A$51,0))</f>
        <v>10</v>
      </c>
      <c r="L37" s="22">
        <f t="shared" si="18"/>
        <v>2.4166666666666665</v>
      </c>
      <c r="M37" s="22">
        <f t="shared" si="19"/>
        <v>8.2522831050228316</v>
      </c>
      <c r="N37" s="20">
        <f>INDEX('Item Master'!$G$2:$G$51,MATCH($A37,'Item Master'!$A$2:$A$51,0))</f>
        <v>500</v>
      </c>
      <c r="O37" s="24">
        <f>INDEX('Item Master'!$H$2:$H$51,MATCH($A37,'Item Master'!$A$2:$A$51,0))</f>
        <v>40</v>
      </c>
      <c r="P37" s="22">
        <f t="shared" si="20"/>
        <v>72.972597596632127</v>
      </c>
      <c r="Q37" s="25">
        <f t="shared" si="21"/>
        <v>125.04693954352453</v>
      </c>
      <c r="R37" s="25">
        <f t="shared" si="22"/>
        <v>2.9189039038652846</v>
      </c>
      <c r="S37" s="19">
        <f>Calculations!$E$422</f>
        <v>206</v>
      </c>
      <c r="T37" s="19">
        <f>Calculations!$J$433</f>
        <v>228</v>
      </c>
      <c r="U37" s="19">
        <f t="shared" si="23"/>
        <v>217</v>
      </c>
      <c r="V37" s="20">
        <f>U37*INDEX('Item Master'!$F$2:$F$51,MATCH($A37,'Item Master'!$A$2:$A$51,0))</f>
        <v>43400</v>
      </c>
      <c r="W37" s="21">
        <f t="shared" si="24"/>
        <v>0.98156682027649766</v>
      </c>
      <c r="X37" s="22">
        <f t="shared" si="25"/>
        <v>371.85446009389671</v>
      </c>
      <c r="Y37" s="20">
        <f t="shared" si="26"/>
        <v>42600</v>
      </c>
      <c r="Z37" s="23">
        <f t="shared" si="27"/>
        <v>0.99691521925471771</v>
      </c>
      <c r="AA37" s="19" t="str">
        <f t="shared" si="28"/>
        <v>C</v>
      </c>
      <c r="AB37" s="19" t="str">
        <f t="shared" si="29"/>
        <v>Quarterly</v>
      </c>
      <c r="AC37" s="19">
        <f t="shared" si="30"/>
        <v>228</v>
      </c>
      <c r="AD37" s="19" t="str">
        <f t="shared" si="31"/>
        <v>OVERSTOCK</v>
      </c>
    </row>
    <row r="38" spans="1:30" x14ac:dyDescent="0.3">
      <c r="A38" s="19" t="s">
        <v>144</v>
      </c>
      <c r="B38" s="19" t="s">
        <v>145</v>
      </c>
      <c r="C38" s="19" t="s">
        <v>48</v>
      </c>
      <c r="D38" s="19">
        <f>SUM(Sales!$E$434:$E$445)</f>
        <v>464</v>
      </c>
      <c r="E38" s="20">
        <f>D38*INDEX('Item Master'!$F$2:$F$51,MATCH($A38,'Item Master'!$A$2:$A$51,0))</f>
        <v>232000</v>
      </c>
      <c r="F38" s="21">
        <f t="shared" si="16"/>
        <v>1.2712328767123289</v>
      </c>
      <c r="G38" s="19">
        <f>MAX(Sales!$E$434:$E$445)</f>
        <v>58</v>
      </c>
      <c r="H38" s="19">
        <f>AVERAGE(Sales!$E$434:$E$445)</f>
        <v>38.666666666666664</v>
      </c>
      <c r="I38" s="19">
        <f>STDEV(Sales!$E$434:$E$445)</f>
        <v>6.4713822232030145</v>
      </c>
      <c r="J38" s="23">
        <f t="shared" si="17"/>
        <v>0.16736333335869866</v>
      </c>
      <c r="K38" s="19">
        <f>INDEX('Item Master'!$E$2:$E$51,MATCH($A38,'Item Master'!$A$2:$A$51,0))</f>
        <v>10</v>
      </c>
      <c r="L38" s="22">
        <f t="shared" si="18"/>
        <v>6.4444444444444446</v>
      </c>
      <c r="M38" s="22">
        <f t="shared" si="19"/>
        <v>19.156773211567732</v>
      </c>
      <c r="N38" s="20">
        <f>INDEX('Item Master'!$G$2:$G$51,MATCH($A38,'Item Master'!$A$2:$A$51,0))</f>
        <v>500</v>
      </c>
      <c r="O38" s="24">
        <f>INDEX('Item Master'!$H$2:$H$51,MATCH($A38,'Item Master'!$A$2:$A$51,0))</f>
        <v>100</v>
      </c>
      <c r="P38" s="22">
        <f t="shared" si="20"/>
        <v>68.117545463705611</v>
      </c>
      <c r="Q38" s="25">
        <f t="shared" si="21"/>
        <v>53.583845030716695</v>
      </c>
      <c r="R38" s="25">
        <f t="shared" si="22"/>
        <v>6.81175454637056</v>
      </c>
      <c r="S38" s="19">
        <f>Calculations!$E$434</f>
        <v>182</v>
      </c>
      <c r="T38" s="19">
        <f>Calculations!$J$445</f>
        <v>230</v>
      </c>
      <c r="U38" s="19">
        <f t="shared" si="23"/>
        <v>206</v>
      </c>
      <c r="V38" s="20">
        <f>U38*INDEX('Item Master'!$F$2:$F$51,MATCH($A38,'Item Master'!$A$2:$A$51,0))</f>
        <v>103000</v>
      </c>
      <c r="W38" s="21">
        <f t="shared" si="24"/>
        <v>2.2524271844660193</v>
      </c>
      <c r="X38" s="22">
        <f t="shared" si="25"/>
        <v>162.04741379310346</v>
      </c>
      <c r="Y38" s="20">
        <f t="shared" si="26"/>
        <v>232000</v>
      </c>
      <c r="Z38" s="23">
        <f t="shared" si="27"/>
        <v>0.91396086822076872</v>
      </c>
      <c r="AA38" s="19" t="str">
        <f t="shared" si="28"/>
        <v>B</v>
      </c>
      <c r="AB38" s="19" t="str">
        <f t="shared" si="29"/>
        <v>Monthly</v>
      </c>
      <c r="AC38" s="19">
        <f t="shared" si="30"/>
        <v>230</v>
      </c>
      <c r="AD38" s="19" t="str">
        <f t="shared" si="31"/>
        <v>OVERSTOCK</v>
      </c>
    </row>
    <row r="39" spans="1:30" x14ac:dyDescent="0.3">
      <c r="A39" s="19" t="s">
        <v>146</v>
      </c>
      <c r="B39" s="19" t="s">
        <v>147</v>
      </c>
      <c r="C39" s="19" t="s">
        <v>48</v>
      </c>
      <c r="D39" s="19">
        <f>SUM(Sales!$E$446:$E$457)</f>
        <v>148</v>
      </c>
      <c r="E39" s="20">
        <f>D39*INDEX('Item Master'!$F$2:$F$51,MATCH($A39,'Item Master'!$A$2:$A$51,0))</f>
        <v>13320</v>
      </c>
      <c r="F39" s="21">
        <f t="shared" si="16"/>
        <v>0.40547945205479452</v>
      </c>
      <c r="G39" s="19">
        <f>MAX(Sales!$E$446:$E$457)</f>
        <v>19</v>
      </c>
      <c r="H39" s="19">
        <f>AVERAGE(Sales!$E$446:$E$457)</f>
        <v>12.333333333333334</v>
      </c>
      <c r="I39" s="19">
        <f>STDEV(Sales!$E$446:$E$457)</f>
        <v>2.3484359721209183</v>
      </c>
      <c r="J39" s="23">
        <f t="shared" si="17"/>
        <v>0.19041372746926363</v>
      </c>
      <c r="K39" s="19">
        <f>INDEX('Item Master'!$E$2:$E$51,MATCH($A39,'Item Master'!$A$2:$A$51,0))</f>
        <v>10</v>
      </c>
      <c r="L39" s="22">
        <f t="shared" si="18"/>
        <v>2.2222222222222223</v>
      </c>
      <c r="M39" s="22">
        <f t="shared" si="19"/>
        <v>6.2770167427701677</v>
      </c>
      <c r="N39" s="20">
        <f>INDEX('Item Master'!$G$2:$G$51,MATCH($A39,'Item Master'!$A$2:$A$51,0))</f>
        <v>500</v>
      </c>
      <c r="O39" s="24">
        <f>INDEX('Item Master'!$H$2:$H$51,MATCH($A39,'Item Master'!$A$2:$A$51,0))</f>
        <v>18</v>
      </c>
      <c r="P39" s="22">
        <f t="shared" si="20"/>
        <v>90.676470058236291</v>
      </c>
      <c r="Q39" s="25">
        <f t="shared" si="21"/>
        <v>223.62778088686653</v>
      </c>
      <c r="R39" s="25">
        <f t="shared" si="22"/>
        <v>1.6321764610482532</v>
      </c>
      <c r="S39" s="19">
        <f>Calculations!$E$446</f>
        <v>174</v>
      </c>
      <c r="T39" s="19">
        <f>Calculations!$J$457</f>
        <v>199</v>
      </c>
      <c r="U39" s="19">
        <f t="shared" si="23"/>
        <v>186.5</v>
      </c>
      <c r="V39" s="20">
        <f>U39*INDEX('Item Master'!$F$2:$F$51,MATCH($A39,'Item Master'!$A$2:$A$51,0))</f>
        <v>16785</v>
      </c>
      <c r="W39" s="21">
        <f t="shared" si="24"/>
        <v>0.79356568364611257</v>
      </c>
      <c r="X39" s="22">
        <f t="shared" si="25"/>
        <v>459.94932432432432</v>
      </c>
      <c r="Y39" s="20">
        <f t="shared" si="26"/>
        <v>13320</v>
      </c>
      <c r="Z39" s="23">
        <f t="shared" si="27"/>
        <v>1</v>
      </c>
      <c r="AA39" s="19" t="str">
        <f t="shared" si="28"/>
        <v>C</v>
      </c>
      <c r="AB39" s="19" t="str">
        <f t="shared" si="29"/>
        <v>Quarterly</v>
      </c>
      <c r="AC39" s="19">
        <f t="shared" si="30"/>
        <v>199</v>
      </c>
      <c r="AD39" s="19" t="str">
        <f t="shared" si="31"/>
        <v>OVERSTOCK</v>
      </c>
    </row>
    <row r="40" spans="1:30" x14ac:dyDescent="0.3">
      <c r="A40" s="19" t="s">
        <v>148</v>
      </c>
      <c r="B40" s="19" t="s">
        <v>149</v>
      </c>
      <c r="C40" s="19" t="s">
        <v>50</v>
      </c>
      <c r="D40" s="19">
        <f>SUM(Sales!$E$458:$E$469)</f>
        <v>317</v>
      </c>
      <c r="E40" s="20">
        <f>D40*INDEX('Item Master'!$F$2:$F$51,MATCH($A40,'Item Master'!$A$2:$A$51,0))</f>
        <v>380400</v>
      </c>
      <c r="F40" s="21">
        <f t="shared" si="16"/>
        <v>0.86849315068493149</v>
      </c>
      <c r="G40" s="19">
        <f>MAX(Sales!$E$458:$E$469)</f>
        <v>35</v>
      </c>
      <c r="H40" s="19">
        <f>AVERAGE(Sales!$E$458:$E$469)</f>
        <v>26.416666666666668</v>
      </c>
      <c r="I40" s="19">
        <f>STDEV(Sales!$E$458:$E$469)</f>
        <v>3.8009169547583701</v>
      </c>
      <c r="J40" s="23">
        <f t="shared" si="17"/>
        <v>0.14388329166277741</v>
      </c>
      <c r="K40" s="19">
        <f>INDEX('Item Master'!$E$2:$E$51,MATCH($A40,'Item Master'!$A$2:$A$51,0))</f>
        <v>7</v>
      </c>
      <c r="L40" s="22">
        <f t="shared" si="18"/>
        <v>2.0027777777777778</v>
      </c>
      <c r="M40" s="22">
        <f t="shared" si="19"/>
        <v>8.082229832572299</v>
      </c>
      <c r="N40" s="20">
        <f>INDEX('Item Master'!$G$2:$G$51,MATCH($A40,'Item Master'!$A$2:$A$51,0))</f>
        <v>500</v>
      </c>
      <c r="O40" s="24">
        <f>INDEX('Item Master'!$H$2:$H$51,MATCH($A40,'Item Master'!$A$2:$A$51,0))</f>
        <v>240</v>
      </c>
      <c r="P40" s="22">
        <f t="shared" si="20"/>
        <v>36.343270812260876</v>
      </c>
      <c r="Q40" s="25">
        <f t="shared" si="21"/>
        <v>41.846352827997542</v>
      </c>
      <c r="R40" s="25">
        <f t="shared" si="22"/>
        <v>8.72238499494261</v>
      </c>
      <c r="S40" s="19">
        <f>Calculations!$E$458</f>
        <v>346</v>
      </c>
      <c r="T40" s="19">
        <f>Calculations!$J$469</f>
        <v>376</v>
      </c>
      <c r="U40" s="19">
        <f t="shared" si="23"/>
        <v>361</v>
      </c>
      <c r="V40" s="20">
        <f>U40*INDEX('Item Master'!$F$2:$F$51,MATCH($A40,'Item Master'!$A$2:$A$51,0))</f>
        <v>433200</v>
      </c>
      <c r="W40" s="21">
        <f t="shared" si="24"/>
        <v>0.87811634349030476</v>
      </c>
      <c r="X40" s="22">
        <f t="shared" si="25"/>
        <v>415.6624605678233</v>
      </c>
      <c r="Y40" s="20">
        <f t="shared" si="26"/>
        <v>380400</v>
      </c>
      <c r="Z40" s="23">
        <f t="shared" si="27"/>
        <v>0.80209744456694276</v>
      </c>
      <c r="AA40" s="19" t="str">
        <f t="shared" si="28"/>
        <v>B</v>
      </c>
      <c r="AB40" s="19" t="str">
        <f t="shared" si="29"/>
        <v>Monthly</v>
      </c>
      <c r="AC40" s="19">
        <f t="shared" si="30"/>
        <v>376</v>
      </c>
      <c r="AD40" s="19" t="str">
        <f t="shared" si="31"/>
        <v>OVERSTOCK</v>
      </c>
    </row>
    <row r="41" spans="1:30" x14ac:dyDescent="0.3">
      <c r="A41" s="19" t="s">
        <v>150</v>
      </c>
      <c r="B41" s="19" t="s">
        <v>151</v>
      </c>
      <c r="C41" s="19" t="s">
        <v>50</v>
      </c>
      <c r="D41" s="19">
        <f>SUM(Sales!$E$470:$E$481)</f>
        <v>434</v>
      </c>
      <c r="E41" s="20">
        <f>D41*INDEX('Item Master'!$F$2:$F$51,MATCH($A41,'Item Master'!$A$2:$A$51,0))</f>
        <v>1215200</v>
      </c>
      <c r="F41" s="21">
        <f t="shared" si="16"/>
        <v>1.189041095890411</v>
      </c>
      <c r="G41" s="19">
        <f>MAX(Sales!$E$470:$E$481)</f>
        <v>55</v>
      </c>
      <c r="H41" s="19">
        <f>AVERAGE(Sales!$E$470:$E$481)</f>
        <v>36.166666666666664</v>
      </c>
      <c r="I41" s="19">
        <f>STDEV(Sales!$E$470:$E$481)</f>
        <v>7.0043276665648646</v>
      </c>
      <c r="J41" s="23">
        <f t="shared" si="17"/>
        <v>0.19366804608013452</v>
      </c>
      <c r="K41" s="19">
        <f>INDEX('Item Master'!$E$2:$E$51,MATCH($A41,'Item Master'!$A$2:$A$51,0))</f>
        <v>3</v>
      </c>
      <c r="L41" s="22">
        <f t="shared" si="18"/>
        <v>1.8833333333333337</v>
      </c>
      <c r="M41" s="22">
        <f t="shared" si="19"/>
        <v>5.4504566210045668</v>
      </c>
      <c r="N41" s="20">
        <f>INDEX('Item Master'!$G$2:$G$51,MATCH($A41,'Item Master'!$A$2:$A$51,0))</f>
        <v>500</v>
      </c>
      <c r="O41" s="24">
        <f>INDEX('Item Master'!$H$2:$H$51,MATCH($A41,'Item Master'!$A$2:$A$51,0))</f>
        <v>560</v>
      </c>
      <c r="P41" s="22">
        <f t="shared" si="20"/>
        <v>27.838821814150108</v>
      </c>
      <c r="Q41" s="25">
        <f t="shared" si="21"/>
        <v>23.412834014204584</v>
      </c>
      <c r="R41" s="25">
        <f t="shared" si="22"/>
        <v>15.589740215924062</v>
      </c>
      <c r="S41" s="19">
        <f>Calculations!$E$470</f>
        <v>358</v>
      </c>
      <c r="T41" s="19">
        <f>Calculations!$J$481</f>
        <v>386</v>
      </c>
      <c r="U41" s="19">
        <f t="shared" si="23"/>
        <v>372</v>
      </c>
      <c r="V41" s="20">
        <f>U41*INDEX('Item Master'!$F$2:$F$51,MATCH($A41,'Item Master'!$A$2:$A$51,0))</f>
        <v>1041600</v>
      </c>
      <c r="W41" s="21">
        <f t="shared" si="24"/>
        <v>1.1666666666666667</v>
      </c>
      <c r="X41" s="22">
        <f t="shared" si="25"/>
        <v>312.85714285714283</v>
      </c>
      <c r="Y41" s="20">
        <f t="shared" si="26"/>
        <v>1215200</v>
      </c>
      <c r="Z41" s="23">
        <f t="shared" si="27"/>
        <v>0.71020456589964609</v>
      </c>
      <c r="AA41" s="19" t="str">
        <f t="shared" si="28"/>
        <v>A</v>
      </c>
      <c r="AB41" s="19" t="str">
        <f t="shared" si="29"/>
        <v>Weekly</v>
      </c>
      <c r="AC41" s="19">
        <f t="shared" si="30"/>
        <v>386</v>
      </c>
      <c r="AD41" s="19" t="str">
        <f t="shared" si="31"/>
        <v>OVERSTOCK</v>
      </c>
    </row>
    <row r="42" spans="1:30" x14ac:dyDescent="0.3">
      <c r="A42" s="19" t="s">
        <v>152</v>
      </c>
      <c r="B42" s="19" t="s">
        <v>153</v>
      </c>
      <c r="C42" s="19" t="s">
        <v>46</v>
      </c>
      <c r="D42" s="19">
        <f>SUM(Sales!$E$482:$E$493)</f>
        <v>483</v>
      </c>
      <c r="E42" s="20">
        <f>D42*INDEX('Item Master'!$F$2:$F$51,MATCH($A42,'Item Master'!$A$2:$A$51,0))</f>
        <v>217350</v>
      </c>
      <c r="F42" s="21">
        <f t="shared" si="16"/>
        <v>1.3232876712328767</v>
      </c>
      <c r="G42" s="19">
        <f>MAX(Sales!$E$482:$E$493)</f>
        <v>55</v>
      </c>
      <c r="H42" s="19">
        <f>AVERAGE(Sales!$E$482:$E$493)</f>
        <v>40.25</v>
      </c>
      <c r="I42" s="19">
        <f>STDEV(Sales!$E$482:$E$493)</f>
        <v>6.1070004540244263</v>
      </c>
      <c r="J42" s="23">
        <f t="shared" si="17"/>
        <v>0.15172671935464413</v>
      </c>
      <c r="K42" s="19">
        <f>INDEX('Item Master'!$E$2:$E$51,MATCH($A42,'Item Master'!$A$2:$A$51,0))</f>
        <v>10</v>
      </c>
      <c r="L42" s="22">
        <f t="shared" si="18"/>
        <v>4.9166666666666661</v>
      </c>
      <c r="M42" s="22">
        <f t="shared" si="19"/>
        <v>18.149543378995432</v>
      </c>
      <c r="N42" s="20">
        <f>INDEX('Item Master'!$G$2:$G$51,MATCH($A42,'Item Master'!$A$2:$A$51,0))</f>
        <v>500</v>
      </c>
      <c r="O42" s="24">
        <f>INDEX('Item Master'!$H$2:$H$51,MATCH($A42,'Item Master'!$A$2:$A$51,0))</f>
        <v>90</v>
      </c>
      <c r="P42" s="22">
        <f t="shared" si="20"/>
        <v>73.257536586119699</v>
      </c>
      <c r="Q42" s="25">
        <f t="shared" si="21"/>
        <v>55.360250215183626</v>
      </c>
      <c r="R42" s="25">
        <f t="shared" si="22"/>
        <v>6.5931782927507738</v>
      </c>
      <c r="S42" s="19">
        <f>Calculations!$E$482</f>
        <v>243</v>
      </c>
      <c r="T42" s="19">
        <f>Calculations!$J$493</f>
        <v>292</v>
      </c>
      <c r="U42" s="19">
        <f t="shared" si="23"/>
        <v>267.5</v>
      </c>
      <c r="V42" s="20">
        <f>U42*INDEX('Item Master'!$F$2:$F$51,MATCH($A42,'Item Master'!$A$2:$A$51,0))</f>
        <v>120375</v>
      </c>
      <c r="W42" s="21">
        <f t="shared" si="24"/>
        <v>1.8056074766355139</v>
      </c>
      <c r="X42" s="22">
        <f t="shared" si="25"/>
        <v>202.148033126294</v>
      </c>
      <c r="Y42" s="20">
        <f t="shared" si="26"/>
        <v>217350</v>
      </c>
      <c r="Z42" s="23">
        <f t="shared" si="27"/>
        <v>0.92018975241797352</v>
      </c>
      <c r="AA42" s="19" t="str">
        <f t="shared" si="28"/>
        <v>B</v>
      </c>
      <c r="AB42" s="19" t="str">
        <f t="shared" si="29"/>
        <v>Monthly</v>
      </c>
      <c r="AC42" s="19">
        <f t="shared" si="30"/>
        <v>292</v>
      </c>
      <c r="AD42" s="19" t="str">
        <f t="shared" si="31"/>
        <v>OVERSTOCK</v>
      </c>
    </row>
    <row r="43" spans="1:30" x14ac:dyDescent="0.3">
      <c r="A43" s="19" t="s">
        <v>154</v>
      </c>
      <c r="B43" s="19" t="s">
        <v>155</v>
      </c>
      <c r="C43" s="19" t="s">
        <v>46</v>
      </c>
      <c r="D43" s="19">
        <f>SUM(Sales!$E$494:$E$505)</f>
        <v>311</v>
      </c>
      <c r="E43" s="20">
        <f>D43*INDEX('Item Master'!$F$2:$F$51,MATCH($A43,'Item Master'!$A$2:$A$51,0))</f>
        <v>233250</v>
      </c>
      <c r="F43" s="21">
        <f t="shared" si="16"/>
        <v>0.852054794520548</v>
      </c>
      <c r="G43" s="19">
        <f>MAX(Sales!$E$494:$E$505)</f>
        <v>44</v>
      </c>
      <c r="H43" s="19">
        <f>AVERAGE(Sales!$E$494:$E$505)</f>
        <v>25.916666666666668</v>
      </c>
      <c r="I43" s="19">
        <f>STDEV(Sales!$E$494:$E$505)</f>
        <v>6.1564206444585299</v>
      </c>
      <c r="J43" s="23">
        <f t="shared" si="17"/>
        <v>0.23754677727814263</v>
      </c>
      <c r="K43" s="19">
        <f>INDEX('Item Master'!$E$2:$E$51,MATCH($A43,'Item Master'!$A$2:$A$51,0))</f>
        <v>3</v>
      </c>
      <c r="L43" s="22">
        <f t="shared" si="18"/>
        <v>1.8083333333333331</v>
      </c>
      <c r="M43" s="22">
        <f t="shared" si="19"/>
        <v>4.3644977168949772</v>
      </c>
      <c r="N43" s="20">
        <f>INDEX('Item Master'!$G$2:$G$51,MATCH($A43,'Item Master'!$A$2:$A$51,0))</f>
        <v>500</v>
      </c>
      <c r="O43" s="24">
        <f>INDEX('Item Master'!$H$2:$H$51,MATCH($A43,'Item Master'!$A$2:$A$51,0))</f>
        <v>150</v>
      </c>
      <c r="P43" s="22">
        <f t="shared" si="20"/>
        <v>45.53387017741116</v>
      </c>
      <c r="Q43" s="25">
        <f t="shared" si="21"/>
        <v>53.440072716254249</v>
      </c>
      <c r="R43" s="25">
        <f t="shared" si="22"/>
        <v>6.830080526611674</v>
      </c>
      <c r="S43" s="19">
        <f>Calculations!$E$494</f>
        <v>213</v>
      </c>
      <c r="T43" s="19">
        <f>Calculations!$J$505</f>
        <v>240</v>
      </c>
      <c r="U43" s="19">
        <f t="shared" si="23"/>
        <v>226.5</v>
      </c>
      <c r="V43" s="20">
        <f>U43*INDEX('Item Master'!$F$2:$F$51,MATCH($A43,'Item Master'!$A$2:$A$51,0))</f>
        <v>169875</v>
      </c>
      <c r="W43" s="21">
        <f t="shared" si="24"/>
        <v>1.3730684326710816</v>
      </c>
      <c r="X43" s="22">
        <f t="shared" si="25"/>
        <v>265.82797427652736</v>
      </c>
      <c r="Y43" s="20">
        <f t="shared" si="26"/>
        <v>233250</v>
      </c>
      <c r="Z43" s="23">
        <f t="shared" si="27"/>
        <v>0.9073121397471019</v>
      </c>
      <c r="AA43" s="19" t="str">
        <f t="shared" si="28"/>
        <v>B</v>
      </c>
      <c r="AB43" s="19" t="str">
        <f t="shared" si="29"/>
        <v>Monthly</v>
      </c>
      <c r="AC43" s="19">
        <f t="shared" si="30"/>
        <v>240</v>
      </c>
      <c r="AD43" s="19" t="str">
        <f t="shared" si="31"/>
        <v>OVERSTOCK</v>
      </c>
    </row>
    <row r="44" spans="1:30" x14ac:dyDescent="0.3">
      <c r="A44" s="19" t="s">
        <v>156</v>
      </c>
      <c r="B44" s="19" t="s">
        <v>157</v>
      </c>
      <c r="C44" s="19" t="s">
        <v>46</v>
      </c>
      <c r="D44" s="19">
        <f>SUM(Sales!$E$506:$E$517)</f>
        <v>362</v>
      </c>
      <c r="E44" s="20">
        <f>D44*INDEX('Item Master'!$F$2:$F$51,MATCH($A44,'Item Master'!$A$2:$A$51,0))</f>
        <v>108600</v>
      </c>
      <c r="F44" s="21">
        <f t="shared" si="16"/>
        <v>0.99178082191780825</v>
      </c>
      <c r="G44" s="19">
        <f>MAX(Sales!$E$506:$E$517)</f>
        <v>46</v>
      </c>
      <c r="H44" s="19">
        <f>AVERAGE(Sales!$E$506:$E$517)</f>
        <v>30.166666666666668</v>
      </c>
      <c r="I44" s="19">
        <f>STDEV(Sales!$E$506:$E$517)</f>
        <v>5.4411451557609221</v>
      </c>
      <c r="J44" s="23">
        <f t="shared" si="17"/>
        <v>0.18036945267715762</v>
      </c>
      <c r="K44" s="19">
        <f>INDEX('Item Master'!$E$2:$E$51,MATCH($A44,'Item Master'!$A$2:$A$51,0))</f>
        <v>10</v>
      </c>
      <c r="L44" s="22">
        <f t="shared" si="18"/>
        <v>5.2777777777777777</v>
      </c>
      <c r="M44" s="22">
        <f t="shared" si="19"/>
        <v>15.19558599695586</v>
      </c>
      <c r="N44" s="20">
        <f>INDEX('Item Master'!$G$2:$G$51,MATCH($A44,'Item Master'!$A$2:$A$51,0))</f>
        <v>500</v>
      </c>
      <c r="O44" s="24">
        <f>INDEX('Item Master'!$H$2:$H$51,MATCH($A44,'Item Master'!$A$2:$A$51,0))</f>
        <v>60</v>
      </c>
      <c r="P44" s="22">
        <f t="shared" si="20"/>
        <v>77.674534651540284</v>
      </c>
      <c r="Q44" s="25">
        <f t="shared" si="21"/>
        <v>78.318246264674599</v>
      </c>
      <c r="R44" s="25">
        <f t="shared" si="22"/>
        <v>4.6604720790924175</v>
      </c>
      <c r="S44" s="19">
        <f>Calculations!$E$506</f>
        <v>110</v>
      </c>
      <c r="T44" s="19">
        <f>Calculations!$J$517</f>
        <v>135</v>
      </c>
      <c r="U44" s="19">
        <f t="shared" si="23"/>
        <v>122.5</v>
      </c>
      <c r="V44" s="20">
        <f>U44*INDEX('Item Master'!$F$2:$F$51,MATCH($A44,'Item Master'!$A$2:$A$51,0))</f>
        <v>36750</v>
      </c>
      <c r="W44" s="21">
        <f t="shared" si="24"/>
        <v>2.9551020408163264</v>
      </c>
      <c r="X44" s="22">
        <f t="shared" si="25"/>
        <v>123.51519337016575</v>
      </c>
      <c r="Y44" s="20">
        <f t="shared" si="26"/>
        <v>108600</v>
      </c>
      <c r="Z44" s="23">
        <f t="shared" si="27"/>
        <v>0.99198541635799276</v>
      </c>
      <c r="AA44" s="19" t="str">
        <f t="shared" si="28"/>
        <v>C</v>
      </c>
      <c r="AB44" s="19" t="str">
        <f t="shared" si="29"/>
        <v>Quarterly</v>
      </c>
      <c r="AC44" s="19">
        <f t="shared" si="30"/>
        <v>135</v>
      </c>
      <c r="AD44" s="19" t="str">
        <f t="shared" si="31"/>
        <v>HEALTHY</v>
      </c>
    </row>
    <row r="45" spans="1:30" x14ac:dyDescent="0.3">
      <c r="A45" s="19" t="s">
        <v>158</v>
      </c>
      <c r="B45" s="19" t="s">
        <v>159</v>
      </c>
      <c r="C45" s="19" t="s">
        <v>46</v>
      </c>
      <c r="D45" s="19">
        <f>SUM(Sales!$E$518:$E$529)</f>
        <v>464</v>
      </c>
      <c r="E45" s="20">
        <f>D45*INDEX('Item Master'!$F$2:$F$51,MATCH($A45,'Item Master'!$A$2:$A$51,0))</f>
        <v>208800</v>
      </c>
      <c r="F45" s="21">
        <f t="shared" si="16"/>
        <v>1.2712328767123289</v>
      </c>
      <c r="G45" s="19">
        <f>MAX(Sales!$E$518:$E$529)</f>
        <v>64</v>
      </c>
      <c r="H45" s="19">
        <f>AVERAGE(Sales!$E$518:$E$529)</f>
        <v>38.666666666666664</v>
      </c>
      <c r="I45" s="19">
        <f>STDEV(Sales!$E$518:$E$529)</f>
        <v>8.4781358728666287</v>
      </c>
      <c r="J45" s="23">
        <f t="shared" si="17"/>
        <v>0.21926213464310249</v>
      </c>
      <c r="K45" s="19">
        <f>INDEX('Item Master'!$E$2:$E$51,MATCH($A45,'Item Master'!$A$2:$A$51,0))</f>
        <v>7</v>
      </c>
      <c r="L45" s="22">
        <f t="shared" si="18"/>
        <v>5.9111111111111114</v>
      </c>
      <c r="M45" s="22">
        <f t="shared" si="19"/>
        <v>14.809741248097414</v>
      </c>
      <c r="N45" s="20">
        <f>INDEX('Item Master'!$G$2:$G$51,MATCH($A45,'Item Master'!$A$2:$A$51,0))</f>
        <v>500</v>
      </c>
      <c r="O45" s="24">
        <f>INDEX('Item Master'!$H$2:$H$51,MATCH($A45,'Item Master'!$A$2:$A$51,0))</f>
        <v>90</v>
      </c>
      <c r="P45" s="22">
        <f t="shared" si="20"/>
        <v>71.802197428460047</v>
      </c>
      <c r="Q45" s="25">
        <f t="shared" si="21"/>
        <v>56.482332028853264</v>
      </c>
      <c r="R45" s="25">
        <f t="shared" si="22"/>
        <v>6.4621977685614054</v>
      </c>
      <c r="S45" s="19">
        <f>Calculations!$E$518</f>
        <v>218</v>
      </c>
      <c r="T45" s="19">
        <f>Calculations!$J$529</f>
        <v>259</v>
      </c>
      <c r="U45" s="19">
        <f t="shared" si="23"/>
        <v>238.5</v>
      </c>
      <c r="V45" s="20">
        <f>U45*INDEX('Item Master'!$F$2:$F$51,MATCH($A45,'Item Master'!$A$2:$A$51,0))</f>
        <v>107325</v>
      </c>
      <c r="W45" s="21">
        <f t="shared" si="24"/>
        <v>1.9454926624737945</v>
      </c>
      <c r="X45" s="22">
        <f t="shared" si="25"/>
        <v>187.61314655172416</v>
      </c>
      <c r="Y45" s="20">
        <f t="shared" si="26"/>
        <v>208800</v>
      </c>
      <c r="Z45" s="23">
        <f t="shared" si="27"/>
        <v>0.93234230978546673</v>
      </c>
      <c r="AA45" s="19" t="str">
        <f t="shared" si="28"/>
        <v>B</v>
      </c>
      <c r="AB45" s="19" t="str">
        <f t="shared" si="29"/>
        <v>Monthly</v>
      </c>
      <c r="AC45" s="19">
        <f t="shared" si="30"/>
        <v>259</v>
      </c>
      <c r="AD45" s="19" t="str">
        <f t="shared" si="31"/>
        <v>OVERSTOCK</v>
      </c>
    </row>
    <row r="46" spans="1:30" x14ac:dyDescent="0.3">
      <c r="A46" s="19" t="s">
        <v>160</v>
      </c>
      <c r="B46" s="19" t="s">
        <v>161</v>
      </c>
      <c r="C46" s="19" t="s">
        <v>46</v>
      </c>
      <c r="D46" s="19">
        <f>SUM(Sales!$E$530:$E$541)</f>
        <v>348</v>
      </c>
      <c r="E46" s="20">
        <f>D46*INDEX('Item Master'!$F$2:$F$51,MATCH($A46,'Item Master'!$A$2:$A$51,0))</f>
        <v>1113600</v>
      </c>
      <c r="F46" s="21">
        <f t="shared" si="16"/>
        <v>0.95342465753424654</v>
      </c>
      <c r="G46" s="19">
        <f>MAX(Sales!$E$530:$E$541)</f>
        <v>43</v>
      </c>
      <c r="H46" s="19">
        <f>AVERAGE(Sales!$E$530:$E$541)</f>
        <v>29</v>
      </c>
      <c r="I46" s="19">
        <f>STDEV(Sales!$E$530:$E$541)</f>
        <v>4.8241815132442181</v>
      </c>
      <c r="J46" s="23">
        <f t="shared" si="17"/>
        <v>0.16635108666359372</v>
      </c>
      <c r="K46" s="19">
        <f>INDEX('Item Master'!$E$2:$E$51,MATCH($A46,'Item Master'!$A$2:$A$51,0))</f>
        <v>7</v>
      </c>
      <c r="L46" s="22">
        <f t="shared" si="18"/>
        <v>3.2666666666666666</v>
      </c>
      <c r="M46" s="22">
        <f t="shared" si="19"/>
        <v>9.9406392694063932</v>
      </c>
      <c r="N46" s="20">
        <f>INDEX('Item Master'!$G$2:$G$51,MATCH($A46,'Item Master'!$A$2:$A$51,0))</f>
        <v>500</v>
      </c>
      <c r="O46" s="24">
        <f>INDEX('Item Master'!$H$2:$H$51,MATCH($A46,'Item Master'!$A$2:$A$51,0))</f>
        <v>640</v>
      </c>
      <c r="P46" s="22">
        <f t="shared" si="20"/>
        <v>23.318447632722037</v>
      </c>
      <c r="Q46" s="25">
        <f t="shared" si="21"/>
        <v>24.457567200987196</v>
      </c>
      <c r="R46" s="25">
        <f t="shared" si="22"/>
        <v>14.923806484942105</v>
      </c>
      <c r="S46" s="19">
        <f>Calculations!$E$530</f>
        <v>158</v>
      </c>
      <c r="T46" s="19">
        <f>Calculations!$J$541</f>
        <v>196</v>
      </c>
      <c r="U46" s="19">
        <f t="shared" si="23"/>
        <v>177</v>
      </c>
      <c r="V46" s="20">
        <f>U46*INDEX('Item Master'!$F$2:$F$51,MATCH($A46,'Item Master'!$A$2:$A$51,0))</f>
        <v>566400</v>
      </c>
      <c r="W46" s="21">
        <f t="shared" si="24"/>
        <v>1.9661016949152543</v>
      </c>
      <c r="X46" s="22">
        <f t="shared" si="25"/>
        <v>185.64655172413794</v>
      </c>
      <c r="Y46" s="20">
        <f t="shared" si="26"/>
        <v>1113600</v>
      </c>
      <c r="Z46" s="23">
        <f t="shared" si="27"/>
        <v>0.7421184625732471</v>
      </c>
      <c r="AA46" s="19" t="str">
        <f t="shared" si="28"/>
        <v>A</v>
      </c>
      <c r="AB46" s="19" t="str">
        <f t="shared" si="29"/>
        <v>Weekly</v>
      </c>
      <c r="AC46" s="19">
        <f t="shared" si="30"/>
        <v>196</v>
      </c>
      <c r="AD46" s="19" t="str">
        <f t="shared" si="31"/>
        <v>OVERSTOCK</v>
      </c>
    </row>
    <row r="47" spans="1:30" x14ac:dyDescent="0.3">
      <c r="A47" s="19" t="s">
        <v>162</v>
      </c>
      <c r="B47" s="19" t="s">
        <v>163</v>
      </c>
      <c r="C47" s="19" t="s">
        <v>38</v>
      </c>
      <c r="D47" s="19">
        <f>SUM(Sales!$E$542:$E$553)</f>
        <v>174</v>
      </c>
      <c r="E47" s="20">
        <f>D47*INDEX('Item Master'!$F$2:$F$51,MATCH($A47,'Item Master'!$A$2:$A$51,0))</f>
        <v>156600</v>
      </c>
      <c r="F47" s="21">
        <f t="shared" si="16"/>
        <v>0.47671232876712327</v>
      </c>
      <c r="G47" s="19">
        <f>MAX(Sales!$E$542:$E$553)</f>
        <v>24</v>
      </c>
      <c r="H47" s="19">
        <f>AVERAGE(Sales!$E$542:$E$553)</f>
        <v>14.5</v>
      </c>
      <c r="I47" s="19">
        <f>STDEV(Sales!$E$542:$E$553)</f>
        <v>3.3439225741362764</v>
      </c>
      <c r="J47" s="23">
        <f t="shared" si="17"/>
        <v>0.23061534994043284</v>
      </c>
      <c r="K47" s="19">
        <f>INDEX('Item Master'!$E$2:$E$51,MATCH($A47,'Item Master'!$A$2:$A$51,0))</f>
        <v>14</v>
      </c>
      <c r="L47" s="22">
        <f t="shared" si="18"/>
        <v>4.4333333333333336</v>
      </c>
      <c r="M47" s="22">
        <f t="shared" si="19"/>
        <v>11.107305936073059</v>
      </c>
      <c r="N47" s="20">
        <f>INDEX('Item Master'!$G$2:$G$51,MATCH($A47,'Item Master'!$A$2:$A$51,0))</f>
        <v>500</v>
      </c>
      <c r="O47" s="24">
        <f>INDEX('Item Master'!$H$2:$H$51,MATCH($A47,'Item Master'!$A$2:$A$51,0))</f>
        <v>180</v>
      </c>
      <c r="P47" s="22">
        <f t="shared" si="20"/>
        <v>31.091263510296049</v>
      </c>
      <c r="Q47" s="25">
        <f t="shared" si="21"/>
        <v>65.220179202632522</v>
      </c>
      <c r="R47" s="25">
        <f t="shared" si="22"/>
        <v>5.5964274318532894</v>
      </c>
      <c r="S47" s="19">
        <f>Calculations!$E$542</f>
        <v>233</v>
      </c>
      <c r="T47" s="19">
        <f>Calculations!$J$553</f>
        <v>261</v>
      </c>
      <c r="U47" s="19">
        <f t="shared" si="23"/>
        <v>247</v>
      </c>
      <c r="V47" s="20">
        <f>U47*INDEX('Item Master'!$F$2:$F$51,MATCH($A47,'Item Master'!$A$2:$A$51,0))</f>
        <v>222300</v>
      </c>
      <c r="W47" s="21">
        <f t="shared" si="24"/>
        <v>0.70445344129554655</v>
      </c>
      <c r="X47" s="22">
        <f t="shared" si="25"/>
        <v>518.13218390804593</v>
      </c>
      <c r="Y47" s="20">
        <f t="shared" si="26"/>
        <v>156600</v>
      </c>
      <c r="Z47" s="23">
        <f t="shared" si="27"/>
        <v>0.96136916806925221</v>
      </c>
      <c r="AA47" s="19" t="str">
        <f t="shared" si="28"/>
        <v>C</v>
      </c>
      <c r="AB47" s="19" t="str">
        <f t="shared" si="29"/>
        <v>Quarterly</v>
      </c>
      <c r="AC47" s="19">
        <f t="shared" si="30"/>
        <v>261</v>
      </c>
      <c r="AD47" s="19" t="str">
        <f t="shared" si="31"/>
        <v>OVERSTOCK</v>
      </c>
    </row>
    <row r="48" spans="1:30" x14ac:dyDescent="0.3">
      <c r="A48" s="19" t="s">
        <v>164</v>
      </c>
      <c r="B48" s="19" t="s">
        <v>165</v>
      </c>
      <c r="C48" s="19" t="s">
        <v>38</v>
      </c>
      <c r="D48" s="19">
        <f>SUM(Sales!$E$554:$E$565)</f>
        <v>147</v>
      </c>
      <c r="E48" s="20">
        <f>D48*INDEX('Item Master'!$F$2:$F$51,MATCH($A48,'Item Master'!$A$2:$A$51,0))</f>
        <v>264600</v>
      </c>
      <c r="F48" s="21">
        <f t="shared" si="16"/>
        <v>0.40273972602739727</v>
      </c>
      <c r="G48" s="19">
        <f>MAX(Sales!$E$554:$E$565)</f>
        <v>17</v>
      </c>
      <c r="H48" s="19">
        <f>AVERAGE(Sales!$E$554:$E$565)</f>
        <v>12.25</v>
      </c>
      <c r="I48" s="19">
        <f>STDEV(Sales!$E$554:$E$565)</f>
        <v>1.9128750375000738</v>
      </c>
      <c r="J48" s="23">
        <f t="shared" si="17"/>
        <v>0.15615306428572032</v>
      </c>
      <c r="K48" s="19">
        <f>INDEX('Item Master'!$E$2:$E$51,MATCH($A48,'Item Master'!$A$2:$A$51,0))</f>
        <v>5</v>
      </c>
      <c r="L48" s="22">
        <f t="shared" si="18"/>
        <v>0.79166666666666663</v>
      </c>
      <c r="M48" s="22">
        <f t="shared" si="19"/>
        <v>2.8053652968036529</v>
      </c>
      <c r="N48" s="20">
        <f>INDEX('Item Master'!$G$2:$G$51,MATCH($A48,'Item Master'!$A$2:$A$51,0))</f>
        <v>500</v>
      </c>
      <c r="O48" s="24">
        <f>INDEX('Item Master'!$H$2:$H$51,MATCH($A48,'Item Master'!$A$2:$A$51,0))</f>
        <v>360</v>
      </c>
      <c r="P48" s="22">
        <f t="shared" si="20"/>
        <v>20.207259421636902</v>
      </c>
      <c r="Q48" s="25">
        <f t="shared" si="21"/>
        <v>50.174487679574618</v>
      </c>
      <c r="R48" s="25">
        <f t="shared" si="22"/>
        <v>7.274613391789285</v>
      </c>
      <c r="S48" s="19">
        <f>Calculations!$E$554</f>
        <v>207</v>
      </c>
      <c r="T48" s="19">
        <f>Calculations!$J$565</f>
        <v>220</v>
      </c>
      <c r="U48" s="19">
        <f t="shared" si="23"/>
        <v>213.5</v>
      </c>
      <c r="V48" s="20">
        <f>U48*INDEX('Item Master'!$F$2:$F$51,MATCH($A48,'Item Master'!$A$2:$A$51,0))</f>
        <v>384300</v>
      </c>
      <c r="W48" s="21">
        <f t="shared" si="24"/>
        <v>0.68852459016393441</v>
      </c>
      <c r="X48" s="22">
        <f t="shared" si="25"/>
        <v>530.11904761904759</v>
      </c>
      <c r="Y48" s="20">
        <f t="shared" si="26"/>
        <v>264600</v>
      </c>
      <c r="Z48" s="23">
        <f t="shared" si="27"/>
        <v>0.88698766460259948</v>
      </c>
      <c r="AA48" s="19" t="str">
        <f t="shared" si="28"/>
        <v>B</v>
      </c>
      <c r="AB48" s="19" t="str">
        <f t="shared" si="29"/>
        <v>Monthly</v>
      </c>
      <c r="AC48" s="19">
        <f t="shared" si="30"/>
        <v>220</v>
      </c>
      <c r="AD48" s="19" t="str">
        <f t="shared" si="31"/>
        <v>OVERSTOCK</v>
      </c>
    </row>
    <row r="49" spans="1:30" x14ac:dyDescent="0.3">
      <c r="A49" s="19" t="s">
        <v>166</v>
      </c>
      <c r="B49" s="19" t="s">
        <v>167</v>
      </c>
      <c r="C49" s="19" t="s">
        <v>38</v>
      </c>
      <c r="D49" s="19">
        <f>SUM(Sales!$E$566:$E$577)</f>
        <v>402</v>
      </c>
      <c r="E49" s="20">
        <f>D49*INDEX('Item Master'!$F$2:$F$51,MATCH($A49,'Item Master'!$A$2:$A$51,0))</f>
        <v>160800</v>
      </c>
      <c r="F49" s="21">
        <f t="shared" si="16"/>
        <v>1.1013698630136985</v>
      </c>
      <c r="G49" s="19">
        <f>MAX(Sales!$E$566:$E$577)</f>
        <v>45</v>
      </c>
      <c r="H49" s="19">
        <f>AVERAGE(Sales!$E$566:$E$577)</f>
        <v>33.5</v>
      </c>
      <c r="I49" s="19">
        <f>STDEV(Sales!$E$566:$E$577)</f>
        <v>4.5226701686664539</v>
      </c>
      <c r="J49" s="23">
        <f t="shared" si="17"/>
        <v>0.13500507966168518</v>
      </c>
      <c r="K49" s="19">
        <f>INDEX('Item Master'!$E$2:$E$51,MATCH($A49,'Item Master'!$A$2:$A$51,0))</f>
        <v>14</v>
      </c>
      <c r="L49" s="22">
        <f t="shared" si="18"/>
        <v>5.3666666666666671</v>
      </c>
      <c r="M49" s="22">
        <f t="shared" si="19"/>
        <v>20.785844748858445</v>
      </c>
      <c r="N49" s="20">
        <f>INDEX('Item Master'!$G$2:$G$51,MATCH($A49,'Item Master'!$A$2:$A$51,0))</f>
        <v>500</v>
      </c>
      <c r="O49" s="24">
        <f>INDEX('Item Master'!$H$2:$H$51,MATCH($A49,'Item Master'!$A$2:$A$51,0))</f>
        <v>80</v>
      </c>
      <c r="P49" s="22">
        <f t="shared" si="20"/>
        <v>70.887234393789129</v>
      </c>
      <c r="Q49" s="25">
        <f t="shared" si="21"/>
        <v>64.362787447097105</v>
      </c>
      <c r="R49" s="25">
        <f t="shared" si="22"/>
        <v>5.6709787515031298</v>
      </c>
      <c r="S49" s="19">
        <f>Calculations!$E$566</f>
        <v>316</v>
      </c>
      <c r="T49" s="19">
        <f>Calculations!$J$577</f>
        <v>356</v>
      </c>
      <c r="U49" s="19">
        <f t="shared" si="23"/>
        <v>336</v>
      </c>
      <c r="V49" s="20">
        <f>U49*INDEX('Item Master'!$F$2:$F$51,MATCH($A49,'Item Master'!$A$2:$A$51,0))</f>
        <v>134400</v>
      </c>
      <c r="W49" s="21">
        <f t="shared" si="24"/>
        <v>1.1964285714285714</v>
      </c>
      <c r="X49" s="22">
        <f t="shared" si="25"/>
        <v>305.07462686567163</v>
      </c>
      <c r="Y49" s="20">
        <f t="shared" si="26"/>
        <v>160800</v>
      </c>
      <c r="Z49" s="23">
        <f t="shared" si="27"/>
        <v>0.94781779847417413</v>
      </c>
      <c r="AA49" s="19" t="str">
        <f t="shared" si="28"/>
        <v>B</v>
      </c>
      <c r="AB49" s="19" t="str">
        <f t="shared" si="29"/>
        <v>Monthly</v>
      </c>
      <c r="AC49" s="19">
        <f t="shared" si="30"/>
        <v>356</v>
      </c>
      <c r="AD49" s="19" t="str">
        <f t="shared" si="31"/>
        <v>OVERSTOCK</v>
      </c>
    </row>
    <row r="50" spans="1:30" x14ac:dyDescent="0.3">
      <c r="A50" s="19" t="s">
        <v>168</v>
      </c>
      <c r="B50" s="19" t="s">
        <v>169</v>
      </c>
      <c r="C50" s="19" t="s">
        <v>28</v>
      </c>
      <c r="D50" s="19">
        <f>SUM(Sales!$E$578:$E$589)</f>
        <v>515</v>
      </c>
      <c r="E50" s="20">
        <f>D50*INDEX('Item Master'!$F$2:$F$51,MATCH($A50,'Item Master'!$A$2:$A$51,0))</f>
        <v>30900</v>
      </c>
      <c r="F50" s="21">
        <f t="shared" si="16"/>
        <v>1.4109589041095891</v>
      </c>
      <c r="G50" s="19">
        <f>MAX(Sales!$E$578:$E$589)</f>
        <v>73</v>
      </c>
      <c r="H50" s="19">
        <f>AVERAGE(Sales!$E$578:$E$589)</f>
        <v>42.916666666666664</v>
      </c>
      <c r="I50" s="19">
        <f>STDEV(Sales!$E$578:$E$589)</f>
        <v>10.184286767844721</v>
      </c>
      <c r="J50" s="23">
        <f t="shared" si="17"/>
        <v>0.23730376934783817</v>
      </c>
      <c r="K50" s="19">
        <f>INDEX('Item Master'!$E$2:$E$51,MATCH($A50,'Item Master'!$A$2:$A$51,0))</f>
        <v>7</v>
      </c>
      <c r="L50" s="22">
        <f t="shared" si="18"/>
        <v>7.0194444444444439</v>
      </c>
      <c r="M50" s="22">
        <f t="shared" si="19"/>
        <v>16.896156773211565</v>
      </c>
      <c r="N50" s="20">
        <f>INDEX('Item Master'!$G$2:$G$51,MATCH($A50,'Item Master'!$A$2:$A$51,0))</f>
        <v>500</v>
      </c>
      <c r="O50" s="24">
        <f>INDEX('Item Master'!$H$2:$H$51,MATCH($A50,'Item Master'!$A$2:$A$51,0))</f>
        <v>12</v>
      </c>
      <c r="P50" s="22">
        <f t="shared" si="20"/>
        <v>207.16338157760089</v>
      </c>
      <c r="Q50" s="25">
        <f t="shared" si="21"/>
        <v>146.82453257441617</v>
      </c>
      <c r="R50" s="25">
        <f t="shared" si="22"/>
        <v>2.4859605789312105</v>
      </c>
      <c r="S50" s="19">
        <f>Calculations!$E$578</f>
        <v>165</v>
      </c>
      <c r="T50" s="19">
        <f>Calculations!$J$589</f>
        <v>211</v>
      </c>
      <c r="U50" s="19">
        <f t="shared" si="23"/>
        <v>188</v>
      </c>
      <c r="V50" s="20">
        <f>U50*INDEX('Item Master'!$F$2:$F$51,MATCH($A50,'Item Master'!$A$2:$A$51,0))</f>
        <v>11280</v>
      </c>
      <c r="W50" s="21">
        <f t="shared" si="24"/>
        <v>2.7393617021276597</v>
      </c>
      <c r="X50" s="22">
        <f t="shared" si="25"/>
        <v>133.24271844660194</v>
      </c>
      <c r="Y50" s="20">
        <f t="shared" si="26"/>
        <v>30900</v>
      </c>
      <c r="Z50" s="23">
        <f t="shared" si="27"/>
        <v>0.99899237373649086</v>
      </c>
      <c r="AA50" s="19" t="str">
        <f t="shared" si="28"/>
        <v>C</v>
      </c>
      <c r="AB50" s="19" t="str">
        <f t="shared" si="29"/>
        <v>Quarterly</v>
      </c>
      <c r="AC50" s="19">
        <f t="shared" si="30"/>
        <v>211</v>
      </c>
      <c r="AD50" s="19" t="str">
        <f t="shared" si="31"/>
        <v>HEALTHY</v>
      </c>
    </row>
    <row r="51" spans="1:30" x14ac:dyDescent="0.3">
      <c r="A51" s="19" t="s">
        <v>170</v>
      </c>
      <c r="B51" s="19" t="s">
        <v>171</v>
      </c>
      <c r="C51" s="19" t="s">
        <v>28</v>
      </c>
      <c r="D51" s="19">
        <f>SUM(Sales!$E$590:$E$601)</f>
        <v>231</v>
      </c>
      <c r="E51" s="20">
        <f>D51*INDEX('Item Master'!$F$2:$F$51,MATCH($A51,'Item Master'!$A$2:$A$51,0))</f>
        <v>41580</v>
      </c>
      <c r="F51" s="21">
        <f t="shared" si="16"/>
        <v>0.63287671232876708</v>
      </c>
      <c r="G51" s="19">
        <f>MAX(Sales!$E$590:$E$601)</f>
        <v>25</v>
      </c>
      <c r="H51" s="19">
        <f>AVERAGE(Sales!$E$590:$E$601)</f>
        <v>19.25</v>
      </c>
      <c r="I51" s="19">
        <f>STDEV(Sales!$E$590:$E$601)</f>
        <v>2.4167972796469899</v>
      </c>
      <c r="J51" s="23">
        <f t="shared" si="17"/>
        <v>0.12554791063101245</v>
      </c>
      <c r="K51" s="19">
        <f>INDEX('Item Master'!$E$2:$E$51,MATCH($A51,'Item Master'!$A$2:$A$51,0))</f>
        <v>7</v>
      </c>
      <c r="L51" s="22">
        <f t="shared" si="18"/>
        <v>1.3416666666666668</v>
      </c>
      <c r="M51" s="22">
        <f t="shared" si="19"/>
        <v>5.7718036529680363</v>
      </c>
      <c r="N51" s="20">
        <f>INDEX('Item Master'!$G$2:$G$51,MATCH($A51,'Item Master'!$A$2:$A$51,0))</f>
        <v>500</v>
      </c>
      <c r="O51" s="24">
        <f>INDEX('Item Master'!$H$2:$H$51,MATCH($A51,'Item Master'!$A$2:$A$51,0))</f>
        <v>36</v>
      </c>
      <c r="P51" s="22">
        <f t="shared" si="20"/>
        <v>80.104098937986109</v>
      </c>
      <c r="Q51" s="25">
        <f t="shared" si="21"/>
        <v>126.57141174183953</v>
      </c>
      <c r="R51" s="25">
        <f t="shared" si="22"/>
        <v>2.8837475617674997</v>
      </c>
      <c r="S51" s="19">
        <f>Calculations!$E$590</f>
        <v>381</v>
      </c>
      <c r="T51" s="19">
        <f>Calculations!$J$601</f>
        <v>420</v>
      </c>
      <c r="U51" s="19">
        <f t="shared" si="23"/>
        <v>400.5</v>
      </c>
      <c r="V51" s="20">
        <f>U51*INDEX('Item Master'!$F$2:$F$51,MATCH($A51,'Item Master'!$A$2:$A$51,0))</f>
        <v>72090</v>
      </c>
      <c r="W51" s="21">
        <f t="shared" si="24"/>
        <v>0.57677902621722843</v>
      </c>
      <c r="X51" s="22">
        <f t="shared" si="25"/>
        <v>632.82467532467535</v>
      </c>
      <c r="Y51" s="20">
        <f t="shared" si="26"/>
        <v>41580</v>
      </c>
      <c r="Z51" s="23">
        <f t="shared" si="27"/>
        <v>0.99810683188374816</v>
      </c>
      <c r="AA51" s="19" t="str">
        <f t="shared" si="28"/>
        <v>C</v>
      </c>
      <c r="AB51" s="19" t="str">
        <f t="shared" si="29"/>
        <v>Quarterly</v>
      </c>
      <c r="AC51" s="19">
        <f t="shared" si="30"/>
        <v>420</v>
      </c>
      <c r="AD51" s="19" t="str">
        <f t="shared" si="31"/>
        <v>OVERSTOCK</v>
      </c>
    </row>
  </sheetData>
  <conditionalFormatting sqref="AA2:AA51">
    <cfRule type="expression" dxfId="5" priority="5">
      <formula>AA2="A"</formula>
    </cfRule>
    <cfRule type="expression" dxfId="4" priority="6">
      <formula>AA2="B"</formula>
    </cfRule>
    <cfRule type="expression" dxfId="3" priority="7">
      <formula>AA2="C"</formula>
    </cfRule>
  </conditionalFormatting>
  <conditionalFormatting sqref="AD2:AD51">
    <cfRule type="expression" dxfId="2" priority="2">
      <formula>AD2="REORDER NOW"</formula>
    </cfRule>
    <cfRule type="expression" dxfId="1" priority="3">
      <formula>AD2="OVERSTOCK"</formula>
    </cfRule>
    <cfRule type="expression" dxfId="0" priority="4">
      <formula>AD2="HEALTHY"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zoomScaleNormal="100" workbookViewId="0"/>
  </sheetViews>
  <sheetFormatPr defaultColWidth="8.6640625" defaultRowHeight="14.4" x14ac:dyDescent="0.3"/>
  <sheetData>
    <row r="1" spans="1:3" x14ac:dyDescent="0.3">
      <c r="A1" t="s">
        <v>210</v>
      </c>
      <c r="B1" t="s">
        <v>211</v>
      </c>
      <c r="C1" t="s">
        <v>212</v>
      </c>
    </row>
    <row r="2" spans="1:3" x14ac:dyDescent="0.3">
      <c r="A2" t="s">
        <v>3</v>
      </c>
      <c r="B2" t="s">
        <v>3</v>
      </c>
      <c r="C2" t="s">
        <v>3</v>
      </c>
    </row>
    <row r="3" spans="1:3" x14ac:dyDescent="0.3">
      <c r="A3" t="s">
        <v>27</v>
      </c>
      <c r="B3" t="s">
        <v>28</v>
      </c>
      <c r="C3" t="s">
        <v>68</v>
      </c>
    </row>
    <row r="4" spans="1:3" x14ac:dyDescent="0.3">
      <c r="A4" t="s">
        <v>29</v>
      </c>
      <c r="B4" t="s">
        <v>30</v>
      </c>
      <c r="C4" t="s">
        <v>71</v>
      </c>
    </row>
    <row r="5" spans="1:3" x14ac:dyDescent="0.3">
      <c r="A5" t="s">
        <v>31</v>
      </c>
      <c r="B5" t="s">
        <v>32</v>
      </c>
      <c r="C5" t="s">
        <v>74</v>
      </c>
    </row>
    <row r="6" spans="1:3" x14ac:dyDescent="0.3">
      <c r="A6" t="s">
        <v>33</v>
      </c>
      <c r="B6" t="s">
        <v>34</v>
      </c>
      <c r="C6" t="s">
        <v>76</v>
      </c>
    </row>
    <row r="7" spans="1:3" x14ac:dyDescent="0.3">
      <c r="A7" t="s">
        <v>35</v>
      </c>
      <c r="B7" t="s">
        <v>36</v>
      </c>
      <c r="C7" t="s">
        <v>79</v>
      </c>
    </row>
    <row r="8" spans="1:3" x14ac:dyDescent="0.3">
      <c r="A8" t="s">
        <v>37</v>
      </c>
      <c r="B8" t="s">
        <v>38</v>
      </c>
      <c r="C8" t="s">
        <v>82</v>
      </c>
    </row>
    <row r="9" spans="1:3" x14ac:dyDescent="0.3">
      <c r="A9" t="s">
        <v>39</v>
      </c>
      <c r="B9" t="s">
        <v>40</v>
      </c>
      <c r="C9" t="s">
        <v>84</v>
      </c>
    </row>
    <row r="10" spans="1:3" x14ac:dyDescent="0.3">
      <c r="A10" t="s">
        <v>41</v>
      </c>
      <c r="B10" t="s">
        <v>42</v>
      </c>
      <c r="C10" t="s">
        <v>86</v>
      </c>
    </row>
    <row r="11" spans="1:3" x14ac:dyDescent="0.3">
      <c r="A11" t="s">
        <v>43</v>
      </c>
      <c r="B11" t="s">
        <v>44</v>
      </c>
      <c r="C11" t="s">
        <v>88</v>
      </c>
    </row>
    <row r="12" spans="1:3" x14ac:dyDescent="0.3">
      <c r="A12" t="s">
        <v>45</v>
      </c>
      <c r="B12" t="s">
        <v>46</v>
      </c>
      <c r="C12" t="s">
        <v>90</v>
      </c>
    </row>
    <row r="13" spans="1:3" x14ac:dyDescent="0.3">
      <c r="A13" t="s">
        <v>47</v>
      </c>
      <c r="B13" t="s">
        <v>48</v>
      </c>
      <c r="C13" t="s">
        <v>92</v>
      </c>
    </row>
    <row r="14" spans="1:3" x14ac:dyDescent="0.3">
      <c r="A14" t="s">
        <v>49</v>
      </c>
      <c r="B14" t="s">
        <v>50</v>
      </c>
      <c r="C14" t="s">
        <v>95</v>
      </c>
    </row>
    <row r="15" spans="1:3" x14ac:dyDescent="0.3">
      <c r="C15" t="s">
        <v>97</v>
      </c>
    </row>
    <row r="16" spans="1:3" x14ac:dyDescent="0.3">
      <c r="C16" t="s">
        <v>99</v>
      </c>
    </row>
    <row r="17" spans="3:3" x14ac:dyDescent="0.3">
      <c r="C17" t="s">
        <v>101</v>
      </c>
    </row>
    <row r="18" spans="3:3" x14ac:dyDescent="0.3">
      <c r="C18" t="s">
        <v>103</v>
      </c>
    </row>
    <row r="19" spans="3:3" x14ac:dyDescent="0.3">
      <c r="C19" t="s">
        <v>105</v>
      </c>
    </row>
    <row r="20" spans="3:3" x14ac:dyDescent="0.3">
      <c r="C20" t="s">
        <v>107</v>
      </c>
    </row>
    <row r="21" spans="3:3" x14ac:dyDescent="0.3">
      <c r="C21" t="s">
        <v>109</v>
      </c>
    </row>
    <row r="22" spans="3:3" x14ac:dyDescent="0.3">
      <c r="C22" t="s">
        <v>111</v>
      </c>
    </row>
    <row r="23" spans="3:3" x14ac:dyDescent="0.3">
      <c r="C23" t="s">
        <v>113</v>
      </c>
    </row>
    <row r="24" spans="3:3" x14ac:dyDescent="0.3">
      <c r="C24" t="s">
        <v>115</v>
      </c>
    </row>
    <row r="25" spans="3:3" x14ac:dyDescent="0.3">
      <c r="C25" t="s">
        <v>117</v>
      </c>
    </row>
    <row r="26" spans="3:3" x14ac:dyDescent="0.3">
      <c r="C26" t="s">
        <v>119</v>
      </c>
    </row>
    <row r="27" spans="3:3" x14ac:dyDescent="0.3">
      <c r="C27" t="s">
        <v>121</v>
      </c>
    </row>
    <row r="28" spans="3:3" x14ac:dyDescent="0.3">
      <c r="C28" t="s">
        <v>123</v>
      </c>
    </row>
    <row r="29" spans="3:3" x14ac:dyDescent="0.3">
      <c r="C29" t="s">
        <v>125</v>
      </c>
    </row>
    <row r="30" spans="3:3" x14ac:dyDescent="0.3">
      <c r="C30" t="s">
        <v>127</v>
      </c>
    </row>
    <row r="31" spans="3:3" x14ac:dyDescent="0.3">
      <c r="C31" t="s">
        <v>129</v>
      </c>
    </row>
    <row r="32" spans="3:3" x14ac:dyDescent="0.3">
      <c r="C32" t="s">
        <v>131</v>
      </c>
    </row>
    <row r="33" spans="3:3" x14ac:dyDescent="0.3">
      <c r="C33" t="s">
        <v>133</v>
      </c>
    </row>
    <row r="34" spans="3:3" x14ac:dyDescent="0.3">
      <c r="C34" t="s">
        <v>135</v>
      </c>
    </row>
    <row r="35" spans="3:3" x14ac:dyDescent="0.3">
      <c r="C35" t="s">
        <v>137</v>
      </c>
    </row>
    <row r="36" spans="3:3" x14ac:dyDescent="0.3">
      <c r="C36" t="s">
        <v>139</v>
      </c>
    </row>
    <row r="37" spans="3:3" x14ac:dyDescent="0.3">
      <c r="C37" t="s">
        <v>141</v>
      </c>
    </row>
    <row r="38" spans="3:3" x14ac:dyDescent="0.3">
      <c r="C38" t="s">
        <v>143</v>
      </c>
    </row>
    <row r="39" spans="3:3" x14ac:dyDescent="0.3">
      <c r="C39" t="s">
        <v>145</v>
      </c>
    </row>
    <row r="40" spans="3:3" x14ac:dyDescent="0.3">
      <c r="C40" t="s">
        <v>147</v>
      </c>
    </row>
    <row r="41" spans="3:3" x14ac:dyDescent="0.3">
      <c r="C41" t="s">
        <v>149</v>
      </c>
    </row>
    <row r="42" spans="3:3" x14ac:dyDescent="0.3">
      <c r="C42" t="s">
        <v>151</v>
      </c>
    </row>
    <row r="43" spans="3:3" x14ac:dyDescent="0.3">
      <c r="C43" t="s">
        <v>153</v>
      </c>
    </row>
    <row r="44" spans="3:3" x14ac:dyDescent="0.3">
      <c r="C44" t="s">
        <v>155</v>
      </c>
    </row>
    <row r="45" spans="3:3" x14ac:dyDescent="0.3">
      <c r="C45" t="s">
        <v>157</v>
      </c>
    </row>
    <row r="46" spans="3:3" x14ac:dyDescent="0.3">
      <c r="C46" t="s">
        <v>159</v>
      </c>
    </row>
    <row r="47" spans="3:3" x14ac:dyDescent="0.3">
      <c r="C47" t="s">
        <v>161</v>
      </c>
    </row>
    <row r="48" spans="3:3" x14ac:dyDescent="0.3">
      <c r="C48" t="s">
        <v>163</v>
      </c>
    </row>
    <row r="49" spans="3:3" x14ac:dyDescent="0.3">
      <c r="C49" t="s">
        <v>165</v>
      </c>
    </row>
    <row r="50" spans="3:3" x14ac:dyDescent="0.3">
      <c r="C50" t="s">
        <v>167</v>
      </c>
    </row>
    <row r="51" spans="3:3" x14ac:dyDescent="0.3">
      <c r="C51" t="s">
        <v>169</v>
      </c>
    </row>
    <row r="52" spans="3:3" x14ac:dyDescent="0.3">
      <c r="C52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Item Master</vt:lpstr>
      <vt:lpstr>Stock Inflow</vt:lpstr>
      <vt:lpstr>Stock Outflow</vt:lpstr>
      <vt:lpstr>Sales</vt:lpstr>
      <vt:lpstr>Calculations</vt:lpstr>
      <vt:lpstr>Product 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Naveena M</cp:lastModifiedBy>
  <cp:revision>1</cp:revision>
  <dcterms:created xsi:type="dcterms:W3CDTF">2026-08-18T10:58:41Z</dcterms:created>
  <dcterms:modified xsi:type="dcterms:W3CDTF">2026-08-19T13:54:33Z</dcterms:modified>
  <dc:language>en-US</dc:language>
</cp:coreProperties>
</file>